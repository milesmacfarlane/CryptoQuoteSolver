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827" codeName="{37B6ACAC-4A07-160E-37E0-EFA003358AD4}"/>
  <workbookPr codeName="ThisWorkbook" checkCompatibility="1" defaultThemeVersion="124226"/>
  <mc:AlternateContent xmlns:mc="http://schemas.openxmlformats.org/markup-compatibility/2006">
    <mc:Choice Requires="x15">
      <x15ac:absPath xmlns:x15ac="http://schemas.microsoft.com/office/spreadsheetml/2010/11/ac" url="C:\Users\Miles M\Desktop\"/>
    </mc:Choice>
  </mc:AlternateContent>
  <bookViews>
    <workbookView minimized="1" xWindow="-3420" yWindow="225" windowWidth="14955" windowHeight="8190" activeTab="1" xr2:uid="{00000000-000D-0000-FFFF-FFFF00000000}"/>
  </bookViews>
  <sheets>
    <sheet name="GENERATOR" sheetId="10" r:id="rId1"/>
    <sheet name="SOLVER" sheetId="1" r:id="rId2"/>
    <sheet name="SUBSTITUTION KEY" sheetId="9" r:id="rId3"/>
    <sheet name="PUZZLE BANK" sheetId="8" r:id="rId4"/>
    <sheet name="Solver from Generator" sheetId="6" r:id="rId5"/>
    <sheet name="old puzzle creator" sheetId="2" r:id="rId6"/>
  </sheets>
  <definedNames>
    <definedName name="_xlnm.Print_Area" localSheetId="1">SOLVER!$A$3:$AC$28</definedName>
    <definedName name="_xlnm.Print_Area" localSheetId="4">'Solver from Generator'!$A$3:$AC$28</definedName>
  </definedNames>
  <calcPr calcId="171027"/>
</workbook>
</file>

<file path=xl/calcChain.xml><?xml version="1.0" encoding="utf-8"?>
<calcChain xmlns="http://schemas.openxmlformats.org/spreadsheetml/2006/main">
  <c r="H10" i="9" l="1"/>
  <c r="B2" i="9"/>
  <c r="F34" i="9" a="1"/>
  <c r="F34" i="9" l="1"/>
  <c r="G34" i="9" s="1"/>
  <c r="B3" i="9"/>
  <c r="C3" i="9" s="1"/>
  <c r="B4" i="9"/>
  <c r="C4" i="9" s="1"/>
  <c r="B5" i="9"/>
  <c r="C5" i="9" s="1"/>
  <c r="B6" i="9"/>
  <c r="C6" i="9" s="1"/>
  <c r="B7" i="9"/>
  <c r="C7" i="9" s="1"/>
  <c r="B8" i="9"/>
  <c r="C8" i="9" s="1"/>
  <c r="B9" i="9"/>
  <c r="C9" i="9" s="1"/>
  <c r="B10" i="9"/>
  <c r="C10" i="9" s="1"/>
  <c r="B11" i="9"/>
  <c r="C11" i="9" s="1"/>
  <c r="B12" i="9"/>
  <c r="C12" i="9" s="1"/>
  <c r="B13" i="9"/>
  <c r="C13" i="9" s="1"/>
  <c r="B14" i="9"/>
  <c r="C14" i="9" s="1"/>
  <c r="B15" i="9"/>
  <c r="C15" i="9" s="1"/>
  <c r="B16" i="9"/>
  <c r="C16" i="9" s="1"/>
  <c r="B17" i="9"/>
  <c r="C17" i="9" s="1"/>
  <c r="B18" i="9"/>
  <c r="C18" i="9" s="1"/>
  <c r="B19" i="9"/>
  <c r="C19" i="9" s="1"/>
  <c r="B20" i="9"/>
  <c r="C20" i="9" s="1"/>
  <c r="B21" i="9"/>
  <c r="C21" i="9" s="1"/>
  <c r="B22" i="9"/>
  <c r="C22" i="9" s="1"/>
  <c r="B23" i="9"/>
  <c r="C23" i="9" s="1"/>
  <c r="B24" i="9"/>
  <c r="C24" i="9" s="1"/>
  <c r="B25" i="9"/>
  <c r="C25" i="9" s="1"/>
  <c r="B26" i="9"/>
  <c r="C26" i="9" s="1"/>
  <c r="B27" i="9"/>
  <c r="C27" i="9" s="1"/>
  <c r="B28" i="9"/>
  <c r="C28" i="9" s="1"/>
  <c r="B29" i="9"/>
  <c r="C29" i="9" s="1"/>
  <c r="B30" i="9"/>
  <c r="B31" i="9"/>
  <c r="C31" i="9" s="1"/>
  <c r="B32" i="9"/>
  <c r="C32" i="9" s="1"/>
  <c r="B33" i="9"/>
  <c r="C33" i="9" s="1"/>
  <c r="B34" i="9"/>
  <c r="B35" i="9"/>
  <c r="B36" i="9"/>
  <c r="B37" i="9"/>
  <c r="C2" i="9"/>
  <c r="D8" i="10"/>
  <c r="E8" i="10" s="1"/>
  <c r="C6" i="10"/>
  <c r="C5" i="10"/>
  <c r="C9" i="10" s="1"/>
  <c r="C10" i="10" s="1"/>
  <c r="C30" i="9" l="1"/>
  <c r="H34" i="9"/>
  <c r="C11" i="10"/>
  <c r="D10" i="10"/>
  <c r="E10" i="10" s="1"/>
  <c r="I8" i="10"/>
  <c r="F8" i="10"/>
  <c r="D9" i="10"/>
  <c r="E9" i="10" s="1"/>
  <c r="C12" i="10" l="1"/>
  <c r="D11" i="10"/>
  <c r="E11" i="10" s="1"/>
  <c r="F9" i="10"/>
  <c r="I9" i="10"/>
  <c r="I10" i="10" s="1"/>
  <c r="F10" i="10"/>
  <c r="I11" i="10" l="1"/>
  <c r="C13" i="10"/>
  <c r="D12" i="10"/>
  <c r="E12" i="10" s="1"/>
  <c r="G9" i="10"/>
  <c r="G10" i="10" s="1"/>
  <c r="F11" i="10"/>
  <c r="H9" i="10" l="1"/>
  <c r="G11" i="10"/>
  <c r="H10" i="10" s="1"/>
  <c r="C14" i="10"/>
  <c r="D13" i="10"/>
  <c r="E13" i="10" s="1"/>
  <c r="I12" i="10"/>
  <c r="F12" i="10"/>
  <c r="B38" i="9"/>
  <c r="B39" i="9"/>
  <c r="B40" i="9"/>
  <c r="B41" i="9"/>
  <c r="B42" i="9"/>
  <c r="B43" i="9"/>
  <c r="B44" i="9"/>
  <c r="B45" i="9"/>
  <c r="B46" i="9"/>
  <c r="B47" i="9"/>
  <c r="B48" i="9"/>
  <c r="B49" i="9"/>
  <c r="B50" i="9"/>
  <c r="B51" i="9"/>
  <c r="B52" i="9"/>
  <c r="B53" i="9"/>
  <c r="B54" i="9"/>
  <c r="B55" i="9"/>
  <c r="B56" i="9"/>
  <c r="B57" i="9"/>
  <c r="B58" i="9"/>
  <c r="B59" i="9"/>
  <c r="D83" i="8"/>
  <c r="E83" i="8"/>
  <c r="AG83" i="8" s="1"/>
  <c r="F83" i="8"/>
  <c r="G83" i="8"/>
  <c r="H83" i="8"/>
  <c r="I83" i="8"/>
  <c r="J83" i="8"/>
  <c r="K83" i="8"/>
  <c r="L83" i="8"/>
  <c r="M83" i="8"/>
  <c r="N83" i="8"/>
  <c r="O83" i="8"/>
  <c r="P83" i="8"/>
  <c r="Q83" i="8"/>
  <c r="R83" i="8"/>
  <c r="S83" i="8"/>
  <c r="T83" i="8"/>
  <c r="U83" i="8"/>
  <c r="V83" i="8"/>
  <c r="W83" i="8"/>
  <c r="X83" i="8"/>
  <c r="Y83" i="8"/>
  <c r="Z83" i="8"/>
  <c r="AA83" i="8"/>
  <c r="AB83" i="8"/>
  <c r="AC83" i="8"/>
  <c r="AD83" i="8"/>
  <c r="AE83" i="8"/>
  <c r="D351" i="8"/>
  <c r="E351" i="8"/>
  <c r="F351" i="8"/>
  <c r="G351" i="8"/>
  <c r="H351" i="8"/>
  <c r="I351" i="8"/>
  <c r="J351" i="8"/>
  <c r="K351" i="8"/>
  <c r="L351" i="8"/>
  <c r="M351" i="8"/>
  <c r="N351" i="8"/>
  <c r="O351" i="8"/>
  <c r="P351" i="8"/>
  <c r="Q351" i="8"/>
  <c r="R351" i="8"/>
  <c r="S351" i="8"/>
  <c r="T351" i="8"/>
  <c r="U351" i="8"/>
  <c r="V351" i="8"/>
  <c r="W351" i="8"/>
  <c r="X351" i="8"/>
  <c r="Y351" i="8"/>
  <c r="Z351" i="8"/>
  <c r="AA351" i="8"/>
  <c r="AB351" i="8"/>
  <c r="AC351" i="8"/>
  <c r="AD351" i="8"/>
  <c r="AE351" i="8"/>
  <c r="F515" i="8"/>
  <c r="G515" i="8"/>
  <c r="H515" i="8"/>
  <c r="I515" i="8"/>
  <c r="J515" i="8"/>
  <c r="K515" i="8"/>
  <c r="L515" i="8"/>
  <c r="M515" i="8"/>
  <c r="N515" i="8"/>
  <c r="O515" i="8"/>
  <c r="P515" i="8"/>
  <c r="Q515" i="8"/>
  <c r="R515" i="8"/>
  <c r="S515" i="8"/>
  <c r="T515" i="8"/>
  <c r="U515" i="8"/>
  <c r="V515" i="8"/>
  <c r="W515" i="8"/>
  <c r="X515" i="8"/>
  <c r="Y515" i="8"/>
  <c r="Z515" i="8"/>
  <c r="AA515" i="8"/>
  <c r="AB515" i="8"/>
  <c r="AC515" i="8"/>
  <c r="AD515" i="8"/>
  <c r="AE515" i="8"/>
  <c r="F369" i="8"/>
  <c r="G369" i="8"/>
  <c r="H369" i="8"/>
  <c r="I369" i="8"/>
  <c r="J369" i="8"/>
  <c r="K369" i="8"/>
  <c r="L369" i="8"/>
  <c r="M369" i="8"/>
  <c r="N369" i="8"/>
  <c r="O369" i="8"/>
  <c r="P369" i="8"/>
  <c r="Q369" i="8"/>
  <c r="R369" i="8"/>
  <c r="S369" i="8"/>
  <c r="T369" i="8"/>
  <c r="U369" i="8"/>
  <c r="V369" i="8"/>
  <c r="W369" i="8"/>
  <c r="X369" i="8"/>
  <c r="Y369" i="8"/>
  <c r="Z369" i="8"/>
  <c r="AA369" i="8"/>
  <c r="AB369" i="8"/>
  <c r="AC369" i="8"/>
  <c r="AD369" i="8"/>
  <c r="AE369" i="8"/>
  <c r="F166" i="8"/>
  <c r="G166" i="8"/>
  <c r="H166" i="8"/>
  <c r="I166" i="8"/>
  <c r="J166" i="8"/>
  <c r="K166" i="8"/>
  <c r="L166" i="8"/>
  <c r="M166" i="8"/>
  <c r="N166" i="8"/>
  <c r="O166" i="8"/>
  <c r="P166" i="8"/>
  <c r="Q166" i="8"/>
  <c r="R166" i="8"/>
  <c r="S166" i="8"/>
  <c r="T166" i="8"/>
  <c r="U166" i="8"/>
  <c r="V166" i="8"/>
  <c r="W166" i="8"/>
  <c r="X166" i="8"/>
  <c r="Y166" i="8"/>
  <c r="Z166" i="8"/>
  <c r="AA166" i="8"/>
  <c r="AB166" i="8"/>
  <c r="AC166" i="8"/>
  <c r="AD166" i="8"/>
  <c r="AE166" i="8"/>
  <c r="F276" i="8"/>
  <c r="G276" i="8"/>
  <c r="H276" i="8"/>
  <c r="I276" i="8"/>
  <c r="J276" i="8"/>
  <c r="K276" i="8"/>
  <c r="L276" i="8"/>
  <c r="M276" i="8"/>
  <c r="N276" i="8"/>
  <c r="O276" i="8"/>
  <c r="P276" i="8"/>
  <c r="Q276" i="8"/>
  <c r="R276" i="8"/>
  <c r="S276" i="8"/>
  <c r="T276" i="8"/>
  <c r="U276" i="8"/>
  <c r="V276" i="8"/>
  <c r="W276" i="8"/>
  <c r="X276" i="8"/>
  <c r="Y276" i="8"/>
  <c r="Z276" i="8"/>
  <c r="AA276" i="8"/>
  <c r="AB276" i="8"/>
  <c r="AC276" i="8"/>
  <c r="AD276" i="8"/>
  <c r="AE276" i="8"/>
  <c r="F564" i="8"/>
  <c r="G564" i="8"/>
  <c r="H564" i="8"/>
  <c r="I564" i="8"/>
  <c r="J564" i="8"/>
  <c r="K564" i="8"/>
  <c r="L564" i="8"/>
  <c r="M564" i="8"/>
  <c r="N564" i="8"/>
  <c r="O564" i="8"/>
  <c r="P564" i="8"/>
  <c r="Q564" i="8"/>
  <c r="R564" i="8"/>
  <c r="S564" i="8"/>
  <c r="T564" i="8"/>
  <c r="U564" i="8"/>
  <c r="V564" i="8"/>
  <c r="W564" i="8"/>
  <c r="X564" i="8"/>
  <c r="Y564" i="8"/>
  <c r="Z564" i="8"/>
  <c r="AA564" i="8"/>
  <c r="AB564" i="8"/>
  <c r="AC564" i="8"/>
  <c r="AD564" i="8"/>
  <c r="AE564" i="8"/>
  <c r="F601" i="8"/>
  <c r="G601" i="8"/>
  <c r="H601" i="8"/>
  <c r="I601" i="8"/>
  <c r="J601" i="8"/>
  <c r="K601" i="8"/>
  <c r="L601" i="8"/>
  <c r="M601" i="8"/>
  <c r="N601" i="8"/>
  <c r="O601" i="8"/>
  <c r="P601" i="8"/>
  <c r="Q601" i="8"/>
  <c r="R601" i="8"/>
  <c r="S601" i="8"/>
  <c r="T601" i="8"/>
  <c r="U601" i="8"/>
  <c r="V601" i="8"/>
  <c r="W601" i="8"/>
  <c r="X601" i="8"/>
  <c r="Y601" i="8"/>
  <c r="Z601" i="8"/>
  <c r="AA601" i="8"/>
  <c r="AB601" i="8"/>
  <c r="AC601" i="8"/>
  <c r="AD601" i="8"/>
  <c r="AE601" i="8"/>
  <c r="F456" i="8"/>
  <c r="G456" i="8"/>
  <c r="H456" i="8"/>
  <c r="I456" i="8"/>
  <c r="J456" i="8"/>
  <c r="K456" i="8"/>
  <c r="L456" i="8"/>
  <c r="M456" i="8"/>
  <c r="N456" i="8"/>
  <c r="O456" i="8"/>
  <c r="P456" i="8"/>
  <c r="Q456" i="8"/>
  <c r="R456" i="8"/>
  <c r="S456" i="8"/>
  <c r="T456" i="8"/>
  <c r="U456" i="8"/>
  <c r="V456" i="8"/>
  <c r="W456" i="8"/>
  <c r="X456" i="8"/>
  <c r="Y456" i="8"/>
  <c r="Z456" i="8"/>
  <c r="AA456" i="8"/>
  <c r="AB456" i="8"/>
  <c r="AC456" i="8"/>
  <c r="AD456" i="8"/>
  <c r="AE456" i="8"/>
  <c r="F593" i="8"/>
  <c r="G593" i="8"/>
  <c r="H593" i="8"/>
  <c r="I593" i="8"/>
  <c r="J593" i="8"/>
  <c r="K593" i="8"/>
  <c r="L593" i="8"/>
  <c r="M593" i="8"/>
  <c r="N593" i="8"/>
  <c r="O593" i="8"/>
  <c r="P593" i="8"/>
  <c r="Q593" i="8"/>
  <c r="R593" i="8"/>
  <c r="S593" i="8"/>
  <c r="T593" i="8"/>
  <c r="U593" i="8"/>
  <c r="V593" i="8"/>
  <c r="W593" i="8"/>
  <c r="X593" i="8"/>
  <c r="Y593" i="8"/>
  <c r="Z593" i="8"/>
  <c r="AA593" i="8"/>
  <c r="AB593" i="8"/>
  <c r="AC593" i="8"/>
  <c r="AD593" i="8"/>
  <c r="AE593" i="8"/>
  <c r="F504" i="8"/>
  <c r="G504" i="8"/>
  <c r="H504" i="8"/>
  <c r="I504" i="8"/>
  <c r="J504" i="8"/>
  <c r="K504" i="8"/>
  <c r="L504" i="8"/>
  <c r="M504" i="8"/>
  <c r="N504" i="8"/>
  <c r="O504" i="8"/>
  <c r="P504" i="8"/>
  <c r="Q504" i="8"/>
  <c r="R504" i="8"/>
  <c r="S504" i="8"/>
  <c r="T504" i="8"/>
  <c r="U504" i="8"/>
  <c r="V504" i="8"/>
  <c r="W504" i="8"/>
  <c r="X504" i="8"/>
  <c r="Y504" i="8"/>
  <c r="Z504" i="8"/>
  <c r="AA504" i="8"/>
  <c r="AB504" i="8"/>
  <c r="AC504" i="8"/>
  <c r="AD504" i="8"/>
  <c r="AE504" i="8"/>
  <c r="F492" i="8"/>
  <c r="G492" i="8"/>
  <c r="H492" i="8"/>
  <c r="I492" i="8"/>
  <c r="J492" i="8"/>
  <c r="K492" i="8"/>
  <c r="L492" i="8"/>
  <c r="M492" i="8"/>
  <c r="N492" i="8"/>
  <c r="O492" i="8"/>
  <c r="P492" i="8"/>
  <c r="Q492" i="8"/>
  <c r="R492" i="8"/>
  <c r="S492" i="8"/>
  <c r="T492" i="8"/>
  <c r="U492" i="8"/>
  <c r="V492" i="8"/>
  <c r="W492" i="8"/>
  <c r="X492" i="8"/>
  <c r="Y492" i="8"/>
  <c r="Z492" i="8"/>
  <c r="AA492" i="8"/>
  <c r="AB492" i="8"/>
  <c r="AC492" i="8"/>
  <c r="AD492" i="8"/>
  <c r="AE492" i="8"/>
  <c r="F271" i="8"/>
  <c r="G271" i="8"/>
  <c r="H271" i="8"/>
  <c r="I271" i="8"/>
  <c r="J271" i="8"/>
  <c r="K271" i="8"/>
  <c r="L271" i="8"/>
  <c r="M271" i="8"/>
  <c r="N271" i="8"/>
  <c r="O271" i="8"/>
  <c r="P271" i="8"/>
  <c r="Q271" i="8"/>
  <c r="R271" i="8"/>
  <c r="S271" i="8"/>
  <c r="T271" i="8"/>
  <c r="U271" i="8"/>
  <c r="V271" i="8"/>
  <c r="W271" i="8"/>
  <c r="X271" i="8"/>
  <c r="Y271" i="8"/>
  <c r="Z271" i="8"/>
  <c r="AA271" i="8"/>
  <c r="AB271" i="8"/>
  <c r="AC271" i="8"/>
  <c r="AD271" i="8"/>
  <c r="AE271" i="8"/>
  <c r="F360" i="8"/>
  <c r="G360" i="8"/>
  <c r="H360" i="8"/>
  <c r="I360" i="8"/>
  <c r="J360" i="8"/>
  <c r="K360" i="8"/>
  <c r="L360" i="8"/>
  <c r="M360" i="8"/>
  <c r="N360" i="8"/>
  <c r="O360" i="8"/>
  <c r="P360" i="8"/>
  <c r="Q360" i="8"/>
  <c r="R360" i="8"/>
  <c r="S360" i="8"/>
  <c r="T360" i="8"/>
  <c r="U360" i="8"/>
  <c r="V360" i="8"/>
  <c r="W360" i="8"/>
  <c r="X360" i="8"/>
  <c r="Y360" i="8"/>
  <c r="Z360" i="8"/>
  <c r="AA360" i="8"/>
  <c r="AB360" i="8"/>
  <c r="AC360" i="8"/>
  <c r="AD360" i="8"/>
  <c r="AE360" i="8"/>
  <c r="F557" i="8"/>
  <c r="G557" i="8"/>
  <c r="H557" i="8"/>
  <c r="I557" i="8"/>
  <c r="J557" i="8"/>
  <c r="K557" i="8"/>
  <c r="L557" i="8"/>
  <c r="M557" i="8"/>
  <c r="N557" i="8"/>
  <c r="O557" i="8"/>
  <c r="P557" i="8"/>
  <c r="Q557" i="8"/>
  <c r="R557" i="8"/>
  <c r="S557" i="8"/>
  <c r="T557" i="8"/>
  <c r="U557" i="8"/>
  <c r="V557" i="8"/>
  <c r="W557" i="8"/>
  <c r="X557" i="8"/>
  <c r="Y557" i="8"/>
  <c r="Z557" i="8"/>
  <c r="AA557" i="8"/>
  <c r="AB557" i="8"/>
  <c r="AC557" i="8"/>
  <c r="AD557" i="8"/>
  <c r="AE557" i="8"/>
  <c r="F586" i="8"/>
  <c r="G586" i="8"/>
  <c r="H586" i="8"/>
  <c r="I586" i="8"/>
  <c r="J586" i="8"/>
  <c r="K586" i="8"/>
  <c r="L586" i="8"/>
  <c r="M586" i="8"/>
  <c r="N586" i="8"/>
  <c r="O586" i="8"/>
  <c r="P586" i="8"/>
  <c r="Q586" i="8"/>
  <c r="R586" i="8"/>
  <c r="S586" i="8"/>
  <c r="T586" i="8"/>
  <c r="U586" i="8"/>
  <c r="V586" i="8"/>
  <c r="W586" i="8"/>
  <c r="X586" i="8"/>
  <c r="Y586" i="8"/>
  <c r="Z586" i="8"/>
  <c r="AA586" i="8"/>
  <c r="AB586" i="8"/>
  <c r="AC586" i="8"/>
  <c r="AD586" i="8"/>
  <c r="AE586" i="8"/>
  <c r="F421" i="8"/>
  <c r="G421" i="8"/>
  <c r="H421" i="8"/>
  <c r="I421" i="8"/>
  <c r="J421" i="8"/>
  <c r="K421" i="8"/>
  <c r="L421" i="8"/>
  <c r="M421" i="8"/>
  <c r="N421" i="8"/>
  <c r="O421" i="8"/>
  <c r="P421" i="8"/>
  <c r="Q421" i="8"/>
  <c r="R421" i="8"/>
  <c r="S421" i="8"/>
  <c r="T421" i="8"/>
  <c r="U421" i="8"/>
  <c r="V421" i="8"/>
  <c r="W421" i="8"/>
  <c r="X421" i="8"/>
  <c r="Y421" i="8"/>
  <c r="Z421" i="8"/>
  <c r="AA421" i="8"/>
  <c r="AB421" i="8"/>
  <c r="AC421" i="8"/>
  <c r="AD421" i="8"/>
  <c r="AE421" i="8"/>
  <c r="F410" i="8"/>
  <c r="G410" i="8"/>
  <c r="H410" i="8"/>
  <c r="I410" i="8"/>
  <c r="J410" i="8"/>
  <c r="K410" i="8"/>
  <c r="L410" i="8"/>
  <c r="M410" i="8"/>
  <c r="N410" i="8"/>
  <c r="O410" i="8"/>
  <c r="P410" i="8"/>
  <c r="Q410" i="8"/>
  <c r="R410" i="8"/>
  <c r="S410" i="8"/>
  <c r="T410" i="8"/>
  <c r="U410" i="8"/>
  <c r="V410" i="8"/>
  <c r="W410" i="8"/>
  <c r="X410" i="8"/>
  <c r="Y410" i="8"/>
  <c r="Z410" i="8"/>
  <c r="AA410" i="8"/>
  <c r="AB410" i="8"/>
  <c r="AC410" i="8"/>
  <c r="AD410" i="8"/>
  <c r="AE410" i="8"/>
  <c r="F405" i="8"/>
  <c r="G405" i="8"/>
  <c r="H405" i="8"/>
  <c r="I405" i="8"/>
  <c r="J405" i="8"/>
  <c r="K405" i="8"/>
  <c r="L405" i="8"/>
  <c r="M405" i="8"/>
  <c r="N405" i="8"/>
  <c r="O405" i="8"/>
  <c r="P405" i="8"/>
  <c r="Q405" i="8"/>
  <c r="R405" i="8"/>
  <c r="S405" i="8"/>
  <c r="T405" i="8"/>
  <c r="U405" i="8"/>
  <c r="V405" i="8"/>
  <c r="W405" i="8"/>
  <c r="X405" i="8"/>
  <c r="Y405" i="8"/>
  <c r="Z405" i="8"/>
  <c r="AA405" i="8"/>
  <c r="AB405" i="8"/>
  <c r="AC405" i="8"/>
  <c r="AD405" i="8"/>
  <c r="AE405" i="8"/>
  <c r="F444" i="8"/>
  <c r="G444" i="8"/>
  <c r="H444" i="8"/>
  <c r="I444" i="8"/>
  <c r="J444" i="8"/>
  <c r="K444" i="8"/>
  <c r="L444" i="8"/>
  <c r="M444" i="8"/>
  <c r="N444" i="8"/>
  <c r="O444" i="8"/>
  <c r="P444" i="8"/>
  <c r="Q444" i="8"/>
  <c r="R444" i="8"/>
  <c r="S444" i="8"/>
  <c r="T444" i="8"/>
  <c r="U444" i="8"/>
  <c r="V444" i="8"/>
  <c r="W444" i="8"/>
  <c r="X444" i="8"/>
  <c r="Y444" i="8"/>
  <c r="Z444" i="8"/>
  <c r="AA444" i="8"/>
  <c r="AB444" i="8"/>
  <c r="AC444" i="8"/>
  <c r="AD444" i="8"/>
  <c r="AE444" i="8"/>
  <c r="F503" i="8"/>
  <c r="G503" i="8"/>
  <c r="H503" i="8"/>
  <c r="I503" i="8"/>
  <c r="J503" i="8"/>
  <c r="K503" i="8"/>
  <c r="L503" i="8"/>
  <c r="M503" i="8"/>
  <c r="N503" i="8"/>
  <c r="O503" i="8"/>
  <c r="P503" i="8"/>
  <c r="Q503" i="8"/>
  <c r="R503" i="8"/>
  <c r="S503" i="8"/>
  <c r="T503" i="8"/>
  <c r="U503" i="8"/>
  <c r="V503" i="8"/>
  <c r="W503" i="8"/>
  <c r="X503" i="8"/>
  <c r="Y503" i="8"/>
  <c r="Z503" i="8"/>
  <c r="AA503" i="8"/>
  <c r="AB503" i="8"/>
  <c r="AC503" i="8"/>
  <c r="AD503" i="8"/>
  <c r="AE503" i="8"/>
  <c r="F398" i="8"/>
  <c r="G398" i="8"/>
  <c r="H398" i="8"/>
  <c r="I398" i="8"/>
  <c r="J398" i="8"/>
  <c r="K398" i="8"/>
  <c r="L398" i="8"/>
  <c r="M398" i="8"/>
  <c r="N398" i="8"/>
  <c r="O398" i="8"/>
  <c r="P398" i="8"/>
  <c r="Q398" i="8"/>
  <c r="R398" i="8"/>
  <c r="S398" i="8"/>
  <c r="T398" i="8"/>
  <c r="U398" i="8"/>
  <c r="V398" i="8"/>
  <c r="W398" i="8"/>
  <c r="X398" i="8"/>
  <c r="Y398" i="8"/>
  <c r="Z398" i="8"/>
  <c r="AA398" i="8"/>
  <c r="AB398" i="8"/>
  <c r="AC398" i="8"/>
  <c r="AD398" i="8"/>
  <c r="AE398" i="8"/>
  <c r="F356" i="8"/>
  <c r="G356" i="8"/>
  <c r="H356" i="8"/>
  <c r="I356" i="8"/>
  <c r="J356" i="8"/>
  <c r="K356" i="8"/>
  <c r="L356" i="8"/>
  <c r="M356" i="8"/>
  <c r="N356" i="8"/>
  <c r="O356" i="8"/>
  <c r="P356" i="8"/>
  <c r="Q356" i="8"/>
  <c r="R356" i="8"/>
  <c r="S356" i="8"/>
  <c r="T356" i="8"/>
  <c r="U356" i="8"/>
  <c r="V356" i="8"/>
  <c r="W356" i="8"/>
  <c r="X356" i="8"/>
  <c r="Y356" i="8"/>
  <c r="Z356" i="8"/>
  <c r="AA356" i="8"/>
  <c r="AB356" i="8"/>
  <c r="AC356" i="8"/>
  <c r="AD356" i="8"/>
  <c r="AE356" i="8"/>
  <c r="F521" i="8"/>
  <c r="G521" i="8"/>
  <c r="H521" i="8"/>
  <c r="I521" i="8"/>
  <c r="J521" i="8"/>
  <c r="K521" i="8"/>
  <c r="L521" i="8"/>
  <c r="M521" i="8"/>
  <c r="N521" i="8"/>
  <c r="O521" i="8"/>
  <c r="P521" i="8"/>
  <c r="Q521" i="8"/>
  <c r="R521" i="8"/>
  <c r="S521" i="8"/>
  <c r="T521" i="8"/>
  <c r="U521" i="8"/>
  <c r="V521" i="8"/>
  <c r="W521" i="8"/>
  <c r="X521" i="8"/>
  <c r="Y521" i="8"/>
  <c r="Z521" i="8"/>
  <c r="AA521" i="8"/>
  <c r="AB521" i="8"/>
  <c r="AC521" i="8"/>
  <c r="AD521" i="8"/>
  <c r="AE521" i="8"/>
  <c r="F519" i="8"/>
  <c r="G519" i="8"/>
  <c r="H519" i="8"/>
  <c r="I519" i="8"/>
  <c r="J519" i="8"/>
  <c r="K519" i="8"/>
  <c r="L519" i="8"/>
  <c r="M519" i="8"/>
  <c r="N519" i="8"/>
  <c r="O519" i="8"/>
  <c r="P519" i="8"/>
  <c r="Q519" i="8"/>
  <c r="R519" i="8"/>
  <c r="S519" i="8"/>
  <c r="T519" i="8"/>
  <c r="U519" i="8"/>
  <c r="V519" i="8"/>
  <c r="W519" i="8"/>
  <c r="X519" i="8"/>
  <c r="Y519" i="8"/>
  <c r="Z519" i="8"/>
  <c r="AA519" i="8"/>
  <c r="AB519" i="8"/>
  <c r="AC519" i="8"/>
  <c r="AD519" i="8"/>
  <c r="AE519" i="8"/>
  <c r="F500" i="8"/>
  <c r="G500" i="8"/>
  <c r="H500" i="8"/>
  <c r="I500" i="8"/>
  <c r="J500" i="8"/>
  <c r="K500" i="8"/>
  <c r="L500" i="8"/>
  <c r="M500" i="8"/>
  <c r="N500" i="8"/>
  <c r="O500" i="8"/>
  <c r="P500" i="8"/>
  <c r="Q500" i="8"/>
  <c r="R500" i="8"/>
  <c r="S500" i="8"/>
  <c r="T500" i="8"/>
  <c r="U500" i="8"/>
  <c r="V500" i="8"/>
  <c r="W500" i="8"/>
  <c r="X500" i="8"/>
  <c r="Y500" i="8"/>
  <c r="Z500" i="8"/>
  <c r="AA500" i="8"/>
  <c r="AB500" i="8"/>
  <c r="AC500" i="8"/>
  <c r="AD500" i="8"/>
  <c r="AE500" i="8"/>
  <c r="F502" i="8"/>
  <c r="G502" i="8"/>
  <c r="H502" i="8"/>
  <c r="I502" i="8"/>
  <c r="J502" i="8"/>
  <c r="K502" i="8"/>
  <c r="L502" i="8"/>
  <c r="M502" i="8"/>
  <c r="N502" i="8"/>
  <c r="O502" i="8"/>
  <c r="P502" i="8"/>
  <c r="Q502" i="8"/>
  <c r="R502" i="8"/>
  <c r="S502" i="8"/>
  <c r="T502" i="8"/>
  <c r="U502" i="8"/>
  <c r="V502" i="8"/>
  <c r="W502" i="8"/>
  <c r="X502" i="8"/>
  <c r="Y502" i="8"/>
  <c r="Z502" i="8"/>
  <c r="AA502" i="8"/>
  <c r="AB502" i="8"/>
  <c r="AC502" i="8"/>
  <c r="AD502" i="8"/>
  <c r="AE502" i="8"/>
  <c r="F131" i="8"/>
  <c r="G131" i="8"/>
  <c r="H131" i="8"/>
  <c r="I131" i="8"/>
  <c r="J131" i="8"/>
  <c r="K131" i="8"/>
  <c r="L131" i="8"/>
  <c r="M131" i="8"/>
  <c r="N131" i="8"/>
  <c r="O131" i="8"/>
  <c r="P131" i="8"/>
  <c r="Q131" i="8"/>
  <c r="R131" i="8"/>
  <c r="S131" i="8"/>
  <c r="T131" i="8"/>
  <c r="U131" i="8"/>
  <c r="V131" i="8"/>
  <c r="W131" i="8"/>
  <c r="X131" i="8"/>
  <c r="Y131" i="8"/>
  <c r="Z131" i="8"/>
  <c r="AA131" i="8"/>
  <c r="AB131" i="8"/>
  <c r="AC131" i="8"/>
  <c r="AD131" i="8"/>
  <c r="AE131" i="8"/>
  <c r="F518" i="8"/>
  <c r="G518" i="8"/>
  <c r="H518" i="8"/>
  <c r="I518" i="8"/>
  <c r="J518" i="8"/>
  <c r="K518" i="8"/>
  <c r="L518" i="8"/>
  <c r="M518" i="8"/>
  <c r="N518" i="8"/>
  <c r="O518" i="8"/>
  <c r="P518" i="8"/>
  <c r="Q518" i="8"/>
  <c r="R518" i="8"/>
  <c r="S518" i="8"/>
  <c r="T518" i="8"/>
  <c r="U518" i="8"/>
  <c r="V518" i="8"/>
  <c r="W518" i="8"/>
  <c r="X518" i="8"/>
  <c r="Y518" i="8"/>
  <c r="Z518" i="8"/>
  <c r="AA518" i="8"/>
  <c r="AB518" i="8"/>
  <c r="AC518" i="8"/>
  <c r="AD518" i="8"/>
  <c r="AE518" i="8"/>
  <c r="F318" i="8"/>
  <c r="G318" i="8"/>
  <c r="H318" i="8"/>
  <c r="I318" i="8"/>
  <c r="J318" i="8"/>
  <c r="K318" i="8"/>
  <c r="L318" i="8"/>
  <c r="M318" i="8"/>
  <c r="N318" i="8"/>
  <c r="O318" i="8"/>
  <c r="P318" i="8"/>
  <c r="Q318" i="8"/>
  <c r="R318" i="8"/>
  <c r="S318" i="8"/>
  <c r="T318" i="8"/>
  <c r="U318" i="8"/>
  <c r="V318" i="8"/>
  <c r="W318" i="8"/>
  <c r="X318" i="8"/>
  <c r="Y318" i="8"/>
  <c r="Z318" i="8"/>
  <c r="AA318" i="8"/>
  <c r="AB318" i="8"/>
  <c r="AC318" i="8"/>
  <c r="AD318" i="8"/>
  <c r="AE318" i="8"/>
  <c r="F422" i="8"/>
  <c r="G422" i="8"/>
  <c r="H422" i="8"/>
  <c r="I422" i="8"/>
  <c r="J422" i="8"/>
  <c r="K422" i="8"/>
  <c r="L422" i="8"/>
  <c r="M422" i="8"/>
  <c r="N422" i="8"/>
  <c r="O422" i="8"/>
  <c r="P422" i="8"/>
  <c r="Q422" i="8"/>
  <c r="R422" i="8"/>
  <c r="S422" i="8"/>
  <c r="T422" i="8"/>
  <c r="U422" i="8"/>
  <c r="V422" i="8"/>
  <c r="W422" i="8"/>
  <c r="X422" i="8"/>
  <c r="Y422" i="8"/>
  <c r="Z422" i="8"/>
  <c r="AA422" i="8"/>
  <c r="AB422" i="8"/>
  <c r="AC422" i="8"/>
  <c r="AD422" i="8"/>
  <c r="AE422" i="8"/>
  <c r="F548" i="8"/>
  <c r="G548" i="8"/>
  <c r="H548" i="8"/>
  <c r="I548" i="8"/>
  <c r="J548" i="8"/>
  <c r="K548" i="8"/>
  <c r="L548" i="8"/>
  <c r="M548" i="8"/>
  <c r="N548" i="8"/>
  <c r="O548" i="8"/>
  <c r="P548" i="8"/>
  <c r="Q548" i="8"/>
  <c r="R548" i="8"/>
  <c r="S548" i="8"/>
  <c r="T548" i="8"/>
  <c r="U548" i="8"/>
  <c r="V548" i="8"/>
  <c r="W548" i="8"/>
  <c r="X548" i="8"/>
  <c r="Y548" i="8"/>
  <c r="Z548" i="8"/>
  <c r="AA548" i="8"/>
  <c r="AB548" i="8"/>
  <c r="AC548" i="8"/>
  <c r="AD548" i="8"/>
  <c r="AE548" i="8"/>
  <c r="F538" i="8"/>
  <c r="G538" i="8"/>
  <c r="H538" i="8"/>
  <c r="I538" i="8"/>
  <c r="J538" i="8"/>
  <c r="K538" i="8"/>
  <c r="L538" i="8"/>
  <c r="M538" i="8"/>
  <c r="N538" i="8"/>
  <c r="O538" i="8"/>
  <c r="P538" i="8"/>
  <c r="Q538" i="8"/>
  <c r="R538" i="8"/>
  <c r="S538" i="8"/>
  <c r="T538" i="8"/>
  <c r="U538" i="8"/>
  <c r="V538" i="8"/>
  <c r="W538" i="8"/>
  <c r="X538" i="8"/>
  <c r="Y538" i="8"/>
  <c r="Z538" i="8"/>
  <c r="AA538" i="8"/>
  <c r="AB538" i="8"/>
  <c r="AC538" i="8"/>
  <c r="AD538" i="8"/>
  <c r="AE538" i="8"/>
  <c r="F443" i="8"/>
  <c r="G443" i="8"/>
  <c r="H443" i="8"/>
  <c r="I443" i="8"/>
  <c r="J443" i="8"/>
  <c r="K443" i="8"/>
  <c r="L443" i="8"/>
  <c r="M443" i="8"/>
  <c r="N443" i="8"/>
  <c r="O443" i="8"/>
  <c r="P443" i="8"/>
  <c r="Q443" i="8"/>
  <c r="R443" i="8"/>
  <c r="S443" i="8"/>
  <c r="T443" i="8"/>
  <c r="U443" i="8"/>
  <c r="V443" i="8"/>
  <c r="W443" i="8"/>
  <c r="X443" i="8"/>
  <c r="Y443" i="8"/>
  <c r="Z443" i="8"/>
  <c r="AA443" i="8"/>
  <c r="AB443" i="8"/>
  <c r="AC443" i="8"/>
  <c r="AD443" i="8"/>
  <c r="AE443" i="8"/>
  <c r="F511" i="8"/>
  <c r="G511" i="8"/>
  <c r="H511" i="8"/>
  <c r="I511" i="8"/>
  <c r="J511" i="8"/>
  <c r="K511" i="8"/>
  <c r="L511" i="8"/>
  <c r="M511" i="8"/>
  <c r="N511" i="8"/>
  <c r="O511" i="8"/>
  <c r="P511" i="8"/>
  <c r="Q511" i="8"/>
  <c r="R511" i="8"/>
  <c r="S511" i="8"/>
  <c r="T511" i="8"/>
  <c r="U511" i="8"/>
  <c r="V511" i="8"/>
  <c r="W511" i="8"/>
  <c r="X511" i="8"/>
  <c r="Y511" i="8"/>
  <c r="Z511" i="8"/>
  <c r="AA511" i="8"/>
  <c r="AB511" i="8"/>
  <c r="AC511" i="8"/>
  <c r="AD511" i="8"/>
  <c r="AE511" i="8"/>
  <c r="F386" i="8"/>
  <c r="G386" i="8"/>
  <c r="H386" i="8"/>
  <c r="I386" i="8"/>
  <c r="J386" i="8"/>
  <c r="K386" i="8"/>
  <c r="L386" i="8"/>
  <c r="M386" i="8"/>
  <c r="N386" i="8"/>
  <c r="O386" i="8"/>
  <c r="P386" i="8"/>
  <c r="Q386" i="8"/>
  <c r="R386" i="8"/>
  <c r="S386" i="8"/>
  <c r="T386" i="8"/>
  <c r="U386" i="8"/>
  <c r="V386" i="8"/>
  <c r="W386" i="8"/>
  <c r="X386" i="8"/>
  <c r="Y386" i="8"/>
  <c r="Z386" i="8"/>
  <c r="AA386" i="8"/>
  <c r="AB386" i="8"/>
  <c r="AC386" i="8"/>
  <c r="AD386" i="8"/>
  <c r="AE386" i="8"/>
  <c r="F574" i="8"/>
  <c r="G574" i="8"/>
  <c r="H574" i="8"/>
  <c r="I574" i="8"/>
  <c r="J574" i="8"/>
  <c r="K574" i="8"/>
  <c r="L574" i="8"/>
  <c r="M574" i="8"/>
  <c r="N574" i="8"/>
  <c r="O574" i="8"/>
  <c r="P574" i="8"/>
  <c r="Q574" i="8"/>
  <c r="R574" i="8"/>
  <c r="S574" i="8"/>
  <c r="T574" i="8"/>
  <c r="U574" i="8"/>
  <c r="V574" i="8"/>
  <c r="W574" i="8"/>
  <c r="X574" i="8"/>
  <c r="Y574" i="8"/>
  <c r="Z574" i="8"/>
  <c r="AA574" i="8"/>
  <c r="AB574" i="8"/>
  <c r="AC574" i="8"/>
  <c r="AD574" i="8"/>
  <c r="AE574" i="8"/>
  <c r="F506" i="8"/>
  <c r="G506" i="8"/>
  <c r="H506" i="8"/>
  <c r="I506" i="8"/>
  <c r="J506" i="8"/>
  <c r="K506" i="8"/>
  <c r="L506" i="8"/>
  <c r="M506" i="8"/>
  <c r="N506" i="8"/>
  <c r="O506" i="8"/>
  <c r="P506" i="8"/>
  <c r="Q506" i="8"/>
  <c r="R506" i="8"/>
  <c r="S506" i="8"/>
  <c r="T506" i="8"/>
  <c r="U506" i="8"/>
  <c r="V506" i="8"/>
  <c r="W506" i="8"/>
  <c r="X506" i="8"/>
  <c r="Y506" i="8"/>
  <c r="Z506" i="8"/>
  <c r="AA506" i="8"/>
  <c r="AB506" i="8"/>
  <c r="AC506" i="8"/>
  <c r="AD506" i="8"/>
  <c r="AE506" i="8"/>
  <c r="F368" i="8"/>
  <c r="G368" i="8"/>
  <c r="H368" i="8"/>
  <c r="I368" i="8"/>
  <c r="J368" i="8"/>
  <c r="K368" i="8"/>
  <c r="L368" i="8"/>
  <c r="M368" i="8"/>
  <c r="N368" i="8"/>
  <c r="O368" i="8"/>
  <c r="P368" i="8"/>
  <c r="Q368" i="8"/>
  <c r="R368" i="8"/>
  <c r="S368" i="8"/>
  <c r="T368" i="8"/>
  <c r="U368" i="8"/>
  <c r="V368" i="8"/>
  <c r="W368" i="8"/>
  <c r="X368" i="8"/>
  <c r="Y368" i="8"/>
  <c r="Z368" i="8"/>
  <c r="AA368" i="8"/>
  <c r="AB368" i="8"/>
  <c r="AC368" i="8"/>
  <c r="AD368" i="8"/>
  <c r="AE368" i="8"/>
  <c r="F401" i="8"/>
  <c r="G401" i="8"/>
  <c r="H401" i="8"/>
  <c r="I401" i="8"/>
  <c r="J401" i="8"/>
  <c r="K401" i="8"/>
  <c r="L401" i="8"/>
  <c r="M401" i="8"/>
  <c r="N401" i="8"/>
  <c r="O401" i="8"/>
  <c r="P401" i="8"/>
  <c r="Q401" i="8"/>
  <c r="R401" i="8"/>
  <c r="S401" i="8"/>
  <c r="T401" i="8"/>
  <c r="U401" i="8"/>
  <c r="V401" i="8"/>
  <c r="W401" i="8"/>
  <c r="X401" i="8"/>
  <c r="Y401" i="8"/>
  <c r="Z401" i="8"/>
  <c r="AA401" i="8"/>
  <c r="AB401" i="8"/>
  <c r="AC401" i="8"/>
  <c r="AD401" i="8"/>
  <c r="AE401" i="8"/>
  <c r="F471" i="8"/>
  <c r="G471" i="8"/>
  <c r="H471" i="8"/>
  <c r="I471" i="8"/>
  <c r="J471" i="8"/>
  <c r="K471" i="8"/>
  <c r="L471" i="8"/>
  <c r="M471" i="8"/>
  <c r="N471" i="8"/>
  <c r="O471" i="8"/>
  <c r="P471" i="8"/>
  <c r="Q471" i="8"/>
  <c r="R471" i="8"/>
  <c r="S471" i="8"/>
  <c r="T471" i="8"/>
  <c r="U471" i="8"/>
  <c r="V471" i="8"/>
  <c r="W471" i="8"/>
  <c r="X471" i="8"/>
  <c r="Y471" i="8"/>
  <c r="Z471" i="8"/>
  <c r="AA471" i="8"/>
  <c r="AB471" i="8"/>
  <c r="AC471" i="8"/>
  <c r="AD471" i="8"/>
  <c r="AE471" i="8"/>
  <c r="F517" i="8"/>
  <c r="G517" i="8"/>
  <c r="H517" i="8"/>
  <c r="I517" i="8"/>
  <c r="J517" i="8"/>
  <c r="K517" i="8"/>
  <c r="L517" i="8"/>
  <c r="M517" i="8"/>
  <c r="N517" i="8"/>
  <c r="O517" i="8"/>
  <c r="P517" i="8"/>
  <c r="Q517" i="8"/>
  <c r="R517" i="8"/>
  <c r="S517" i="8"/>
  <c r="T517" i="8"/>
  <c r="U517" i="8"/>
  <c r="V517" i="8"/>
  <c r="W517" i="8"/>
  <c r="X517" i="8"/>
  <c r="Y517" i="8"/>
  <c r="Z517" i="8"/>
  <c r="AA517" i="8"/>
  <c r="AB517" i="8"/>
  <c r="AC517" i="8"/>
  <c r="AD517" i="8"/>
  <c r="AE517" i="8"/>
  <c r="F475" i="8"/>
  <c r="G475" i="8"/>
  <c r="H475" i="8"/>
  <c r="I475" i="8"/>
  <c r="J475" i="8"/>
  <c r="K475" i="8"/>
  <c r="L475" i="8"/>
  <c r="M475" i="8"/>
  <c r="N475" i="8"/>
  <c r="O475" i="8"/>
  <c r="P475" i="8"/>
  <c r="Q475" i="8"/>
  <c r="R475" i="8"/>
  <c r="S475" i="8"/>
  <c r="T475" i="8"/>
  <c r="U475" i="8"/>
  <c r="V475" i="8"/>
  <c r="W475" i="8"/>
  <c r="X475" i="8"/>
  <c r="Y475" i="8"/>
  <c r="Z475" i="8"/>
  <c r="AA475" i="8"/>
  <c r="AB475" i="8"/>
  <c r="AC475" i="8"/>
  <c r="AD475" i="8"/>
  <c r="AE475" i="8"/>
  <c r="F595" i="8"/>
  <c r="G595" i="8"/>
  <c r="H595" i="8"/>
  <c r="I595" i="8"/>
  <c r="J595" i="8"/>
  <c r="K595" i="8"/>
  <c r="L595" i="8"/>
  <c r="M595" i="8"/>
  <c r="N595" i="8"/>
  <c r="O595" i="8"/>
  <c r="P595" i="8"/>
  <c r="Q595" i="8"/>
  <c r="R595" i="8"/>
  <c r="S595" i="8"/>
  <c r="T595" i="8"/>
  <c r="U595" i="8"/>
  <c r="V595" i="8"/>
  <c r="W595" i="8"/>
  <c r="X595" i="8"/>
  <c r="Y595" i="8"/>
  <c r="Z595" i="8"/>
  <c r="AA595" i="8"/>
  <c r="AB595" i="8"/>
  <c r="AC595" i="8"/>
  <c r="AD595" i="8"/>
  <c r="AE595" i="8"/>
  <c r="F523" i="8"/>
  <c r="G523" i="8"/>
  <c r="H523" i="8"/>
  <c r="I523" i="8"/>
  <c r="J523" i="8"/>
  <c r="K523" i="8"/>
  <c r="L523" i="8"/>
  <c r="M523" i="8"/>
  <c r="N523" i="8"/>
  <c r="O523" i="8"/>
  <c r="P523" i="8"/>
  <c r="Q523" i="8"/>
  <c r="R523" i="8"/>
  <c r="S523" i="8"/>
  <c r="T523" i="8"/>
  <c r="U523" i="8"/>
  <c r="V523" i="8"/>
  <c r="W523" i="8"/>
  <c r="X523" i="8"/>
  <c r="Y523" i="8"/>
  <c r="Z523" i="8"/>
  <c r="AA523" i="8"/>
  <c r="AB523" i="8"/>
  <c r="AC523" i="8"/>
  <c r="AD523" i="8"/>
  <c r="AE523" i="8"/>
  <c r="F513" i="8"/>
  <c r="G513" i="8"/>
  <c r="H513" i="8"/>
  <c r="I513" i="8"/>
  <c r="J513" i="8"/>
  <c r="K513" i="8"/>
  <c r="L513" i="8"/>
  <c r="M513" i="8"/>
  <c r="N513" i="8"/>
  <c r="O513" i="8"/>
  <c r="P513" i="8"/>
  <c r="Q513" i="8"/>
  <c r="R513" i="8"/>
  <c r="S513" i="8"/>
  <c r="T513" i="8"/>
  <c r="U513" i="8"/>
  <c r="V513" i="8"/>
  <c r="W513" i="8"/>
  <c r="X513" i="8"/>
  <c r="Y513" i="8"/>
  <c r="Z513" i="8"/>
  <c r="AA513" i="8"/>
  <c r="AB513" i="8"/>
  <c r="AC513" i="8"/>
  <c r="AD513" i="8"/>
  <c r="AE513" i="8"/>
  <c r="F317" i="8"/>
  <c r="G317" i="8"/>
  <c r="H317" i="8"/>
  <c r="I317" i="8"/>
  <c r="J317" i="8"/>
  <c r="K317" i="8"/>
  <c r="L317" i="8"/>
  <c r="M317" i="8"/>
  <c r="N317" i="8"/>
  <c r="O317" i="8"/>
  <c r="P317" i="8"/>
  <c r="Q317" i="8"/>
  <c r="R317" i="8"/>
  <c r="S317" i="8"/>
  <c r="T317" i="8"/>
  <c r="U317" i="8"/>
  <c r="V317" i="8"/>
  <c r="W317" i="8"/>
  <c r="X317" i="8"/>
  <c r="Y317" i="8"/>
  <c r="Z317" i="8"/>
  <c r="AA317" i="8"/>
  <c r="AB317" i="8"/>
  <c r="AC317" i="8"/>
  <c r="AD317" i="8"/>
  <c r="AE317" i="8"/>
  <c r="F288" i="8"/>
  <c r="G288" i="8"/>
  <c r="H288" i="8"/>
  <c r="I288" i="8"/>
  <c r="J288" i="8"/>
  <c r="K288" i="8"/>
  <c r="L288" i="8"/>
  <c r="M288" i="8"/>
  <c r="N288" i="8"/>
  <c r="O288" i="8"/>
  <c r="P288" i="8"/>
  <c r="Q288" i="8"/>
  <c r="R288" i="8"/>
  <c r="S288" i="8"/>
  <c r="T288" i="8"/>
  <c r="U288" i="8"/>
  <c r="V288" i="8"/>
  <c r="W288" i="8"/>
  <c r="X288" i="8"/>
  <c r="Y288" i="8"/>
  <c r="Z288" i="8"/>
  <c r="AA288" i="8"/>
  <c r="AB288" i="8"/>
  <c r="AC288" i="8"/>
  <c r="AD288" i="8"/>
  <c r="AE288" i="8"/>
  <c r="F262" i="8"/>
  <c r="G262" i="8"/>
  <c r="H262" i="8"/>
  <c r="I262" i="8"/>
  <c r="J262" i="8"/>
  <c r="K262" i="8"/>
  <c r="L262" i="8"/>
  <c r="M262" i="8"/>
  <c r="N262" i="8"/>
  <c r="O262" i="8"/>
  <c r="P262" i="8"/>
  <c r="Q262" i="8"/>
  <c r="R262" i="8"/>
  <c r="S262" i="8"/>
  <c r="T262" i="8"/>
  <c r="U262" i="8"/>
  <c r="V262" i="8"/>
  <c r="W262" i="8"/>
  <c r="X262" i="8"/>
  <c r="Y262" i="8"/>
  <c r="Z262" i="8"/>
  <c r="AA262" i="8"/>
  <c r="AB262" i="8"/>
  <c r="AC262" i="8"/>
  <c r="AD262" i="8"/>
  <c r="AE262" i="8"/>
  <c r="F604" i="8"/>
  <c r="G604" i="8"/>
  <c r="H604" i="8"/>
  <c r="I604" i="8"/>
  <c r="J604" i="8"/>
  <c r="K604" i="8"/>
  <c r="L604" i="8"/>
  <c r="M604" i="8"/>
  <c r="N604" i="8"/>
  <c r="O604" i="8"/>
  <c r="P604" i="8"/>
  <c r="Q604" i="8"/>
  <c r="R604" i="8"/>
  <c r="S604" i="8"/>
  <c r="T604" i="8"/>
  <c r="U604" i="8"/>
  <c r="V604" i="8"/>
  <c r="W604" i="8"/>
  <c r="X604" i="8"/>
  <c r="Y604" i="8"/>
  <c r="Z604" i="8"/>
  <c r="AA604" i="8"/>
  <c r="AB604" i="8"/>
  <c r="AC604" i="8"/>
  <c r="AD604" i="8"/>
  <c r="AE604" i="8"/>
  <c r="F527" i="8"/>
  <c r="G527" i="8"/>
  <c r="H527" i="8"/>
  <c r="I527" i="8"/>
  <c r="J527" i="8"/>
  <c r="K527" i="8"/>
  <c r="L527" i="8"/>
  <c r="M527" i="8"/>
  <c r="N527" i="8"/>
  <c r="O527" i="8"/>
  <c r="P527" i="8"/>
  <c r="Q527" i="8"/>
  <c r="R527" i="8"/>
  <c r="S527" i="8"/>
  <c r="T527" i="8"/>
  <c r="U527" i="8"/>
  <c r="V527" i="8"/>
  <c r="W527" i="8"/>
  <c r="X527" i="8"/>
  <c r="Y527" i="8"/>
  <c r="Z527" i="8"/>
  <c r="AA527" i="8"/>
  <c r="AB527" i="8"/>
  <c r="AC527" i="8"/>
  <c r="AD527" i="8"/>
  <c r="AE527" i="8"/>
  <c r="F520" i="8"/>
  <c r="G520" i="8"/>
  <c r="H520" i="8"/>
  <c r="I520" i="8"/>
  <c r="J520" i="8"/>
  <c r="K520" i="8"/>
  <c r="L520" i="8"/>
  <c r="M520" i="8"/>
  <c r="N520" i="8"/>
  <c r="O520" i="8"/>
  <c r="P520" i="8"/>
  <c r="Q520" i="8"/>
  <c r="R520" i="8"/>
  <c r="S520" i="8"/>
  <c r="T520" i="8"/>
  <c r="U520" i="8"/>
  <c r="V520" i="8"/>
  <c r="W520" i="8"/>
  <c r="X520" i="8"/>
  <c r="Y520" i="8"/>
  <c r="Z520" i="8"/>
  <c r="AA520" i="8"/>
  <c r="AB520" i="8"/>
  <c r="AC520" i="8"/>
  <c r="AD520" i="8"/>
  <c r="AE520" i="8"/>
  <c r="F602" i="8"/>
  <c r="G602" i="8"/>
  <c r="H602" i="8"/>
  <c r="I602" i="8"/>
  <c r="J602" i="8"/>
  <c r="K602" i="8"/>
  <c r="L602" i="8"/>
  <c r="M602" i="8"/>
  <c r="N602" i="8"/>
  <c r="O602" i="8"/>
  <c r="P602" i="8"/>
  <c r="Q602" i="8"/>
  <c r="R602" i="8"/>
  <c r="S602" i="8"/>
  <c r="T602" i="8"/>
  <c r="U602" i="8"/>
  <c r="V602" i="8"/>
  <c r="W602" i="8"/>
  <c r="X602" i="8"/>
  <c r="Y602" i="8"/>
  <c r="Z602" i="8"/>
  <c r="AA602" i="8"/>
  <c r="AB602" i="8"/>
  <c r="AC602" i="8"/>
  <c r="AD602" i="8"/>
  <c r="AE602" i="8"/>
  <c r="F588" i="8"/>
  <c r="G588" i="8"/>
  <c r="H588" i="8"/>
  <c r="I588" i="8"/>
  <c r="J588" i="8"/>
  <c r="K588" i="8"/>
  <c r="L588" i="8"/>
  <c r="M588" i="8"/>
  <c r="N588" i="8"/>
  <c r="O588" i="8"/>
  <c r="P588" i="8"/>
  <c r="Q588" i="8"/>
  <c r="R588" i="8"/>
  <c r="S588" i="8"/>
  <c r="T588" i="8"/>
  <c r="U588" i="8"/>
  <c r="V588" i="8"/>
  <c r="W588" i="8"/>
  <c r="X588" i="8"/>
  <c r="Y588" i="8"/>
  <c r="Z588" i="8"/>
  <c r="AA588" i="8"/>
  <c r="AB588" i="8"/>
  <c r="AC588" i="8"/>
  <c r="AD588" i="8"/>
  <c r="AE588" i="8"/>
  <c r="F572" i="8"/>
  <c r="G572" i="8"/>
  <c r="H572" i="8"/>
  <c r="I572" i="8"/>
  <c r="J572" i="8"/>
  <c r="K572" i="8"/>
  <c r="L572" i="8"/>
  <c r="M572" i="8"/>
  <c r="N572" i="8"/>
  <c r="O572" i="8"/>
  <c r="P572" i="8"/>
  <c r="Q572" i="8"/>
  <c r="R572" i="8"/>
  <c r="S572" i="8"/>
  <c r="T572" i="8"/>
  <c r="U572" i="8"/>
  <c r="V572" i="8"/>
  <c r="W572" i="8"/>
  <c r="X572" i="8"/>
  <c r="Y572" i="8"/>
  <c r="Z572" i="8"/>
  <c r="AA572" i="8"/>
  <c r="AB572" i="8"/>
  <c r="AC572" i="8"/>
  <c r="AD572" i="8"/>
  <c r="AE572" i="8"/>
  <c r="F477" i="8"/>
  <c r="G477" i="8"/>
  <c r="H477" i="8"/>
  <c r="I477" i="8"/>
  <c r="J477" i="8"/>
  <c r="K477" i="8"/>
  <c r="L477" i="8"/>
  <c r="M477" i="8"/>
  <c r="N477" i="8"/>
  <c r="O477" i="8"/>
  <c r="P477" i="8"/>
  <c r="Q477" i="8"/>
  <c r="R477" i="8"/>
  <c r="S477" i="8"/>
  <c r="T477" i="8"/>
  <c r="U477" i="8"/>
  <c r="V477" i="8"/>
  <c r="W477" i="8"/>
  <c r="X477" i="8"/>
  <c r="Y477" i="8"/>
  <c r="Z477" i="8"/>
  <c r="AA477" i="8"/>
  <c r="AB477" i="8"/>
  <c r="AC477" i="8"/>
  <c r="AD477" i="8"/>
  <c r="AE477" i="8"/>
  <c r="F551" i="8"/>
  <c r="G551" i="8"/>
  <c r="H551" i="8"/>
  <c r="I551" i="8"/>
  <c r="J551" i="8"/>
  <c r="K551" i="8"/>
  <c r="L551" i="8"/>
  <c r="M551" i="8"/>
  <c r="N551" i="8"/>
  <c r="O551" i="8"/>
  <c r="P551" i="8"/>
  <c r="Q551" i="8"/>
  <c r="R551" i="8"/>
  <c r="S551" i="8"/>
  <c r="T551" i="8"/>
  <c r="U551" i="8"/>
  <c r="V551" i="8"/>
  <c r="W551" i="8"/>
  <c r="X551" i="8"/>
  <c r="Y551" i="8"/>
  <c r="Z551" i="8"/>
  <c r="AA551" i="8"/>
  <c r="AB551" i="8"/>
  <c r="AC551" i="8"/>
  <c r="AD551" i="8"/>
  <c r="AE551" i="8"/>
  <c r="F522" i="8"/>
  <c r="G522" i="8"/>
  <c r="H522" i="8"/>
  <c r="I522" i="8"/>
  <c r="J522" i="8"/>
  <c r="K522" i="8"/>
  <c r="L522" i="8"/>
  <c r="M522" i="8"/>
  <c r="N522" i="8"/>
  <c r="O522" i="8"/>
  <c r="P522" i="8"/>
  <c r="Q522" i="8"/>
  <c r="R522" i="8"/>
  <c r="S522" i="8"/>
  <c r="T522" i="8"/>
  <c r="U522" i="8"/>
  <c r="V522" i="8"/>
  <c r="W522" i="8"/>
  <c r="X522" i="8"/>
  <c r="Y522" i="8"/>
  <c r="Z522" i="8"/>
  <c r="AA522" i="8"/>
  <c r="AB522" i="8"/>
  <c r="AC522" i="8"/>
  <c r="AD522" i="8"/>
  <c r="AE522" i="8"/>
  <c r="F463" i="8"/>
  <c r="G463" i="8"/>
  <c r="H463" i="8"/>
  <c r="I463" i="8"/>
  <c r="J463" i="8"/>
  <c r="K463" i="8"/>
  <c r="L463" i="8"/>
  <c r="M463" i="8"/>
  <c r="N463" i="8"/>
  <c r="O463" i="8"/>
  <c r="P463" i="8"/>
  <c r="Q463" i="8"/>
  <c r="R463" i="8"/>
  <c r="S463" i="8"/>
  <c r="T463" i="8"/>
  <c r="U463" i="8"/>
  <c r="V463" i="8"/>
  <c r="W463" i="8"/>
  <c r="X463" i="8"/>
  <c r="Y463" i="8"/>
  <c r="Z463" i="8"/>
  <c r="AA463" i="8"/>
  <c r="AB463" i="8"/>
  <c r="AC463" i="8"/>
  <c r="AD463" i="8"/>
  <c r="AE463" i="8"/>
  <c r="F496" i="8"/>
  <c r="G496" i="8"/>
  <c r="H496" i="8"/>
  <c r="I496" i="8"/>
  <c r="J496" i="8"/>
  <c r="K496" i="8"/>
  <c r="L496" i="8"/>
  <c r="M496" i="8"/>
  <c r="N496" i="8"/>
  <c r="O496" i="8"/>
  <c r="P496" i="8"/>
  <c r="Q496" i="8"/>
  <c r="R496" i="8"/>
  <c r="S496" i="8"/>
  <c r="T496" i="8"/>
  <c r="U496" i="8"/>
  <c r="V496" i="8"/>
  <c r="W496" i="8"/>
  <c r="X496" i="8"/>
  <c r="Y496" i="8"/>
  <c r="Z496" i="8"/>
  <c r="AA496" i="8"/>
  <c r="AB496" i="8"/>
  <c r="AC496" i="8"/>
  <c r="AD496" i="8"/>
  <c r="AE496" i="8"/>
  <c r="F570" i="8"/>
  <c r="G570" i="8"/>
  <c r="H570" i="8"/>
  <c r="I570" i="8"/>
  <c r="J570" i="8"/>
  <c r="K570" i="8"/>
  <c r="L570" i="8"/>
  <c r="M570" i="8"/>
  <c r="N570" i="8"/>
  <c r="O570" i="8"/>
  <c r="P570" i="8"/>
  <c r="Q570" i="8"/>
  <c r="R570" i="8"/>
  <c r="S570" i="8"/>
  <c r="T570" i="8"/>
  <c r="U570" i="8"/>
  <c r="V570" i="8"/>
  <c r="W570" i="8"/>
  <c r="X570" i="8"/>
  <c r="Y570" i="8"/>
  <c r="Z570" i="8"/>
  <c r="AA570" i="8"/>
  <c r="AB570" i="8"/>
  <c r="AC570" i="8"/>
  <c r="AD570" i="8"/>
  <c r="AE570" i="8"/>
  <c r="F495" i="8"/>
  <c r="G495" i="8"/>
  <c r="H495" i="8"/>
  <c r="I495" i="8"/>
  <c r="J495" i="8"/>
  <c r="K495" i="8"/>
  <c r="L495" i="8"/>
  <c r="M495" i="8"/>
  <c r="N495" i="8"/>
  <c r="O495" i="8"/>
  <c r="P495" i="8"/>
  <c r="Q495" i="8"/>
  <c r="R495" i="8"/>
  <c r="S495" i="8"/>
  <c r="T495" i="8"/>
  <c r="U495" i="8"/>
  <c r="V495" i="8"/>
  <c r="W495" i="8"/>
  <c r="X495" i="8"/>
  <c r="Y495" i="8"/>
  <c r="Z495" i="8"/>
  <c r="AA495" i="8"/>
  <c r="AB495" i="8"/>
  <c r="AC495" i="8"/>
  <c r="AD495" i="8"/>
  <c r="AE495" i="8"/>
  <c r="F491" i="8"/>
  <c r="G491" i="8"/>
  <c r="H491" i="8"/>
  <c r="I491" i="8"/>
  <c r="J491" i="8"/>
  <c r="K491" i="8"/>
  <c r="L491" i="8"/>
  <c r="M491" i="8"/>
  <c r="N491" i="8"/>
  <c r="O491" i="8"/>
  <c r="P491" i="8"/>
  <c r="Q491" i="8"/>
  <c r="R491" i="8"/>
  <c r="S491" i="8"/>
  <c r="T491" i="8"/>
  <c r="U491" i="8"/>
  <c r="V491" i="8"/>
  <c r="W491" i="8"/>
  <c r="X491" i="8"/>
  <c r="Y491" i="8"/>
  <c r="Z491" i="8"/>
  <c r="AA491" i="8"/>
  <c r="AB491" i="8"/>
  <c r="AC491" i="8"/>
  <c r="AD491" i="8"/>
  <c r="AE491" i="8"/>
  <c r="F383" i="8"/>
  <c r="G383" i="8"/>
  <c r="H383" i="8"/>
  <c r="I383" i="8"/>
  <c r="J383" i="8"/>
  <c r="K383" i="8"/>
  <c r="L383" i="8"/>
  <c r="M383" i="8"/>
  <c r="N383" i="8"/>
  <c r="O383" i="8"/>
  <c r="P383" i="8"/>
  <c r="Q383" i="8"/>
  <c r="R383" i="8"/>
  <c r="S383" i="8"/>
  <c r="T383" i="8"/>
  <c r="U383" i="8"/>
  <c r="V383" i="8"/>
  <c r="W383" i="8"/>
  <c r="X383" i="8"/>
  <c r="Y383" i="8"/>
  <c r="Z383" i="8"/>
  <c r="AA383" i="8"/>
  <c r="AB383" i="8"/>
  <c r="AC383" i="8"/>
  <c r="AD383" i="8"/>
  <c r="AE383" i="8"/>
  <c r="F560" i="8"/>
  <c r="G560" i="8"/>
  <c r="H560" i="8"/>
  <c r="I560" i="8"/>
  <c r="J560" i="8"/>
  <c r="K560" i="8"/>
  <c r="L560" i="8"/>
  <c r="M560" i="8"/>
  <c r="N560" i="8"/>
  <c r="O560" i="8"/>
  <c r="P560" i="8"/>
  <c r="Q560" i="8"/>
  <c r="R560" i="8"/>
  <c r="S560" i="8"/>
  <c r="T560" i="8"/>
  <c r="U560" i="8"/>
  <c r="V560" i="8"/>
  <c r="W560" i="8"/>
  <c r="X560" i="8"/>
  <c r="Y560" i="8"/>
  <c r="Z560" i="8"/>
  <c r="AA560" i="8"/>
  <c r="AB560" i="8"/>
  <c r="AC560" i="8"/>
  <c r="AD560" i="8"/>
  <c r="AE560" i="8"/>
  <c r="F532" i="8"/>
  <c r="G532" i="8"/>
  <c r="H532" i="8"/>
  <c r="I532" i="8"/>
  <c r="J532" i="8"/>
  <c r="K532" i="8"/>
  <c r="L532" i="8"/>
  <c r="M532" i="8"/>
  <c r="N532" i="8"/>
  <c r="O532" i="8"/>
  <c r="P532" i="8"/>
  <c r="Q532" i="8"/>
  <c r="R532" i="8"/>
  <c r="S532" i="8"/>
  <c r="T532" i="8"/>
  <c r="U532" i="8"/>
  <c r="V532" i="8"/>
  <c r="W532" i="8"/>
  <c r="X532" i="8"/>
  <c r="Y532" i="8"/>
  <c r="Z532" i="8"/>
  <c r="AA532" i="8"/>
  <c r="AB532" i="8"/>
  <c r="AC532" i="8"/>
  <c r="AD532" i="8"/>
  <c r="AE532" i="8"/>
  <c r="F498" i="8"/>
  <c r="G498" i="8"/>
  <c r="H498" i="8"/>
  <c r="I498" i="8"/>
  <c r="J498" i="8"/>
  <c r="K498" i="8"/>
  <c r="L498" i="8"/>
  <c r="M498" i="8"/>
  <c r="N498" i="8"/>
  <c r="O498" i="8"/>
  <c r="P498" i="8"/>
  <c r="Q498" i="8"/>
  <c r="R498" i="8"/>
  <c r="S498" i="8"/>
  <c r="T498" i="8"/>
  <c r="U498" i="8"/>
  <c r="V498" i="8"/>
  <c r="W498" i="8"/>
  <c r="X498" i="8"/>
  <c r="Y498" i="8"/>
  <c r="Z498" i="8"/>
  <c r="AA498" i="8"/>
  <c r="AB498" i="8"/>
  <c r="AC498" i="8"/>
  <c r="AD498" i="8"/>
  <c r="AE498" i="8"/>
  <c r="F316" i="8"/>
  <c r="G316" i="8"/>
  <c r="H316" i="8"/>
  <c r="I316" i="8"/>
  <c r="J316" i="8"/>
  <c r="K316" i="8"/>
  <c r="L316" i="8"/>
  <c r="M316" i="8"/>
  <c r="N316" i="8"/>
  <c r="O316" i="8"/>
  <c r="P316" i="8"/>
  <c r="Q316" i="8"/>
  <c r="R316" i="8"/>
  <c r="S316" i="8"/>
  <c r="T316" i="8"/>
  <c r="U316" i="8"/>
  <c r="V316" i="8"/>
  <c r="W316" i="8"/>
  <c r="X316" i="8"/>
  <c r="Y316" i="8"/>
  <c r="Z316" i="8"/>
  <c r="AA316" i="8"/>
  <c r="AB316" i="8"/>
  <c r="AC316" i="8"/>
  <c r="AD316" i="8"/>
  <c r="AE316" i="8"/>
  <c r="F453" i="8"/>
  <c r="G453" i="8"/>
  <c r="H453" i="8"/>
  <c r="I453" i="8"/>
  <c r="J453" i="8"/>
  <c r="K453" i="8"/>
  <c r="L453" i="8"/>
  <c r="M453" i="8"/>
  <c r="N453" i="8"/>
  <c r="O453" i="8"/>
  <c r="P453" i="8"/>
  <c r="Q453" i="8"/>
  <c r="R453" i="8"/>
  <c r="S453" i="8"/>
  <c r="T453" i="8"/>
  <c r="U453" i="8"/>
  <c r="V453" i="8"/>
  <c r="W453" i="8"/>
  <c r="X453" i="8"/>
  <c r="Y453" i="8"/>
  <c r="Z453" i="8"/>
  <c r="AA453" i="8"/>
  <c r="AB453" i="8"/>
  <c r="AC453" i="8"/>
  <c r="AD453" i="8"/>
  <c r="AE453" i="8"/>
  <c r="F428" i="8"/>
  <c r="G428" i="8"/>
  <c r="H428" i="8"/>
  <c r="I428" i="8"/>
  <c r="J428" i="8"/>
  <c r="K428" i="8"/>
  <c r="L428" i="8"/>
  <c r="M428" i="8"/>
  <c r="N428" i="8"/>
  <c r="O428" i="8"/>
  <c r="P428" i="8"/>
  <c r="Q428" i="8"/>
  <c r="R428" i="8"/>
  <c r="S428" i="8"/>
  <c r="T428" i="8"/>
  <c r="U428" i="8"/>
  <c r="V428" i="8"/>
  <c r="W428" i="8"/>
  <c r="X428" i="8"/>
  <c r="Y428" i="8"/>
  <c r="Z428" i="8"/>
  <c r="AA428" i="8"/>
  <c r="AB428" i="8"/>
  <c r="AC428" i="8"/>
  <c r="AD428" i="8"/>
  <c r="AE428" i="8"/>
  <c r="F499" i="8"/>
  <c r="G499" i="8"/>
  <c r="H499" i="8"/>
  <c r="I499" i="8"/>
  <c r="J499" i="8"/>
  <c r="K499" i="8"/>
  <c r="L499" i="8"/>
  <c r="M499" i="8"/>
  <c r="N499" i="8"/>
  <c r="O499" i="8"/>
  <c r="P499" i="8"/>
  <c r="Q499" i="8"/>
  <c r="R499" i="8"/>
  <c r="S499" i="8"/>
  <c r="T499" i="8"/>
  <c r="U499" i="8"/>
  <c r="V499" i="8"/>
  <c r="W499" i="8"/>
  <c r="X499" i="8"/>
  <c r="Y499" i="8"/>
  <c r="Z499" i="8"/>
  <c r="AA499" i="8"/>
  <c r="AB499" i="8"/>
  <c r="AC499" i="8"/>
  <c r="AD499" i="8"/>
  <c r="AE499" i="8"/>
  <c r="F558" i="8"/>
  <c r="G558" i="8"/>
  <c r="H558" i="8"/>
  <c r="I558" i="8"/>
  <c r="J558" i="8"/>
  <c r="K558" i="8"/>
  <c r="L558" i="8"/>
  <c r="M558" i="8"/>
  <c r="N558" i="8"/>
  <c r="O558" i="8"/>
  <c r="P558" i="8"/>
  <c r="Q558" i="8"/>
  <c r="R558" i="8"/>
  <c r="S558" i="8"/>
  <c r="T558" i="8"/>
  <c r="U558" i="8"/>
  <c r="V558" i="8"/>
  <c r="W558" i="8"/>
  <c r="X558" i="8"/>
  <c r="Y558" i="8"/>
  <c r="Z558" i="8"/>
  <c r="AA558" i="8"/>
  <c r="AB558" i="8"/>
  <c r="AC558" i="8"/>
  <c r="AD558" i="8"/>
  <c r="AE558" i="8"/>
  <c r="F364" i="8"/>
  <c r="G364" i="8"/>
  <c r="H364" i="8"/>
  <c r="I364" i="8"/>
  <c r="J364" i="8"/>
  <c r="K364" i="8"/>
  <c r="L364" i="8"/>
  <c r="M364" i="8"/>
  <c r="N364" i="8"/>
  <c r="O364" i="8"/>
  <c r="P364" i="8"/>
  <c r="Q364" i="8"/>
  <c r="R364" i="8"/>
  <c r="S364" i="8"/>
  <c r="T364" i="8"/>
  <c r="U364" i="8"/>
  <c r="V364" i="8"/>
  <c r="W364" i="8"/>
  <c r="X364" i="8"/>
  <c r="Y364" i="8"/>
  <c r="Z364" i="8"/>
  <c r="AA364" i="8"/>
  <c r="AB364" i="8"/>
  <c r="AC364" i="8"/>
  <c r="AD364" i="8"/>
  <c r="AE364" i="8"/>
  <c r="F468" i="8"/>
  <c r="G468" i="8"/>
  <c r="H468" i="8"/>
  <c r="I468" i="8"/>
  <c r="J468" i="8"/>
  <c r="K468" i="8"/>
  <c r="L468" i="8"/>
  <c r="M468" i="8"/>
  <c r="N468" i="8"/>
  <c r="O468" i="8"/>
  <c r="P468" i="8"/>
  <c r="Q468" i="8"/>
  <c r="R468" i="8"/>
  <c r="S468" i="8"/>
  <c r="T468" i="8"/>
  <c r="U468" i="8"/>
  <c r="V468" i="8"/>
  <c r="W468" i="8"/>
  <c r="X468" i="8"/>
  <c r="Y468" i="8"/>
  <c r="Z468" i="8"/>
  <c r="AA468" i="8"/>
  <c r="AB468" i="8"/>
  <c r="AC468" i="8"/>
  <c r="AD468" i="8"/>
  <c r="AE468" i="8"/>
  <c r="F419" i="8"/>
  <c r="G419" i="8"/>
  <c r="H419" i="8"/>
  <c r="I419" i="8"/>
  <c r="J419" i="8"/>
  <c r="K419" i="8"/>
  <c r="L419" i="8"/>
  <c r="M419" i="8"/>
  <c r="N419" i="8"/>
  <c r="O419" i="8"/>
  <c r="P419" i="8"/>
  <c r="Q419" i="8"/>
  <c r="R419" i="8"/>
  <c r="S419" i="8"/>
  <c r="T419" i="8"/>
  <c r="U419" i="8"/>
  <c r="V419" i="8"/>
  <c r="W419" i="8"/>
  <c r="X419" i="8"/>
  <c r="Y419" i="8"/>
  <c r="Z419" i="8"/>
  <c r="AA419" i="8"/>
  <c r="AB419" i="8"/>
  <c r="AC419" i="8"/>
  <c r="AD419" i="8"/>
  <c r="AE419" i="8"/>
  <c r="F297" i="8"/>
  <c r="G297" i="8"/>
  <c r="H297" i="8"/>
  <c r="I297" i="8"/>
  <c r="J297" i="8"/>
  <c r="K297" i="8"/>
  <c r="L297" i="8"/>
  <c r="M297" i="8"/>
  <c r="N297" i="8"/>
  <c r="O297" i="8"/>
  <c r="P297" i="8"/>
  <c r="Q297" i="8"/>
  <c r="R297" i="8"/>
  <c r="S297" i="8"/>
  <c r="T297" i="8"/>
  <c r="U297" i="8"/>
  <c r="V297" i="8"/>
  <c r="W297" i="8"/>
  <c r="X297" i="8"/>
  <c r="Y297" i="8"/>
  <c r="Z297" i="8"/>
  <c r="AA297" i="8"/>
  <c r="AB297" i="8"/>
  <c r="AC297" i="8"/>
  <c r="AD297" i="8"/>
  <c r="AE297" i="8"/>
  <c r="F530" i="8"/>
  <c r="G530" i="8"/>
  <c r="H530" i="8"/>
  <c r="I530" i="8"/>
  <c r="J530" i="8"/>
  <c r="K530" i="8"/>
  <c r="L530" i="8"/>
  <c r="M530" i="8"/>
  <c r="N530" i="8"/>
  <c r="O530" i="8"/>
  <c r="P530" i="8"/>
  <c r="Q530" i="8"/>
  <c r="R530" i="8"/>
  <c r="S530" i="8"/>
  <c r="T530" i="8"/>
  <c r="U530" i="8"/>
  <c r="V530" i="8"/>
  <c r="W530" i="8"/>
  <c r="X530" i="8"/>
  <c r="Y530" i="8"/>
  <c r="Z530" i="8"/>
  <c r="AA530" i="8"/>
  <c r="AB530" i="8"/>
  <c r="AC530" i="8"/>
  <c r="AD530" i="8"/>
  <c r="AE530" i="8"/>
  <c r="F423" i="8"/>
  <c r="G423" i="8"/>
  <c r="H423" i="8"/>
  <c r="I423" i="8"/>
  <c r="J423" i="8"/>
  <c r="K423" i="8"/>
  <c r="L423" i="8"/>
  <c r="M423" i="8"/>
  <c r="N423" i="8"/>
  <c r="O423" i="8"/>
  <c r="P423" i="8"/>
  <c r="Q423" i="8"/>
  <c r="R423" i="8"/>
  <c r="S423" i="8"/>
  <c r="T423" i="8"/>
  <c r="U423" i="8"/>
  <c r="V423" i="8"/>
  <c r="W423" i="8"/>
  <c r="X423" i="8"/>
  <c r="Y423" i="8"/>
  <c r="Z423" i="8"/>
  <c r="AA423" i="8"/>
  <c r="AB423" i="8"/>
  <c r="AC423" i="8"/>
  <c r="AD423" i="8"/>
  <c r="AE423" i="8"/>
  <c r="F524" i="8"/>
  <c r="G524" i="8"/>
  <c r="H524" i="8"/>
  <c r="I524" i="8"/>
  <c r="J524" i="8"/>
  <c r="K524" i="8"/>
  <c r="L524" i="8"/>
  <c r="M524" i="8"/>
  <c r="N524" i="8"/>
  <c r="O524" i="8"/>
  <c r="P524" i="8"/>
  <c r="Q524" i="8"/>
  <c r="R524" i="8"/>
  <c r="S524" i="8"/>
  <c r="T524" i="8"/>
  <c r="U524" i="8"/>
  <c r="V524" i="8"/>
  <c r="W524" i="8"/>
  <c r="X524" i="8"/>
  <c r="Y524" i="8"/>
  <c r="Z524" i="8"/>
  <c r="AA524" i="8"/>
  <c r="AB524" i="8"/>
  <c r="AC524" i="8"/>
  <c r="AD524" i="8"/>
  <c r="AE524" i="8"/>
  <c r="F567" i="8"/>
  <c r="G567" i="8"/>
  <c r="H567" i="8"/>
  <c r="I567" i="8"/>
  <c r="J567" i="8"/>
  <c r="K567" i="8"/>
  <c r="L567" i="8"/>
  <c r="M567" i="8"/>
  <c r="N567" i="8"/>
  <c r="O567" i="8"/>
  <c r="P567" i="8"/>
  <c r="Q567" i="8"/>
  <c r="R567" i="8"/>
  <c r="S567" i="8"/>
  <c r="T567" i="8"/>
  <c r="U567" i="8"/>
  <c r="V567" i="8"/>
  <c r="W567" i="8"/>
  <c r="X567" i="8"/>
  <c r="Y567" i="8"/>
  <c r="Z567" i="8"/>
  <c r="AA567" i="8"/>
  <c r="AB567" i="8"/>
  <c r="AC567" i="8"/>
  <c r="AD567" i="8"/>
  <c r="AE567" i="8"/>
  <c r="F382" i="8"/>
  <c r="G382" i="8"/>
  <c r="H382" i="8"/>
  <c r="I382" i="8"/>
  <c r="J382" i="8"/>
  <c r="K382" i="8"/>
  <c r="L382" i="8"/>
  <c r="M382" i="8"/>
  <c r="N382" i="8"/>
  <c r="O382" i="8"/>
  <c r="P382" i="8"/>
  <c r="Q382" i="8"/>
  <c r="R382" i="8"/>
  <c r="S382" i="8"/>
  <c r="T382" i="8"/>
  <c r="U382" i="8"/>
  <c r="V382" i="8"/>
  <c r="W382" i="8"/>
  <c r="X382" i="8"/>
  <c r="Y382" i="8"/>
  <c r="Z382" i="8"/>
  <c r="AA382" i="8"/>
  <c r="AB382" i="8"/>
  <c r="AC382" i="8"/>
  <c r="AD382" i="8"/>
  <c r="AE382" i="8"/>
  <c r="F231" i="8"/>
  <c r="G231" i="8"/>
  <c r="H231" i="8"/>
  <c r="I231" i="8"/>
  <c r="J231" i="8"/>
  <c r="K231" i="8"/>
  <c r="L231" i="8"/>
  <c r="M231" i="8"/>
  <c r="N231" i="8"/>
  <c r="O231" i="8"/>
  <c r="P231" i="8"/>
  <c r="Q231" i="8"/>
  <c r="R231" i="8"/>
  <c r="S231" i="8"/>
  <c r="T231" i="8"/>
  <c r="U231" i="8"/>
  <c r="V231" i="8"/>
  <c r="W231" i="8"/>
  <c r="X231" i="8"/>
  <c r="Y231" i="8"/>
  <c r="Z231" i="8"/>
  <c r="AA231" i="8"/>
  <c r="AB231" i="8"/>
  <c r="AC231" i="8"/>
  <c r="AD231" i="8"/>
  <c r="AE231" i="8"/>
  <c r="F321" i="8"/>
  <c r="G321" i="8"/>
  <c r="H321" i="8"/>
  <c r="I321" i="8"/>
  <c r="J321" i="8"/>
  <c r="K321" i="8"/>
  <c r="L321" i="8"/>
  <c r="M321" i="8"/>
  <c r="N321" i="8"/>
  <c r="O321" i="8"/>
  <c r="P321" i="8"/>
  <c r="Q321" i="8"/>
  <c r="R321" i="8"/>
  <c r="S321" i="8"/>
  <c r="T321" i="8"/>
  <c r="U321" i="8"/>
  <c r="V321" i="8"/>
  <c r="W321" i="8"/>
  <c r="X321" i="8"/>
  <c r="Y321" i="8"/>
  <c r="Z321" i="8"/>
  <c r="AA321" i="8"/>
  <c r="AB321" i="8"/>
  <c r="AC321" i="8"/>
  <c r="AD321" i="8"/>
  <c r="AE321" i="8"/>
  <c r="F482" i="8"/>
  <c r="G482" i="8"/>
  <c r="H482" i="8"/>
  <c r="I482" i="8"/>
  <c r="J482" i="8"/>
  <c r="K482" i="8"/>
  <c r="L482" i="8"/>
  <c r="M482" i="8"/>
  <c r="N482" i="8"/>
  <c r="O482" i="8"/>
  <c r="P482" i="8"/>
  <c r="Q482" i="8"/>
  <c r="R482" i="8"/>
  <c r="S482" i="8"/>
  <c r="T482" i="8"/>
  <c r="U482" i="8"/>
  <c r="V482" i="8"/>
  <c r="W482" i="8"/>
  <c r="X482" i="8"/>
  <c r="Y482" i="8"/>
  <c r="Z482" i="8"/>
  <c r="AA482" i="8"/>
  <c r="AB482" i="8"/>
  <c r="AC482" i="8"/>
  <c r="AD482" i="8"/>
  <c r="AE482" i="8"/>
  <c r="F545" i="8"/>
  <c r="G545" i="8"/>
  <c r="H545" i="8"/>
  <c r="I545" i="8"/>
  <c r="J545" i="8"/>
  <c r="K545" i="8"/>
  <c r="L545" i="8"/>
  <c r="M545" i="8"/>
  <c r="N545" i="8"/>
  <c r="O545" i="8"/>
  <c r="P545" i="8"/>
  <c r="Q545" i="8"/>
  <c r="R545" i="8"/>
  <c r="S545" i="8"/>
  <c r="T545" i="8"/>
  <c r="U545" i="8"/>
  <c r="V545" i="8"/>
  <c r="W545" i="8"/>
  <c r="X545" i="8"/>
  <c r="Y545" i="8"/>
  <c r="Z545" i="8"/>
  <c r="AA545" i="8"/>
  <c r="AB545" i="8"/>
  <c r="AC545" i="8"/>
  <c r="AD545" i="8"/>
  <c r="AE545" i="8"/>
  <c r="F427" i="8"/>
  <c r="G427" i="8"/>
  <c r="H427" i="8"/>
  <c r="I427" i="8"/>
  <c r="J427" i="8"/>
  <c r="K427" i="8"/>
  <c r="L427" i="8"/>
  <c r="M427" i="8"/>
  <c r="N427" i="8"/>
  <c r="O427" i="8"/>
  <c r="P427" i="8"/>
  <c r="Q427" i="8"/>
  <c r="R427" i="8"/>
  <c r="S427" i="8"/>
  <c r="T427" i="8"/>
  <c r="U427" i="8"/>
  <c r="V427" i="8"/>
  <c r="W427" i="8"/>
  <c r="X427" i="8"/>
  <c r="Y427" i="8"/>
  <c r="Z427" i="8"/>
  <c r="AA427" i="8"/>
  <c r="AB427" i="8"/>
  <c r="AC427" i="8"/>
  <c r="AD427" i="8"/>
  <c r="AE427" i="8"/>
  <c r="F555" i="8"/>
  <c r="G555" i="8"/>
  <c r="H555" i="8"/>
  <c r="I555" i="8"/>
  <c r="J555" i="8"/>
  <c r="K555" i="8"/>
  <c r="L555" i="8"/>
  <c r="M555" i="8"/>
  <c r="N555" i="8"/>
  <c r="O555" i="8"/>
  <c r="P555" i="8"/>
  <c r="Q555" i="8"/>
  <c r="R555" i="8"/>
  <c r="S555" i="8"/>
  <c r="T555" i="8"/>
  <c r="U555" i="8"/>
  <c r="V555" i="8"/>
  <c r="W555" i="8"/>
  <c r="X555" i="8"/>
  <c r="Y555" i="8"/>
  <c r="Z555" i="8"/>
  <c r="AA555" i="8"/>
  <c r="AB555" i="8"/>
  <c r="AC555" i="8"/>
  <c r="AD555" i="8"/>
  <c r="AE555" i="8"/>
  <c r="F393" i="8"/>
  <c r="G393" i="8"/>
  <c r="H393" i="8"/>
  <c r="I393" i="8"/>
  <c r="J393" i="8"/>
  <c r="K393" i="8"/>
  <c r="L393" i="8"/>
  <c r="M393" i="8"/>
  <c r="N393" i="8"/>
  <c r="O393" i="8"/>
  <c r="P393" i="8"/>
  <c r="Q393" i="8"/>
  <c r="R393" i="8"/>
  <c r="S393" i="8"/>
  <c r="T393" i="8"/>
  <c r="U393" i="8"/>
  <c r="V393" i="8"/>
  <c r="W393" i="8"/>
  <c r="X393" i="8"/>
  <c r="Y393" i="8"/>
  <c r="Z393" i="8"/>
  <c r="AA393" i="8"/>
  <c r="AB393" i="8"/>
  <c r="AC393" i="8"/>
  <c r="AD393" i="8"/>
  <c r="AE393" i="8"/>
  <c r="F568" i="8"/>
  <c r="G568" i="8"/>
  <c r="H568" i="8"/>
  <c r="I568" i="8"/>
  <c r="J568" i="8"/>
  <c r="K568" i="8"/>
  <c r="L568" i="8"/>
  <c r="M568" i="8"/>
  <c r="N568" i="8"/>
  <c r="O568" i="8"/>
  <c r="P568" i="8"/>
  <c r="Q568" i="8"/>
  <c r="R568" i="8"/>
  <c r="S568" i="8"/>
  <c r="T568" i="8"/>
  <c r="U568" i="8"/>
  <c r="V568" i="8"/>
  <c r="W568" i="8"/>
  <c r="X568" i="8"/>
  <c r="Y568" i="8"/>
  <c r="Z568" i="8"/>
  <c r="AA568" i="8"/>
  <c r="AB568" i="8"/>
  <c r="AC568" i="8"/>
  <c r="AD568" i="8"/>
  <c r="AE568" i="8"/>
  <c r="F531" i="8"/>
  <c r="G531" i="8"/>
  <c r="H531" i="8"/>
  <c r="I531" i="8"/>
  <c r="J531" i="8"/>
  <c r="K531" i="8"/>
  <c r="L531" i="8"/>
  <c r="M531" i="8"/>
  <c r="N531" i="8"/>
  <c r="O531" i="8"/>
  <c r="P531" i="8"/>
  <c r="Q531" i="8"/>
  <c r="R531" i="8"/>
  <c r="S531" i="8"/>
  <c r="T531" i="8"/>
  <c r="U531" i="8"/>
  <c r="V531" i="8"/>
  <c r="W531" i="8"/>
  <c r="X531" i="8"/>
  <c r="Y531" i="8"/>
  <c r="Z531" i="8"/>
  <c r="AA531" i="8"/>
  <c r="AB531" i="8"/>
  <c r="AC531" i="8"/>
  <c r="AD531" i="8"/>
  <c r="AE531" i="8"/>
  <c r="F549" i="8"/>
  <c r="G549" i="8"/>
  <c r="H549" i="8"/>
  <c r="I549" i="8"/>
  <c r="J549" i="8"/>
  <c r="K549" i="8"/>
  <c r="L549" i="8"/>
  <c r="M549" i="8"/>
  <c r="N549" i="8"/>
  <c r="O549" i="8"/>
  <c r="P549" i="8"/>
  <c r="Q549" i="8"/>
  <c r="R549" i="8"/>
  <c r="S549" i="8"/>
  <c r="T549" i="8"/>
  <c r="U549" i="8"/>
  <c r="V549" i="8"/>
  <c r="W549" i="8"/>
  <c r="X549" i="8"/>
  <c r="Y549" i="8"/>
  <c r="Z549" i="8"/>
  <c r="AA549" i="8"/>
  <c r="AB549" i="8"/>
  <c r="AC549" i="8"/>
  <c r="AD549" i="8"/>
  <c r="AE549" i="8"/>
  <c r="F585" i="8"/>
  <c r="G585" i="8"/>
  <c r="H585" i="8"/>
  <c r="I585" i="8"/>
  <c r="J585" i="8"/>
  <c r="K585" i="8"/>
  <c r="L585" i="8"/>
  <c r="M585" i="8"/>
  <c r="N585" i="8"/>
  <c r="O585" i="8"/>
  <c r="P585" i="8"/>
  <c r="Q585" i="8"/>
  <c r="R585" i="8"/>
  <c r="S585" i="8"/>
  <c r="T585" i="8"/>
  <c r="U585" i="8"/>
  <c r="V585" i="8"/>
  <c r="W585" i="8"/>
  <c r="X585" i="8"/>
  <c r="Y585" i="8"/>
  <c r="Z585" i="8"/>
  <c r="AA585" i="8"/>
  <c r="AB585" i="8"/>
  <c r="AC585" i="8"/>
  <c r="AD585" i="8"/>
  <c r="AE585" i="8"/>
  <c r="F414" i="8"/>
  <c r="G414" i="8"/>
  <c r="H414" i="8"/>
  <c r="I414" i="8"/>
  <c r="J414" i="8"/>
  <c r="K414" i="8"/>
  <c r="L414" i="8"/>
  <c r="M414" i="8"/>
  <c r="N414" i="8"/>
  <c r="O414" i="8"/>
  <c r="P414" i="8"/>
  <c r="Q414" i="8"/>
  <c r="R414" i="8"/>
  <c r="S414" i="8"/>
  <c r="T414" i="8"/>
  <c r="U414" i="8"/>
  <c r="V414" i="8"/>
  <c r="W414" i="8"/>
  <c r="X414" i="8"/>
  <c r="Y414" i="8"/>
  <c r="Z414" i="8"/>
  <c r="AA414" i="8"/>
  <c r="AB414" i="8"/>
  <c r="AC414" i="8"/>
  <c r="AD414" i="8"/>
  <c r="AE414" i="8"/>
  <c r="F465" i="8"/>
  <c r="G465" i="8"/>
  <c r="H465" i="8"/>
  <c r="I465" i="8"/>
  <c r="J465" i="8"/>
  <c r="K465" i="8"/>
  <c r="L465" i="8"/>
  <c r="M465" i="8"/>
  <c r="N465" i="8"/>
  <c r="O465" i="8"/>
  <c r="P465" i="8"/>
  <c r="Q465" i="8"/>
  <c r="R465" i="8"/>
  <c r="S465" i="8"/>
  <c r="T465" i="8"/>
  <c r="U465" i="8"/>
  <c r="V465" i="8"/>
  <c r="W465" i="8"/>
  <c r="X465" i="8"/>
  <c r="Y465" i="8"/>
  <c r="Z465" i="8"/>
  <c r="AA465" i="8"/>
  <c r="AB465" i="8"/>
  <c r="AC465" i="8"/>
  <c r="AD465" i="8"/>
  <c r="AE465" i="8"/>
  <c r="F536" i="8"/>
  <c r="G536" i="8"/>
  <c r="H536" i="8"/>
  <c r="I536" i="8"/>
  <c r="J536" i="8"/>
  <c r="K536" i="8"/>
  <c r="L536" i="8"/>
  <c r="M536" i="8"/>
  <c r="N536" i="8"/>
  <c r="O536" i="8"/>
  <c r="P536" i="8"/>
  <c r="Q536" i="8"/>
  <c r="R536" i="8"/>
  <c r="S536" i="8"/>
  <c r="T536" i="8"/>
  <c r="U536" i="8"/>
  <c r="V536" i="8"/>
  <c r="W536" i="8"/>
  <c r="X536" i="8"/>
  <c r="Y536" i="8"/>
  <c r="Z536" i="8"/>
  <c r="AA536" i="8"/>
  <c r="AB536" i="8"/>
  <c r="AC536" i="8"/>
  <c r="AD536" i="8"/>
  <c r="AE536" i="8"/>
  <c r="F587" i="8"/>
  <c r="G587" i="8"/>
  <c r="H587" i="8"/>
  <c r="I587" i="8"/>
  <c r="J587" i="8"/>
  <c r="K587" i="8"/>
  <c r="L587" i="8"/>
  <c r="M587" i="8"/>
  <c r="N587" i="8"/>
  <c r="O587" i="8"/>
  <c r="P587" i="8"/>
  <c r="Q587" i="8"/>
  <c r="R587" i="8"/>
  <c r="S587" i="8"/>
  <c r="T587" i="8"/>
  <c r="U587" i="8"/>
  <c r="V587" i="8"/>
  <c r="W587" i="8"/>
  <c r="X587" i="8"/>
  <c r="Y587" i="8"/>
  <c r="Z587" i="8"/>
  <c r="AA587" i="8"/>
  <c r="AB587" i="8"/>
  <c r="AC587" i="8"/>
  <c r="AD587" i="8"/>
  <c r="AE587" i="8"/>
  <c r="F478" i="8"/>
  <c r="G478" i="8"/>
  <c r="H478" i="8"/>
  <c r="I478" i="8"/>
  <c r="J478" i="8"/>
  <c r="K478" i="8"/>
  <c r="L478" i="8"/>
  <c r="M478" i="8"/>
  <c r="N478" i="8"/>
  <c r="O478" i="8"/>
  <c r="P478" i="8"/>
  <c r="Q478" i="8"/>
  <c r="R478" i="8"/>
  <c r="S478" i="8"/>
  <c r="T478" i="8"/>
  <c r="U478" i="8"/>
  <c r="V478" i="8"/>
  <c r="W478" i="8"/>
  <c r="X478" i="8"/>
  <c r="Y478" i="8"/>
  <c r="Z478" i="8"/>
  <c r="AA478" i="8"/>
  <c r="AB478" i="8"/>
  <c r="AC478" i="8"/>
  <c r="AD478" i="8"/>
  <c r="AE478" i="8"/>
  <c r="F576" i="8"/>
  <c r="G576" i="8"/>
  <c r="H576" i="8"/>
  <c r="I576" i="8"/>
  <c r="J576" i="8"/>
  <c r="K576" i="8"/>
  <c r="L576" i="8"/>
  <c r="M576" i="8"/>
  <c r="N576" i="8"/>
  <c r="O576" i="8"/>
  <c r="P576" i="8"/>
  <c r="Q576" i="8"/>
  <c r="R576" i="8"/>
  <c r="S576" i="8"/>
  <c r="T576" i="8"/>
  <c r="U576" i="8"/>
  <c r="V576" i="8"/>
  <c r="W576" i="8"/>
  <c r="X576" i="8"/>
  <c r="Y576" i="8"/>
  <c r="Z576" i="8"/>
  <c r="AA576" i="8"/>
  <c r="AB576" i="8"/>
  <c r="AC576" i="8"/>
  <c r="AD576" i="8"/>
  <c r="AE576" i="8"/>
  <c r="F442" i="8"/>
  <c r="G442" i="8"/>
  <c r="H442" i="8"/>
  <c r="I442" i="8"/>
  <c r="J442" i="8"/>
  <c r="K442" i="8"/>
  <c r="L442" i="8"/>
  <c r="M442" i="8"/>
  <c r="N442" i="8"/>
  <c r="O442" i="8"/>
  <c r="P442" i="8"/>
  <c r="Q442" i="8"/>
  <c r="R442" i="8"/>
  <c r="S442" i="8"/>
  <c r="T442" i="8"/>
  <c r="U442" i="8"/>
  <c r="V442" i="8"/>
  <c r="W442" i="8"/>
  <c r="X442" i="8"/>
  <c r="Y442" i="8"/>
  <c r="Z442" i="8"/>
  <c r="AA442" i="8"/>
  <c r="AB442" i="8"/>
  <c r="AC442" i="8"/>
  <c r="AD442" i="8"/>
  <c r="AE442" i="8"/>
  <c r="F485" i="8"/>
  <c r="G485" i="8"/>
  <c r="H485" i="8"/>
  <c r="I485" i="8"/>
  <c r="J485" i="8"/>
  <c r="K485" i="8"/>
  <c r="L485" i="8"/>
  <c r="M485" i="8"/>
  <c r="N485" i="8"/>
  <c r="O485" i="8"/>
  <c r="P485" i="8"/>
  <c r="Q485" i="8"/>
  <c r="R485" i="8"/>
  <c r="S485" i="8"/>
  <c r="T485" i="8"/>
  <c r="U485" i="8"/>
  <c r="V485" i="8"/>
  <c r="W485" i="8"/>
  <c r="X485" i="8"/>
  <c r="Y485" i="8"/>
  <c r="Z485" i="8"/>
  <c r="AA485" i="8"/>
  <c r="AB485" i="8"/>
  <c r="AC485" i="8"/>
  <c r="AD485" i="8"/>
  <c r="AE485" i="8"/>
  <c r="F417" i="8"/>
  <c r="G417" i="8"/>
  <c r="H417" i="8"/>
  <c r="I417" i="8"/>
  <c r="J417" i="8"/>
  <c r="K417" i="8"/>
  <c r="L417" i="8"/>
  <c r="M417" i="8"/>
  <c r="N417" i="8"/>
  <c r="O417" i="8"/>
  <c r="P417" i="8"/>
  <c r="Q417" i="8"/>
  <c r="R417" i="8"/>
  <c r="S417" i="8"/>
  <c r="T417" i="8"/>
  <c r="U417" i="8"/>
  <c r="V417" i="8"/>
  <c r="W417" i="8"/>
  <c r="X417" i="8"/>
  <c r="Y417" i="8"/>
  <c r="Z417" i="8"/>
  <c r="AA417" i="8"/>
  <c r="AB417" i="8"/>
  <c r="AC417" i="8"/>
  <c r="AD417" i="8"/>
  <c r="AE417" i="8"/>
  <c r="F314" i="8"/>
  <c r="G314" i="8"/>
  <c r="H314" i="8"/>
  <c r="I314" i="8"/>
  <c r="J314" i="8"/>
  <c r="K314" i="8"/>
  <c r="L314" i="8"/>
  <c r="M314" i="8"/>
  <c r="N314" i="8"/>
  <c r="O314" i="8"/>
  <c r="P314" i="8"/>
  <c r="Q314" i="8"/>
  <c r="R314" i="8"/>
  <c r="S314" i="8"/>
  <c r="T314" i="8"/>
  <c r="U314" i="8"/>
  <c r="V314" i="8"/>
  <c r="W314" i="8"/>
  <c r="X314" i="8"/>
  <c r="Y314" i="8"/>
  <c r="Z314" i="8"/>
  <c r="AA314" i="8"/>
  <c r="AB314" i="8"/>
  <c r="AC314" i="8"/>
  <c r="AD314" i="8"/>
  <c r="AE314" i="8"/>
  <c r="F249" i="8"/>
  <c r="G249" i="8"/>
  <c r="H249" i="8"/>
  <c r="I249" i="8"/>
  <c r="J249" i="8"/>
  <c r="K249" i="8"/>
  <c r="L249" i="8"/>
  <c r="M249" i="8"/>
  <c r="N249" i="8"/>
  <c r="O249" i="8"/>
  <c r="P249" i="8"/>
  <c r="Q249" i="8"/>
  <c r="R249" i="8"/>
  <c r="S249" i="8"/>
  <c r="T249" i="8"/>
  <c r="U249" i="8"/>
  <c r="V249" i="8"/>
  <c r="W249" i="8"/>
  <c r="X249" i="8"/>
  <c r="Y249" i="8"/>
  <c r="Z249" i="8"/>
  <c r="AA249" i="8"/>
  <c r="AB249" i="8"/>
  <c r="AC249" i="8"/>
  <c r="AD249" i="8"/>
  <c r="AE249" i="8"/>
  <c r="F328" i="8"/>
  <c r="G328" i="8"/>
  <c r="H328" i="8"/>
  <c r="I328" i="8"/>
  <c r="J328" i="8"/>
  <c r="K328" i="8"/>
  <c r="L328" i="8"/>
  <c r="M328" i="8"/>
  <c r="N328" i="8"/>
  <c r="O328" i="8"/>
  <c r="P328" i="8"/>
  <c r="Q328" i="8"/>
  <c r="R328" i="8"/>
  <c r="S328" i="8"/>
  <c r="T328" i="8"/>
  <c r="U328" i="8"/>
  <c r="V328" i="8"/>
  <c r="W328" i="8"/>
  <c r="X328" i="8"/>
  <c r="Y328" i="8"/>
  <c r="Z328" i="8"/>
  <c r="AA328" i="8"/>
  <c r="AB328" i="8"/>
  <c r="AC328" i="8"/>
  <c r="AD328" i="8"/>
  <c r="AE328" i="8"/>
  <c r="F111" i="8"/>
  <c r="G111" i="8"/>
  <c r="H111" i="8"/>
  <c r="I111" i="8"/>
  <c r="J111" i="8"/>
  <c r="K111" i="8"/>
  <c r="L111" i="8"/>
  <c r="M111" i="8"/>
  <c r="N111" i="8"/>
  <c r="O111" i="8"/>
  <c r="P111" i="8"/>
  <c r="Q111" i="8"/>
  <c r="R111" i="8"/>
  <c r="S111" i="8"/>
  <c r="T111" i="8"/>
  <c r="U111" i="8"/>
  <c r="V111" i="8"/>
  <c r="W111" i="8"/>
  <c r="X111" i="8"/>
  <c r="Y111" i="8"/>
  <c r="Z111" i="8"/>
  <c r="AA111" i="8"/>
  <c r="AB111" i="8"/>
  <c r="AC111" i="8"/>
  <c r="AD111" i="8"/>
  <c r="AE111" i="8"/>
  <c r="F408" i="8"/>
  <c r="G408" i="8"/>
  <c r="H408" i="8"/>
  <c r="I408" i="8"/>
  <c r="J408" i="8"/>
  <c r="K408" i="8"/>
  <c r="L408" i="8"/>
  <c r="M408" i="8"/>
  <c r="N408" i="8"/>
  <c r="O408" i="8"/>
  <c r="P408" i="8"/>
  <c r="Q408" i="8"/>
  <c r="R408" i="8"/>
  <c r="S408" i="8"/>
  <c r="T408" i="8"/>
  <c r="U408" i="8"/>
  <c r="V408" i="8"/>
  <c r="W408" i="8"/>
  <c r="X408" i="8"/>
  <c r="Y408" i="8"/>
  <c r="Z408" i="8"/>
  <c r="AA408" i="8"/>
  <c r="AB408" i="8"/>
  <c r="AC408" i="8"/>
  <c r="AD408" i="8"/>
  <c r="AE408" i="8"/>
  <c r="F596" i="8"/>
  <c r="G596" i="8"/>
  <c r="H596" i="8"/>
  <c r="I596" i="8"/>
  <c r="J596" i="8"/>
  <c r="K596" i="8"/>
  <c r="L596" i="8"/>
  <c r="M596" i="8"/>
  <c r="N596" i="8"/>
  <c r="O596" i="8"/>
  <c r="P596" i="8"/>
  <c r="Q596" i="8"/>
  <c r="R596" i="8"/>
  <c r="S596" i="8"/>
  <c r="T596" i="8"/>
  <c r="U596" i="8"/>
  <c r="V596" i="8"/>
  <c r="W596" i="8"/>
  <c r="X596" i="8"/>
  <c r="Y596" i="8"/>
  <c r="Z596" i="8"/>
  <c r="AA596" i="8"/>
  <c r="AB596" i="8"/>
  <c r="AC596" i="8"/>
  <c r="AD596" i="8"/>
  <c r="AE596" i="8"/>
  <c r="F541" i="8"/>
  <c r="G541" i="8"/>
  <c r="H541" i="8"/>
  <c r="I541" i="8"/>
  <c r="J541" i="8"/>
  <c r="K541" i="8"/>
  <c r="L541" i="8"/>
  <c r="M541" i="8"/>
  <c r="N541" i="8"/>
  <c r="O541" i="8"/>
  <c r="P541" i="8"/>
  <c r="Q541" i="8"/>
  <c r="R541" i="8"/>
  <c r="S541" i="8"/>
  <c r="T541" i="8"/>
  <c r="U541" i="8"/>
  <c r="V541" i="8"/>
  <c r="W541" i="8"/>
  <c r="X541" i="8"/>
  <c r="Y541" i="8"/>
  <c r="Z541" i="8"/>
  <c r="AA541" i="8"/>
  <c r="AB541" i="8"/>
  <c r="AC541" i="8"/>
  <c r="AD541" i="8"/>
  <c r="AE541" i="8"/>
  <c r="F390" i="8"/>
  <c r="G390" i="8"/>
  <c r="H390" i="8"/>
  <c r="I390" i="8"/>
  <c r="J390" i="8"/>
  <c r="K390" i="8"/>
  <c r="L390" i="8"/>
  <c r="M390" i="8"/>
  <c r="N390" i="8"/>
  <c r="O390" i="8"/>
  <c r="P390" i="8"/>
  <c r="Q390" i="8"/>
  <c r="R390" i="8"/>
  <c r="S390" i="8"/>
  <c r="T390" i="8"/>
  <c r="U390" i="8"/>
  <c r="V390" i="8"/>
  <c r="W390" i="8"/>
  <c r="X390" i="8"/>
  <c r="Y390" i="8"/>
  <c r="Z390" i="8"/>
  <c r="AA390" i="8"/>
  <c r="AB390" i="8"/>
  <c r="AC390" i="8"/>
  <c r="AD390" i="8"/>
  <c r="AE390" i="8"/>
  <c r="F529" i="8"/>
  <c r="G529" i="8"/>
  <c r="H529" i="8"/>
  <c r="I529" i="8"/>
  <c r="J529" i="8"/>
  <c r="K529" i="8"/>
  <c r="L529" i="8"/>
  <c r="M529" i="8"/>
  <c r="N529" i="8"/>
  <c r="O529" i="8"/>
  <c r="P529" i="8"/>
  <c r="Q529" i="8"/>
  <c r="R529" i="8"/>
  <c r="S529" i="8"/>
  <c r="T529" i="8"/>
  <c r="U529" i="8"/>
  <c r="V529" i="8"/>
  <c r="W529" i="8"/>
  <c r="X529" i="8"/>
  <c r="Y529" i="8"/>
  <c r="Z529" i="8"/>
  <c r="AA529" i="8"/>
  <c r="AB529" i="8"/>
  <c r="AC529" i="8"/>
  <c r="AD529" i="8"/>
  <c r="AE529" i="8"/>
  <c r="F490" i="8"/>
  <c r="G490" i="8"/>
  <c r="H490" i="8"/>
  <c r="I490" i="8"/>
  <c r="J490" i="8"/>
  <c r="K490" i="8"/>
  <c r="L490" i="8"/>
  <c r="M490" i="8"/>
  <c r="N490" i="8"/>
  <c r="O490" i="8"/>
  <c r="P490" i="8"/>
  <c r="Q490" i="8"/>
  <c r="R490" i="8"/>
  <c r="S490" i="8"/>
  <c r="T490" i="8"/>
  <c r="U490" i="8"/>
  <c r="V490" i="8"/>
  <c r="W490" i="8"/>
  <c r="X490" i="8"/>
  <c r="Y490" i="8"/>
  <c r="Z490" i="8"/>
  <c r="AA490" i="8"/>
  <c r="AB490" i="8"/>
  <c r="AC490" i="8"/>
  <c r="AD490" i="8"/>
  <c r="AE490" i="8"/>
  <c r="F403" i="8"/>
  <c r="G403" i="8"/>
  <c r="H403" i="8"/>
  <c r="I403" i="8"/>
  <c r="J403" i="8"/>
  <c r="K403" i="8"/>
  <c r="L403" i="8"/>
  <c r="M403" i="8"/>
  <c r="N403" i="8"/>
  <c r="O403" i="8"/>
  <c r="P403" i="8"/>
  <c r="Q403" i="8"/>
  <c r="R403" i="8"/>
  <c r="S403" i="8"/>
  <c r="T403" i="8"/>
  <c r="U403" i="8"/>
  <c r="V403" i="8"/>
  <c r="W403" i="8"/>
  <c r="X403" i="8"/>
  <c r="Y403" i="8"/>
  <c r="Z403" i="8"/>
  <c r="AA403" i="8"/>
  <c r="AB403" i="8"/>
  <c r="AC403" i="8"/>
  <c r="AD403" i="8"/>
  <c r="AE403" i="8"/>
  <c r="F228" i="8"/>
  <c r="G228" i="8"/>
  <c r="H228" i="8"/>
  <c r="I228" i="8"/>
  <c r="J228" i="8"/>
  <c r="K228" i="8"/>
  <c r="L228" i="8"/>
  <c r="M228" i="8"/>
  <c r="N228" i="8"/>
  <c r="O228" i="8"/>
  <c r="P228" i="8"/>
  <c r="Q228" i="8"/>
  <c r="R228" i="8"/>
  <c r="S228" i="8"/>
  <c r="T228" i="8"/>
  <c r="U228" i="8"/>
  <c r="V228" i="8"/>
  <c r="W228" i="8"/>
  <c r="X228" i="8"/>
  <c r="Y228" i="8"/>
  <c r="Z228" i="8"/>
  <c r="AA228" i="8"/>
  <c r="AB228" i="8"/>
  <c r="AC228" i="8"/>
  <c r="AD228" i="8"/>
  <c r="AE228" i="8"/>
  <c r="F582" i="8"/>
  <c r="G582" i="8"/>
  <c r="H582" i="8"/>
  <c r="I582" i="8"/>
  <c r="J582" i="8"/>
  <c r="K582" i="8"/>
  <c r="L582" i="8"/>
  <c r="M582" i="8"/>
  <c r="N582" i="8"/>
  <c r="O582" i="8"/>
  <c r="P582" i="8"/>
  <c r="Q582" i="8"/>
  <c r="R582" i="8"/>
  <c r="S582" i="8"/>
  <c r="T582" i="8"/>
  <c r="U582" i="8"/>
  <c r="V582" i="8"/>
  <c r="W582" i="8"/>
  <c r="X582" i="8"/>
  <c r="Y582" i="8"/>
  <c r="Z582" i="8"/>
  <c r="AA582" i="8"/>
  <c r="AB582" i="8"/>
  <c r="AC582" i="8"/>
  <c r="AD582" i="8"/>
  <c r="AE582" i="8"/>
  <c r="F378" i="8"/>
  <c r="G378" i="8"/>
  <c r="H378" i="8"/>
  <c r="I378" i="8"/>
  <c r="J378" i="8"/>
  <c r="K378" i="8"/>
  <c r="L378" i="8"/>
  <c r="M378" i="8"/>
  <c r="N378" i="8"/>
  <c r="O378" i="8"/>
  <c r="P378" i="8"/>
  <c r="Q378" i="8"/>
  <c r="R378" i="8"/>
  <c r="S378" i="8"/>
  <c r="T378" i="8"/>
  <c r="U378" i="8"/>
  <c r="V378" i="8"/>
  <c r="W378" i="8"/>
  <c r="X378" i="8"/>
  <c r="Y378" i="8"/>
  <c r="Z378" i="8"/>
  <c r="AA378" i="8"/>
  <c r="AB378" i="8"/>
  <c r="AC378" i="8"/>
  <c r="AD378" i="8"/>
  <c r="AE378" i="8"/>
  <c r="F296" i="8"/>
  <c r="G296" i="8"/>
  <c r="H296" i="8"/>
  <c r="I296" i="8"/>
  <c r="J296" i="8"/>
  <c r="K296" i="8"/>
  <c r="L296" i="8"/>
  <c r="M296" i="8"/>
  <c r="N296" i="8"/>
  <c r="O296" i="8"/>
  <c r="P296" i="8"/>
  <c r="Q296" i="8"/>
  <c r="R296" i="8"/>
  <c r="S296" i="8"/>
  <c r="T296" i="8"/>
  <c r="U296" i="8"/>
  <c r="V296" i="8"/>
  <c r="W296" i="8"/>
  <c r="X296" i="8"/>
  <c r="Y296" i="8"/>
  <c r="Z296" i="8"/>
  <c r="AA296" i="8"/>
  <c r="AB296" i="8"/>
  <c r="AC296" i="8"/>
  <c r="AD296" i="8"/>
  <c r="AE296" i="8"/>
  <c r="F327" i="8"/>
  <c r="G327" i="8"/>
  <c r="H327" i="8"/>
  <c r="I327" i="8"/>
  <c r="J327" i="8"/>
  <c r="K327" i="8"/>
  <c r="L327" i="8"/>
  <c r="M327" i="8"/>
  <c r="N327" i="8"/>
  <c r="O327" i="8"/>
  <c r="P327" i="8"/>
  <c r="Q327" i="8"/>
  <c r="R327" i="8"/>
  <c r="S327" i="8"/>
  <c r="T327" i="8"/>
  <c r="U327" i="8"/>
  <c r="V327" i="8"/>
  <c r="W327" i="8"/>
  <c r="X327" i="8"/>
  <c r="Y327" i="8"/>
  <c r="Z327" i="8"/>
  <c r="AA327" i="8"/>
  <c r="AB327" i="8"/>
  <c r="AC327" i="8"/>
  <c r="AD327" i="8"/>
  <c r="AE327" i="8"/>
  <c r="F579" i="8"/>
  <c r="G579" i="8"/>
  <c r="H579" i="8"/>
  <c r="I579" i="8"/>
  <c r="J579" i="8"/>
  <c r="K579" i="8"/>
  <c r="L579" i="8"/>
  <c r="M579" i="8"/>
  <c r="N579" i="8"/>
  <c r="O579" i="8"/>
  <c r="P579" i="8"/>
  <c r="Q579" i="8"/>
  <c r="R579" i="8"/>
  <c r="S579" i="8"/>
  <c r="T579" i="8"/>
  <c r="U579" i="8"/>
  <c r="V579" i="8"/>
  <c r="W579" i="8"/>
  <c r="X579" i="8"/>
  <c r="Y579" i="8"/>
  <c r="Z579" i="8"/>
  <c r="AA579" i="8"/>
  <c r="AB579" i="8"/>
  <c r="AC579" i="8"/>
  <c r="AD579" i="8"/>
  <c r="AE579" i="8"/>
  <c r="F127" i="8"/>
  <c r="G127" i="8"/>
  <c r="H127" i="8"/>
  <c r="I127" i="8"/>
  <c r="J127" i="8"/>
  <c r="K127" i="8"/>
  <c r="L127" i="8"/>
  <c r="M127" i="8"/>
  <c r="N127" i="8"/>
  <c r="O127" i="8"/>
  <c r="P127" i="8"/>
  <c r="Q127" i="8"/>
  <c r="R127" i="8"/>
  <c r="S127" i="8"/>
  <c r="T127" i="8"/>
  <c r="U127" i="8"/>
  <c r="V127" i="8"/>
  <c r="W127" i="8"/>
  <c r="X127" i="8"/>
  <c r="Y127" i="8"/>
  <c r="Z127" i="8"/>
  <c r="AA127" i="8"/>
  <c r="AB127" i="8"/>
  <c r="AC127" i="8"/>
  <c r="AD127" i="8"/>
  <c r="AE127" i="8"/>
  <c r="F384" i="8"/>
  <c r="G384" i="8"/>
  <c r="H384" i="8"/>
  <c r="I384" i="8"/>
  <c r="J384" i="8"/>
  <c r="K384" i="8"/>
  <c r="L384" i="8"/>
  <c r="M384" i="8"/>
  <c r="N384" i="8"/>
  <c r="O384" i="8"/>
  <c r="P384" i="8"/>
  <c r="Q384" i="8"/>
  <c r="R384" i="8"/>
  <c r="S384" i="8"/>
  <c r="T384" i="8"/>
  <c r="U384" i="8"/>
  <c r="V384" i="8"/>
  <c r="W384" i="8"/>
  <c r="X384" i="8"/>
  <c r="Y384" i="8"/>
  <c r="Z384" i="8"/>
  <c r="AA384" i="8"/>
  <c r="AB384" i="8"/>
  <c r="AC384" i="8"/>
  <c r="AD384" i="8"/>
  <c r="AE384" i="8"/>
  <c r="F461" i="8"/>
  <c r="G461" i="8"/>
  <c r="H461" i="8"/>
  <c r="I461" i="8"/>
  <c r="J461" i="8"/>
  <c r="K461" i="8"/>
  <c r="L461" i="8"/>
  <c r="M461" i="8"/>
  <c r="N461" i="8"/>
  <c r="O461" i="8"/>
  <c r="P461" i="8"/>
  <c r="Q461" i="8"/>
  <c r="R461" i="8"/>
  <c r="S461" i="8"/>
  <c r="T461" i="8"/>
  <c r="U461" i="8"/>
  <c r="V461" i="8"/>
  <c r="W461" i="8"/>
  <c r="X461" i="8"/>
  <c r="Y461" i="8"/>
  <c r="Z461" i="8"/>
  <c r="AA461" i="8"/>
  <c r="AB461" i="8"/>
  <c r="AC461" i="8"/>
  <c r="AD461" i="8"/>
  <c r="AE461" i="8"/>
  <c r="F147" i="8"/>
  <c r="G147" i="8"/>
  <c r="H147" i="8"/>
  <c r="I147" i="8"/>
  <c r="J147" i="8"/>
  <c r="K147" i="8"/>
  <c r="L147" i="8"/>
  <c r="M147" i="8"/>
  <c r="N147" i="8"/>
  <c r="O147" i="8"/>
  <c r="P147" i="8"/>
  <c r="Q147" i="8"/>
  <c r="R147" i="8"/>
  <c r="S147" i="8"/>
  <c r="T147" i="8"/>
  <c r="U147" i="8"/>
  <c r="V147" i="8"/>
  <c r="W147" i="8"/>
  <c r="X147" i="8"/>
  <c r="Y147" i="8"/>
  <c r="Z147" i="8"/>
  <c r="AA147" i="8"/>
  <c r="AB147" i="8"/>
  <c r="AC147" i="8"/>
  <c r="AD147" i="8"/>
  <c r="AE147" i="8"/>
  <c r="F418" i="8"/>
  <c r="G418" i="8"/>
  <c r="H418" i="8"/>
  <c r="I418" i="8"/>
  <c r="J418" i="8"/>
  <c r="K418" i="8"/>
  <c r="L418" i="8"/>
  <c r="M418" i="8"/>
  <c r="N418" i="8"/>
  <c r="O418" i="8"/>
  <c r="P418" i="8"/>
  <c r="Q418" i="8"/>
  <c r="R418" i="8"/>
  <c r="S418" i="8"/>
  <c r="T418" i="8"/>
  <c r="U418" i="8"/>
  <c r="V418" i="8"/>
  <c r="W418" i="8"/>
  <c r="X418" i="8"/>
  <c r="Y418" i="8"/>
  <c r="Z418" i="8"/>
  <c r="AA418" i="8"/>
  <c r="AB418" i="8"/>
  <c r="AC418" i="8"/>
  <c r="AD418" i="8"/>
  <c r="AE418" i="8"/>
  <c r="F467" i="8"/>
  <c r="G467" i="8"/>
  <c r="H467" i="8"/>
  <c r="I467" i="8"/>
  <c r="J467" i="8"/>
  <c r="K467" i="8"/>
  <c r="L467" i="8"/>
  <c r="M467" i="8"/>
  <c r="N467" i="8"/>
  <c r="O467" i="8"/>
  <c r="P467" i="8"/>
  <c r="Q467" i="8"/>
  <c r="R467" i="8"/>
  <c r="S467" i="8"/>
  <c r="T467" i="8"/>
  <c r="U467" i="8"/>
  <c r="V467" i="8"/>
  <c r="W467" i="8"/>
  <c r="X467" i="8"/>
  <c r="Y467" i="8"/>
  <c r="Z467" i="8"/>
  <c r="AA467" i="8"/>
  <c r="AB467" i="8"/>
  <c r="AC467" i="8"/>
  <c r="AD467" i="8"/>
  <c r="AE467" i="8"/>
  <c r="F412" i="8"/>
  <c r="G412" i="8"/>
  <c r="H412" i="8"/>
  <c r="I412" i="8"/>
  <c r="J412" i="8"/>
  <c r="K412" i="8"/>
  <c r="L412" i="8"/>
  <c r="M412" i="8"/>
  <c r="N412" i="8"/>
  <c r="O412" i="8"/>
  <c r="P412" i="8"/>
  <c r="Q412" i="8"/>
  <c r="R412" i="8"/>
  <c r="S412" i="8"/>
  <c r="T412" i="8"/>
  <c r="U412" i="8"/>
  <c r="V412" i="8"/>
  <c r="W412" i="8"/>
  <c r="X412" i="8"/>
  <c r="Y412" i="8"/>
  <c r="Z412" i="8"/>
  <c r="AA412" i="8"/>
  <c r="AB412" i="8"/>
  <c r="AC412" i="8"/>
  <c r="AD412" i="8"/>
  <c r="AE412" i="8"/>
  <c r="F292" i="8"/>
  <c r="G292" i="8"/>
  <c r="H292" i="8"/>
  <c r="I292" i="8"/>
  <c r="J292" i="8"/>
  <c r="K292" i="8"/>
  <c r="L292" i="8"/>
  <c r="M292" i="8"/>
  <c r="N292" i="8"/>
  <c r="O292" i="8"/>
  <c r="P292" i="8"/>
  <c r="Q292" i="8"/>
  <c r="R292" i="8"/>
  <c r="S292" i="8"/>
  <c r="T292" i="8"/>
  <c r="U292" i="8"/>
  <c r="V292" i="8"/>
  <c r="W292" i="8"/>
  <c r="X292" i="8"/>
  <c r="Y292" i="8"/>
  <c r="Z292" i="8"/>
  <c r="AA292" i="8"/>
  <c r="AB292" i="8"/>
  <c r="AC292" i="8"/>
  <c r="AD292" i="8"/>
  <c r="AE292" i="8"/>
  <c r="F489" i="8"/>
  <c r="G489" i="8"/>
  <c r="H489" i="8"/>
  <c r="I489" i="8"/>
  <c r="J489" i="8"/>
  <c r="K489" i="8"/>
  <c r="L489" i="8"/>
  <c r="M489" i="8"/>
  <c r="N489" i="8"/>
  <c r="O489" i="8"/>
  <c r="P489" i="8"/>
  <c r="Q489" i="8"/>
  <c r="R489" i="8"/>
  <c r="S489" i="8"/>
  <c r="T489" i="8"/>
  <c r="U489" i="8"/>
  <c r="V489" i="8"/>
  <c r="W489" i="8"/>
  <c r="X489" i="8"/>
  <c r="Y489" i="8"/>
  <c r="Z489" i="8"/>
  <c r="AA489" i="8"/>
  <c r="AB489" i="8"/>
  <c r="AC489" i="8"/>
  <c r="AD489" i="8"/>
  <c r="AE489" i="8"/>
  <c r="F411" i="8"/>
  <c r="G411" i="8"/>
  <c r="H411" i="8"/>
  <c r="I411" i="8"/>
  <c r="J411" i="8"/>
  <c r="K411" i="8"/>
  <c r="L411" i="8"/>
  <c r="M411" i="8"/>
  <c r="N411" i="8"/>
  <c r="O411" i="8"/>
  <c r="P411" i="8"/>
  <c r="Q411" i="8"/>
  <c r="R411" i="8"/>
  <c r="S411" i="8"/>
  <c r="T411" i="8"/>
  <c r="U411" i="8"/>
  <c r="V411" i="8"/>
  <c r="W411" i="8"/>
  <c r="X411" i="8"/>
  <c r="Y411" i="8"/>
  <c r="Z411" i="8"/>
  <c r="AA411" i="8"/>
  <c r="AB411" i="8"/>
  <c r="AC411" i="8"/>
  <c r="AD411" i="8"/>
  <c r="AE411" i="8"/>
  <c r="F535" i="8"/>
  <c r="G535" i="8"/>
  <c r="H535" i="8"/>
  <c r="I535" i="8"/>
  <c r="J535" i="8"/>
  <c r="K535" i="8"/>
  <c r="L535" i="8"/>
  <c r="M535" i="8"/>
  <c r="N535" i="8"/>
  <c r="O535" i="8"/>
  <c r="P535" i="8"/>
  <c r="Q535" i="8"/>
  <c r="R535" i="8"/>
  <c r="S535" i="8"/>
  <c r="T535" i="8"/>
  <c r="U535" i="8"/>
  <c r="V535" i="8"/>
  <c r="W535" i="8"/>
  <c r="X535" i="8"/>
  <c r="Y535" i="8"/>
  <c r="Z535" i="8"/>
  <c r="AA535" i="8"/>
  <c r="AB535" i="8"/>
  <c r="AC535" i="8"/>
  <c r="AD535" i="8"/>
  <c r="AE535" i="8"/>
  <c r="F441" i="8"/>
  <c r="G441" i="8"/>
  <c r="H441" i="8"/>
  <c r="I441" i="8"/>
  <c r="J441" i="8"/>
  <c r="K441" i="8"/>
  <c r="L441" i="8"/>
  <c r="M441" i="8"/>
  <c r="N441" i="8"/>
  <c r="O441" i="8"/>
  <c r="P441" i="8"/>
  <c r="Q441" i="8"/>
  <c r="R441" i="8"/>
  <c r="S441" i="8"/>
  <c r="T441" i="8"/>
  <c r="U441" i="8"/>
  <c r="V441" i="8"/>
  <c r="W441" i="8"/>
  <c r="X441" i="8"/>
  <c r="Y441" i="8"/>
  <c r="Z441" i="8"/>
  <c r="AA441" i="8"/>
  <c r="AB441" i="8"/>
  <c r="AC441" i="8"/>
  <c r="AD441" i="8"/>
  <c r="AE441" i="8"/>
  <c r="F466" i="8"/>
  <c r="G466" i="8"/>
  <c r="H466" i="8"/>
  <c r="I466" i="8"/>
  <c r="J466" i="8"/>
  <c r="K466" i="8"/>
  <c r="L466" i="8"/>
  <c r="M466" i="8"/>
  <c r="N466" i="8"/>
  <c r="O466" i="8"/>
  <c r="P466" i="8"/>
  <c r="Q466" i="8"/>
  <c r="R466" i="8"/>
  <c r="S466" i="8"/>
  <c r="T466" i="8"/>
  <c r="U466" i="8"/>
  <c r="V466" i="8"/>
  <c r="W466" i="8"/>
  <c r="X466" i="8"/>
  <c r="Y466" i="8"/>
  <c r="Z466" i="8"/>
  <c r="AA466" i="8"/>
  <c r="AB466" i="8"/>
  <c r="AC466" i="8"/>
  <c r="AD466" i="8"/>
  <c r="AE466" i="8"/>
  <c r="F338" i="8"/>
  <c r="G338" i="8"/>
  <c r="H338" i="8"/>
  <c r="I338" i="8"/>
  <c r="J338" i="8"/>
  <c r="K338" i="8"/>
  <c r="L338" i="8"/>
  <c r="M338" i="8"/>
  <c r="N338" i="8"/>
  <c r="O338" i="8"/>
  <c r="P338" i="8"/>
  <c r="Q338" i="8"/>
  <c r="R338" i="8"/>
  <c r="S338" i="8"/>
  <c r="T338" i="8"/>
  <c r="U338" i="8"/>
  <c r="V338" i="8"/>
  <c r="W338" i="8"/>
  <c r="X338" i="8"/>
  <c r="Y338" i="8"/>
  <c r="Z338" i="8"/>
  <c r="AA338" i="8"/>
  <c r="AB338" i="8"/>
  <c r="AC338" i="8"/>
  <c r="AD338" i="8"/>
  <c r="AE338" i="8"/>
  <c r="F333" i="8"/>
  <c r="G333" i="8"/>
  <c r="H333" i="8"/>
  <c r="I333" i="8"/>
  <c r="J333" i="8"/>
  <c r="K333" i="8"/>
  <c r="L333" i="8"/>
  <c r="M333" i="8"/>
  <c r="N333" i="8"/>
  <c r="O333" i="8"/>
  <c r="P333" i="8"/>
  <c r="Q333" i="8"/>
  <c r="R333" i="8"/>
  <c r="S333" i="8"/>
  <c r="T333" i="8"/>
  <c r="U333" i="8"/>
  <c r="V333" i="8"/>
  <c r="W333" i="8"/>
  <c r="X333" i="8"/>
  <c r="Y333" i="8"/>
  <c r="Z333" i="8"/>
  <c r="AA333" i="8"/>
  <c r="AB333" i="8"/>
  <c r="AC333" i="8"/>
  <c r="AD333" i="8"/>
  <c r="AE333" i="8"/>
  <c r="F312" i="8"/>
  <c r="G312" i="8"/>
  <c r="H312" i="8"/>
  <c r="I312" i="8"/>
  <c r="J312" i="8"/>
  <c r="K312" i="8"/>
  <c r="L312" i="8"/>
  <c r="M312" i="8"/>
  <c r="N312" i="8"/>
  <c r="O312" i="8"/>
  <c r="P312" i="8"/>
  <c r="Q312" i="8"/>
  <c r="R312" i="8"/>
  <c r="S312" i="8"/>
  <c r="T312" i="8"/>
  <c r="U312" i="8"/>
  <c r="V312" i="8"/>
  <c r="W312" i="8"/>
  <c r="X312" i="8"/>
  <c r="Y312" i="8"/>
  <c r="Z312" i="8"/>
  <c r="AA312" i="8"/>
  <c r="AB312" i="8"/>
  <c r="AC312" i="8"/>
  <c r="AD312" i="8"/>
  <c r="AE312" i="8"/>
  <c r="F362" i="8"/>
  <c r="G362" i="8"/>
  <c r="H362" i="8"/>
  <c r="I362" i="8"/>
  <c r="J362" i="8"/>
  <c r="K362" i="8"/>
  <c r="L362" i="8"/>
  <c r="M362" i="8"/>
  <c r="N362" i="8"/>
  <c r="O362" i="8"/>
  <c r="P362" i="8"/>
  <c r="Q362" i="8"/>
  <c r="R362" i="8"/>
  <c r="S362" i="8"/>
  <c r="T362" i="8"/>
  <c r="U362" i="8"/>
  <c r="V362" i="8"/>
  <c r="W362" i="8"/>
  <c r="X362" i="8"/>
  <c r="Y362" i="8"/>
  <c r="Z362" i="8"/>
  <c r="AA362" i="8"/>
  <c r="AB362" i="8"/>
  <c r="AC362" i="8"/>
  <c r="AD362" i="8"/>
  <c r="AE362" i="8"/>
  <c r="F578" i="8"/>
  <c r="G578" i="8"/>
  <c r="H578" i="8"/>
  <c r="I578" i="8"/>
  <c r="J578" i="8"/>
  <c r="K578" i="8"/>
  <c r="L578" i="8"/>
  <c r="M578" i="8"/>
  <c r="N578" i="8"/>
  <c r="O578" i="8"/>
  <c r="P578" i="8"/>
  <c r="Q578" i="8"/>
  <c r="R578" i="8"/>
  <c r="S578" i="8"/>
  <c r="T578" i="8"/>
  <c r="U578" i="8"/>
  <c r="V578" i="8"/>
  <c r="W578" i="8"/>
  <c r="X578" i="8"/>
  <c r="Y578" i="8"/>
  <c r="Z578" i="8"/>
  <c r="AA578" i="8"/>
  <c r="AB578" i="8"/>
  <c r="AC578" i="8"/>
  <c r="AD578" i="8"/>
  <c r="AE578" i="8"/>
  <c r="F525" i="8"/>
  <c r="G525" i="8"/>
  <c r="H525" i="8"/>
  <c r="I525" i="8"/>
  <c r="J525" i="8"/>
  <c r="K525" i="8"/>
  <c r="L525" i="8"/>
  <c r="M525" i="8"/>
  <c r="N525" i="8"/>
  <c r="O525" i="8"/>
  <c r="P525" i="8"/>
  <c r="Q525" i="8"/>
  <c r="R525" i="8"/>
  <c r="S525" i="8"/>
  <c r="T525" i="8"/>
  <c r="U525" i="8"/>
  <c r="V525" i="8"/>
  <c r="W525" i="8"/>
  <c r="X525" i="8"/>
  <c r="Y525" i="8"/>
  <c r="Z525" i="8"/>
  <c r="AA525" i="8"/>
  <c r="AB525" i="8"/>
  <c r="AC525" i="8"/>
  <c r="AD525" i="8"/>
  <c r="AE525" i="8"/>
  <c r="F349" i="8"/>
  <c r="G349" i="8"/>
  <c r="H349" i="8"/>
  <c r="I349" i="8"/>
  <c r="J349" i="8"/>
  <c r="K349" i="8"/>
  <c r="L349" i="8"/>
  <c r="M349" i="8"/>
  <c r="N349" i="8"/>
  <c r="O349" i="8"/>
  <c r="P349" i="8"/>
  <c r="Q349" i="8"/>
  <c r="R349" i="8"/>
  <c r="S349" i="8"/>
  <c r="T349" i="8"/>
  <c r="U349" i="8"/>
  <c r="V349" i="8"/>
  <c r="W349" i="8"/>
  <c r="X349" i="8"/>
  <c r="Y349" i="8"/>
  <c r="Z349" i="8"/>
  <c r="AA349" i="8"/>
  <c r="AB349" i="8"/>
  <c r="AC349" i="8"/>
  <c r="AD349" i="8"/>
  <c r="AE349" i="8"/>
  <c r="F415" i="8"/>
  <c r="G415" i="8"/>
  <c r="H415" i="8"/>
  <c r="I415" i="8"/>
  <c r="J415" i="8"/>
  <c r="K415" i="8"/>
  <c r="L415" i="8"/>
  <c r="M415" i="8"/>
  <c r="N415" i="8"/>
  <c r="O415" i="8"/>
  <c r="P415" i="8"/>
  <c r="Q415" i="8"/>
  <c r="R415" i="8"/>
  <c r="S415" i="8"/>
  <c r="T415" i="8"/>
  <c r="U415" i="8"/>
  <c r="V415" i="8"/>
  <c r="W415" i="8"/>
  <c r="X415" i="8"/>
  <c r="Y415" i="8"/>
  <c r="Z415" i="8"/>
  <c r="AA415" i="8"/>
  <c r="AB415" i="8"/>
  <c r="AC415" i="8"/>
  <c r="AD415" i="8"/>
  <c r="AE415" i="8"/>
  <c r="F325" i="8"/>
  <c r="G325" i="8"/>
  <c r="H325" i="8"/>
  <c r="I325" i="8"/>
  <c r="J325" i="8"/>
  <c r="K325" i="8"/>
  <c r="L325" i="8"/>
  <c r="M325" i="8"/>
  <c r="N325" i="8"/>
  <c r="O325" i="8"/>
  <c r="P325" i="8"/>
  <c r="Q325" i="8"/>
  <c r="R325" i="8"/>
  <c r="S325" i="8"/>
  <c r="T325" i="8"/>
  <c r="U325" i="8"/>
  <c r="V325" i="8"/>
  <c r="W325" i="8"/>
  <c r="X325" i="8"/>
  <c r="Y325" i="8"/>
  <c r="Z325" i="8"/>
  <c r="AA325" i="8"/>
  <c r="AB325" i="8"/>
  <c r="AC325" i="8"/>
  <c r="AD325" i="8"/>
  <c r="AE325" i="8"/>
  <c r="F247" i="8"/>
  <c r="G247" i="8"/>
  <c r="H247" i="8"/>
  <c r="I247" i="8"/>
  <c r="J247" i="8"/>
  <c r="K247" i="8"/>
  <c r="L247" i="8"/>
  <c r="M247" i="8"/>
  <c r="N247" i="8"/>
  <c r="O247" i="8"/>
  <c r="P247" i="8"/>
  <c r="Q247" i="8"/>
  <c r="R247" i="8"/>
  <c r="S247" i="8"/>
  <c r="T247" i="8"/>
  <c r="U247" i="8"/>
  <c r="V247" i="8"/>
  <c r="W247" i="8"/>
  <c r="X247" i="8"/>
  <c r="Y247" i="8"/>
  <c r="Z247" i="8"/>
  <c r="AA247" i="8"/>
  <c r="AB247" i="8"/>
  <c r="AC247" i="8"/>
  <c r="AD247" i="8"/>
  <c r="AE247" i="8"/>
  <c r="F550" i="8"/>
  <c r="G550" i="8"/>
  <c r="H550" i="8"/>
  <c r="I550" i="8"/>
  <c r="J550" i="8"/>
  <c r="K550" i="8"/>
  <c r="L550" i="8"/>
  <c r="M550" i="8"/>
  <c r="N550" i="8"/>
  <c r="O550" i="8"/>
  <c r="P550" i="8"/>
  <c r="Q550" i="8"/>
  <c r="R550" i="8"/>
  <c r="S550" i="8"/>
  <c r="T550" i="8"/>
  <c r="U550" i="8"/>
  <c r="V550" i="8"/>
  <c r="W550" i="8"/>
  <c r="X550" i="8"/>
  <c r="Y550" i="8"/>
  <c r="Z550" i="8"/>
  <c r="AA550" i="8"/>
  <c r="AB550" i="8"/>
  <c r="AC550" i="8"/>
  <c r="AD550" i="8"/>
  <c r="AE550" i="8"/>
  <c r="F460" i="8"/>
  <c r="G460" i="8"/>
  <c r="H460" i="8"/>
  <c r="I460" i="8"/>
  <c r="J460" i="8"/>
  <c r="K460" i="8"/>
  <c r="L460" i="8"/>
  <c r="M460" i="8"/>
  <c r="N460" i="8"/>
  <c r="O460" i="8"/>
  <c r="P460" i="8"/>
  <c r="Q460" i="8"/>
  <c r="R460" i="8"/>
  <c r="S460" i="8"/>
  <c r="T460" i="8"/>
  <c r="U460" i="8"/>
  <c r="V460" i="8"/>
  <c r="W460" i="8"/>
  <c r="X460" i="8"/>
  <c r="Y460" i="8"/>
  <c r="Z460" i="8"/>
  <c r="AA460" i="8"/>
  <c r="AB460" i="8"/>
  <c r="AC460" i="8"/>
  <c r="AD460" i="8"/>
  <c r="AE460" i="8"/>
  <c r="F553" i="8"/>
  <c r="G553" i="8"/>
  <c r="H553" i="8"/>
  <c r="I553" i="8"/>
  <c r="J553" i="8"/>
  <c r="K553" i="8"/>
  <c r="L553" i="8"/>
  <c r="M553" i="8"/>
  <c r="N553" i="8"/>
  <c r="O553" i="8"/>
  <c r="P553" i="8"/>
  <c r="Q553" i="8"/>
  <c r="R553" i="8"/>
  <c r="S553" i="8"/>
  <c r="T553" i="8"/>
  <c r="U553" i="8"/>
  <c r="V553" i="8"/>
  <c r="W553" i="8"/>
  <c r="X553" i="8"/>
  <c r="Y553" i="8"/>
  <c r="Z553" i="8"/>
  <c r="AA553" i="8"/>
  <c r="AB553" i="8"/>
  <c r="AC553" i="8"/>
  <c r="AD553" i="8"/>
  <c r="AE553" i="8"/>
  <c r="F311" i="8"/>
  <c r="G311" i="8"/>
  <c r="H311" i="8"/>
  <c r="I311" i="8"/>
  <c r="J311" i="8"/>
  <c r="K311" i="8"/>
  <c r="L311" i="8"/>
  <c r="M311" i="8"/>
  <c r="N311" i="8"/>
  <c r="O311" i="8"/>
  <c r="P311" i="8"/>
  <c r="Q311" i="8"/>
  <c r="R311" i="8"/>
  <c r="S311" i="8"/>
  <c r="T311" i="8"/>
  <c r="U311" i="8"/>
  <c r="V311" i="8"/>
  <c r="W311" i="8"/>
  <c r="X311" i="8"/>
  <c r="Y311" i="8"/>
  <c r="Z311" i="8"/>
  <c r="AA311" i="8"/>
  <c r="AB311" i="8"/>
  <c r="AC311" i="8"/>
  <c r="AD311" i="8"/>
  <c r="AE311" i="8"/>
  <c r="F336" i="8"/>
  <c r="G336" i="8"/>
  <c r="H336" i="8"/>
  <c r="I336" i="8"/>
  <c r="J336" i="8"/>
  <c r="K336" i="8"/>
  <c r="L336" i="8"/>
  <c r="M336" i="8"/>
  <c r="N336" i="8"/>
  <c r="O336" i="8"/>
  <c r="P336" i="8"/>
  <c r="Q336" i="8"/>
  <c r="R336" i="8"/>
  <c r="S336" i="8"/>
  <c r="T336" i="8"/>
  <c r="U336" i="8"/>
  <c r="V336" i="8"/>
  <c r="W336" i="8"/>
  <c r="X336" i="8"/>
  <c r="Y336" i="8"/>
  <c r="Z336" i="8"/>
  <c r="AA336" i="8"/>
  <c r="AB336" i="8"/>
  <c r="AC336" i="8"/>
  <c r="AD336" i="8"/>
  <c r="AE336" i="8"/>
  <c r="F352" i="8"/>
  <c r="G352" i="8"/>
  <c r="H352" i="8"/>
  <c r="I352" i="8"/>
  <c r="J352" i="8"/>
  <c r="K352" i="8"/>
  <c r="L352" i="8"/>
  <c r="M352" i="8"/>
  <c r="N352" i="8"/>
  <c r="O352" i="8"/>
  <c r="P352" i="8"/>
  <c r="Q352" i="8"/>
  <c r="R352" i="8"/>
  <c r="S352" i="8"/>
  <c r="T352" i="8"/>
  <c r="U352" i="8"/>
  <c r="V352" i="8"/>
  <c r="W352" i="8"/>
  <c r="X352" i="8"/>
  <c r="Y352" i="8"/>
  <c r="Z352" i="8"/>
  <c r="AA352" i="8"/>
  <c r="AB352" i="8"/>
  <c r="AC352" i="8"/>
  <c r="AD352" i="8"/>
  <c r="AE352" i="8"/>
  <c r="F215" i="8"/>
  <c r="G215" i="8"/>
  <c r="H215" i="8"/>
  <c r="I215" i="8"/>
  <c r="J215" i="8"/>
  <c r="K215" i="8"/>
  <c r="L215" i="8"/>
  <c r="M215" i="8"/>
  <c r="N215" i="8"/>
  <c r="O215" i="8"/>
  <c r="P215" i="8"/>
  <c r="Q215" i="8"/>
  <c r="R215" i="8"/>
  <c r="S215" i="8"/>
  <c r="T215" i="8"/>
  <c r="U215" i="8"/>
  <c r="V215" i="8"/>
  <c r="W215" i="8"/>
  <c r="X215" i="8"/>
  <c r="Y215" i="8"/>
  <c r="Z215" i="8"/>
  <c r="AA215" i="8"/>
  <c r="AB215" i="8"/>
  <c r="AC215" i="8"/>
  <c r="AD215" i="8"/>
  <c r="AE215" i="8"/>
  <c r="F556" i="8"/>
  <c r="G556" i="8"/>
  <c r="H556" i="8"/>
  <c r="I556" i="8"/>
  <c r="J556" i="8"/>
  <c r="K556" i="8"/>
  <c r="L556" i="8"/>
  <c r="M556" i="8"/>
  <c r="N556" i="8"/>
  <c r="O556" i="8"/>
  <c r="P556" i="8"/>
  <c r="Q556" i="8"/>
  <c r="R556" i="8"/>
  <c r="S556" i="8"/>
  <c r="T556" i="8"/>
  <c r="U556" i="8"/>
  <c r="V556" i="8"/>
  <c r="W556" i="8"/>
  <c r="X556" i="8"/>
  <c r="Y556" i="8"/>
  <c r="Z556" i="8"/>
  <c r="AA556" i="8"/>
  <c r="AB556" i="8"/>
  <c r="AC556" i="8"/>
  <c r="AD556" i="8"/>
  <c r="AE556" i="8"/>
  <c r="F439" i="8"/>
  <c r="G439" i="8"/>
  <c r="H439" i="8"/>
  <c r="I439" i="8"/>
  <c r="J439" i="8"/>
  <c r="K439" i="8"/>
  <c r="L439" i="8"/>
  <c r="M439" i="8"/>
  <c r="N439" i="8"/>
  <c r="O439" i="8"/>
  <c r="P439" i="8"/>
  <c r="Q439" i="8"/>
  <c r="R439" i="8"/>
  <c r="S439" i="8"/>
  <c r="T439" i="8"/>
  <c r="U439" i="8"/>
  <c r="V439" i="8"/>
  <c r="W439" i="8"/>
  <c r="X439" i="8"/>
  <c r="Y439" i="8"/>
  <c r="Z439" i="8"/>
  <c r="AA439" i="8"/>
  <c r="AB439" i="8"/>
  <c r="AC439" i="8"/>
  <c r="AD439" i="8"/>
  <c r="AE439" i="8"/>
  <c r="F183" i="8"/>
  <c r="G183" i="8"/>
  <c r="H183" i="8"/>
  <c r="I183" i="8"/>
  <c r="J183" i="8"/>
  <c r="K183" i="8"/>
  <c r="L183" i="8"/>
  <c r="M183" i="8"/>
  <c r="N183" i="8"/>
  <c r="O183" i="8"/>
  <c r="P183" i="8"/>
  <c r="Q183" i="8"/>
  <c r="R183" i="8"/>
  <c r="S183" i="8"/>
  <c r="T183" i="8"/>
  <c r="U183" i="8"/>
  <c r="V183" i="8"/>
  <c r="W183" i="8"/>
  <c r="X183" i="8"/>
  <c r="Y183" i="8"/>
  <c r="Z183" i="8"/>
  <c r="AA183" i="8"/>
  <c r="AB183" i="8"/>
  <c r="AC183" i="8"/>
  <c r="AD183" i="8"/>
  <c r="AE183" i="8"/>
  <c r="F584" i="8"/>
  <c r="G584" i="8"/>
  <c r="H584" i="8"/>
  <c r="I584" i="8"/>
  <c r="J584" i="8"/>
  <c r="K584" i="8"/>
  <c r="L584" i="8"/>
  <c r="M584" i="8"/>
  <c r="N584" i="8"/>
  <c r="O584" i="8"/>
  <c r="P584" i="8"/>
  <c r="Q584" i="8"/>
  <c r="R584" i="8"/>
  <c r="S584" i="8"/>
  <c r="T584" i="8"/>
  <c r="U584" i="8"/>
  <c r="V584" i="8"/>
  <c r="W584" i="8"/>
  <c r="X584" i="8"/>
  <c r="Y584" i="8"/>
  <c r="Z584" i="8"/>
  <c r="AA584" i="8"/>
  <c r="AB584" i="8"/>
  <c r="AC584" i="8"/>
  <c r="AD584" i="8"/>
  <c r="AE584" i="8"/>
  <c r="F598" i="8"/>
  <c r="G598" i="8"/>
  <c r="H598" i="8"/>
  <c r="I598" i="8"/>
  <c r="J598" i="8"/>
  <c r="K598" i="8"/>
  <c r="L598" i="8"/>
  <c r="M598" i="8"/>
  <c r="N598" i="8"/>
  <c r="O598" i="8"/>
  <c r="P598" i="8"/>
  <c r="Q598" i="8"/>
  <c r="R598" i="8"/>
  <c r="S598" i="8"/>
  <c r="T598" i="8"/>
  <c r="U598" i="8"/>
  <c r="V598" i="8"/>
  <c r="W598" i="8"/>
  <c r="X598" i="8"/>
  <c r="Y598" i="8"/>
  <c r="Z598" i="8"/>
  <c r="AA598" i="8"/>
  <c r="AB598" i="8"/>
  <c r="AC598" i="8"/>
  <c r="AD598" i="8"/>
  <c r="AE598" i="8"/>
  <c r="F462" i="8"/>
  <c r="G462" i="8"/>
  <c r="H462" i="8"/>
  <c r="I462" i="8"/>
  <c r="J462" i="8"/>
  <c r="K462" i="8"/>
  <c r="L462" i="8"/>
  <c r="M462" i="8"/>
  <c r="N462" i="8"/>
  <c r="O462" i="8"/>
  <c r="P462" i="8"/>
  <c r="Q462" i="8"/>
  <c r="R462" i="8"/>
  <c r="S462" i="8"/>
  <c r="T462" i="8"/>
  <c r="U462" i="8"/>
  <c r="V462" i="8"/>
  <c r="W462" i="8"/>
  <c r="X462" i="8"/>
  <c r="Y462" i="8"/>
  <c r="Z462" i="8"/>
  <c r="AA462" i="8"/>
  <c r="AB462" i="8"/>
  <c r="AC462" i="8"/>
  <c r="AD462" i="8"/>
  <c r="AE462" i="8"/>
  <c r="F433" i="8"/>
  <c r="G433" i="8"/>
  <c r="H433" i="8"/>
  <c r="I433" i="8"/>
  <c r="J433" i="8"/>
  <c r="K433" i="8"/>
  <c r="L433" i="8"/>
  <c r="M433" i="8"/>
  <c r="N433" i="8"/>
  <c r="O433" i="8"/>
  <c r="P433" i="8"/>
  <c r="Q433" i="8"/>
  <c r="R433" i="8"/>
  <c r="S433" i="8"/>
  <c r="T433" i="8"/>
  <c r="U433" i="8"/>
  <c r="V433" i="8"/>
  <c r="W433" i="8"/>
  <c r="X433" i="8"/>
  <c r="Y433" i="8"/>
  <c r="Z433" i="8"/>
  <c r="AA433" i="8"/>
  <c r="AB433" i="8"/>
  <c r="AC433" i="8"/>
  <c r="AD433" i="8"/>
  <c r="AE433" i="8"/>
  <c r="F424" i="8"/>
  <c r="G424" i="8"/>
  <c r="H424" i="8"/>
  <c r="I424" i="8"/>
  <c r="J424" i="8"/>
  <c r="K424" i="8"/>
  <c r="L424" i="8"/>
  <c r="M424" i="8"/>
  <c r="N424" i="8"/>
  <c r="O424" i="8"/>
  <c r="P424" i="8"/>
  <c r="Q424" i="8"/>
  <c r="R424" i="8"/>
  <c r="S424" i="8"/>
  <c r="T424" i="8"/>
  <c r="U424" i="8"/>
  <c r="V424" i="8"/>
  <c r="W424" i="8"/>
  <c r="X424" i="8"/>
  <c r="Y424" i="8"/>
  <c r="Z424" i="8"/>
  <c r="AA424" i="8"/>
  <c r="AB424" i="8"/>
  <c r="AC424" i="8"/>
  <c r="AD424" i="8"/>
  <c r="AE424" i="8"/>
  <c r="F388" i="8"/>
  <c r="G388" i="8"/>
  <c r="H388" i="8"/>
  <c r="I388" i="8"/>
  <c r="J388" i="8"/>
  <c r="K388" i="8"/>
  <c r="L388" i="8"/>
  <c r="M388" i="8"/>
  <c r="N388" i="8"/>
  <c r="O388" i="8"/>
  <c r="P388" i="8"/>
  <c r="Q388" i="8"/>
  <c r="R388" i="8"/>
  <c r="S388" i="8"/>
  <c r="T388" i="8"/>
  <c r="U388" i="8"/>
  <c r="V388" i="8"/>
  <c r="W388" i="8"/>
  <c r="X388" i="8"/>
  <c r="Y388" i="8"/>
  <c r="Z388" i="8"/>
  <c r="AA388" i="8"/>
  <c r="AB388" i="8"/>
  <c r="AC388" i="8"/>
  <c r="AD388" i="8"/>
  <c r="AE388" i="8"/>
  <c r="F552" i="8"/>
  <c r="G552" i="8"/>
  <c r="H552" i="8"/>
  <c r="I552" i="8"/>
  <c r="J552" i="8"/>
  <c r="K552" i="8"/>
  <c r="L552" i="8"/>
  <c r="M552" i="8"/>
  <c r="N552" i="8"/>
  <c r="O552" i="8"/>
  <c r="P552" i="8"/>
  <c r="Q552" i="8"/>
  <c r="R552" i="8"/>
  <c r="S552" i="8"/>
  <c r="T552" i="8"/>
  <c r="U552" i="8"/>
  <c r="V552" i="8"/>
  <c r="W552" i="8"/>
  <c r="X552" i="8"/>
  <c r="Y552" i="8"/>
  <c r="Z552" i="8"/>
  <c r="AA552" i="8"/>
  <c r="AB552" i="8"/>
  <c r="AC552" i="8"/>
  <c r="AD552" i="8"/>
  <c r="AE552" i="8"/>
  <c r="F332" i="8"/>
  <c r="G332" i="8"/>
  <c r="H332" i="8"/>
  <c r="I332" i="8"/>
  <c r="J332" i="8"/>
  <c r="K332" i="8"/>
  <c r="L332" i="8"/>
  <c r="M332" i="8"/>
  <c r="N332" i="8"/>
  <c r="O332" i="8"/>
  <c r="P332" i="8"/>
  <c r="Q332" i="8"/>
  <c r="R332" i="8"/>
  <c r="S332" i="8"/>
  <c r="T332" i="8"/>
  <c r="U332" i="8"/>
  <c r="V332" i="8"/>
  <c r="W332" i="8"/>
  <c r="X332" i="8"/>
  <c r="Y332" i="8"/>
  <c r="Z332" i="8"/>
  <c r="AA332" i="8"/>
  <c r="AB332" i="8"/>
  <c r="AC332" i="8"/>
  <c r="AD332" i="8"/>
  <c r="AE332" i="8"/>
  <c r="F569" i="8"/>
  <c r="G569" i="8"/>
  <c r="H569" i="8"/>
  <c r="I569" i="8"/>
  <c r="J569" i="8"/>
  <c r="K569" i="8"/>
  <c r="L569" i="8"/>
  <c r="M569" i="8"/>
  <c r="N569" i="8"/>
  <c r="O569" i="8"/>
  <c r="P569" i="8"/>
  <c r="Q569" i="8"/>
  <c r="R569" i="8"/>
  <c r="S569" i="8"/>
  <c r="T569" i="8"/>
  <c r="U569" i="8"/>
  <c r="V569" i="8"/>
  <c r="W569" i="8"/>
  <c r="X569" i="8"/>
  <c r="Y569" i="8"/>
  <c r="Z569" i="8"/>
  <c r="AA569" i="8"/>
  <c r="AB569" i="8"/>
  <c r="AC569" i="8"/>
  <c r="AD569" i="8"/>
  <c r="AE569" i="8"/>
  <c r="F409" i="8"/>
  <c r="G409" i="8"/>
  <c r="H409" i="8"/>
  <c r="I409" i="8"/>
  <c r="J409" i="8"/>
  <c r="K409" i="8"/>
  <c r="L409" i="8"/>
  <c r="M409" i="8"/>
  <c r="N409" i="8"/>
  <c r="O409" i="8"/>
  <c r="P409" i="8"/>
  <c r="Q409" i="8"/>
  <c r="R409" i="8"/>
  <c r="S409" i="8"/>
  <c r="T409" i="8"/>
  <c r="U409" i="8"/>
  <c r="V409" i="8"/>
  <c r="W409" i="8"/>
  <c r="X409" i="8"/>
  <c r="Y409" i="8"/>
  <c r="Z409" i="8"/>
  <c r="AA409" i="8"/>
  <c r="AB409" i="8"/>
  <c r="AC409" i="8"/>
  <c r="AD409" i="8"/>
  <c r="AE409" i="8"/>
  <c r="F446" i="8"/>
  <c r="G446" i="8"/>
  <c r="H446" i="8"/>
  <c r="I446" i="8"/>
  <c r="J446" i="8"/>
  <c r="K446" i="8"/>
  <c r="L446" i="8"/>
  <c r="M446" i="8"/>
  <c r="N446" i="8"/>
  <c r="O446" i="8"/>
  <c r="P446" i="8"/>
  <c r="Q446" i="8"/>
  <c r="R446" i="8"/>
  <c r="S446" i="8"/>
  <c r="T446" i="8"/>
  <c r="U446" i="8"/>
  <c r="V446" i="8"/>
  <c r="W446" i="8"/>
  <c r="X446" i="8"/>
  <c r="Y446" i="8"/>
  <c r="Z446" i="8"/>
  <c r="AA446" i="8"/>
  <c r="AB446" i="8"/>
  <c r="AC446" i="8"/>
  <c r="AD446" i="8"/>
  <c r="AE446" i="8"/>
  <c r="F354" i="8"/>
  <c r="G354" i="8"/>
  <c r="H354" i="8"/>
  <c r="I354" i="8"/>
  <c r="J354" i="8"/>
  <c r="K354" i="8"/>
  <c r="L354" i="8"/>
  <c r="M354" i="8"/>
  <c r="N354" i="8"/>
  <c r="O354" i="8"/>
  <c r="P354" i="8"/>
  <c r="Q354" i="8"/>
  <c r="R354" i="8"/>
  <c r="S354" i="8"/>
  <c r="T354" i="8"/>
  <c r="U354" i="8"/>
  <c r="V354" i="8"/>
  <c r="W354" i="8"/>
  <c r="X354" i="8"/>
  <c r="Y354" i="8"/>
  <c r="Z354" i="8"/>
  <c r="AA354" i="8"/>
  <c r="AB354" i="8"/>
  <c r="AC354" i="8"/>
  <c r="AD354" i="8"/>
  <c r="AE354" i="8"/>
  <c r="F597" i="8"/>
  <c r="G597" i="8"/>
  <c r="H597" i="8"/>
  <c r="I597" i="8"/>
  <c r="J597" i="8"/>
  <c r="K597" i="8"/>
  <c r="L597" i="8"/>
  <c r="M597" i="8"/>
  <c r="N597" i="8"/>
  <c r="O597" i="8"/>
  <c r="P597" i="8"/>
  <c r="Q597" i="8"/>
  <c r="R597" i="8"/>
  <c r="S597" i="8"/>
  <c r="T597" i="8"/>
  <c r="U597" i="8"/>
  <c r="V597" i="8"/>
  <c r="W597" i="8"/>
  <c r="X597" i="8"/>
  <c r="Y597" i="8"/>
  <c r="Z597" i="8"/>
  <c r="AA597" i="8"/>
  <c r="AB597" i="8"/>
  <c r="AC597" i="8"/>
  <c r="AD597" i="8"/>
  <c r="AE597" i="8"/>
  <c r="F293" i="8"/>
  <c r="G293" i="8"/>
  <c r="H293" i="8"/>
  <c r="I293" i="8"/>
  <c r="J293" i="8"/>
  <c r="K293" i="8"/>
  <c r="L293" i="8"/>
  <c r="M293" i="8"/>
  <c r="N293" i="8"/>
  <c r="O293" i="8"/>
  <c r="P293" i="8"/>
  <c r="Q293" i="8"/>
  <c r="R293" i="8"/>
  <c r="S293" i="8"/>
  <c r="T293" i="8"/>
  <c r="U293" i="8"/>
  <c r="V293" i="8"/>
  <c r="W293" i="8"/>
  <c r="X293" i="8"/>
  <c r="Y293" i="8"/>
  <c r="Z293" i="8"/>
  <c r="AA293" i="8"/>
  <c r="AB293" i="8"/>
  <c r="AC293" i="8"/>
  <c r="AD293" i="8"/>
  <c r="AE293" i="8"/>
  <c r="F192" i="8"/>
  <c r="G192" i="8"/>
  <c r="H192" i="8"/>
  <c r="I192" i="8"/>
  <c r="J192" i="8"/>
  <c r="K192" i="8"/>
  <c r="L192" i="8"/>
  <c r="M192" i="8"/>
  <c r="N192" i="8"/>
  <c r="O192" i="8"/>
  <c r="P192" i="8"/>
  <c r="Q192" i="8"/>
  <c r="R192" i="8"/>
  <c r="S192" i="8"/>
  <c r="T192" i="8"/>
  <c r="U192" i="8"/>
  <c r="V192" i="8"/>
  <c r="W192" i="8"/>
  <c r="X192" i="8"/>
  <c r="Y192" i="8"/>
  <c r="Z192" i="8"/>
  <c r="AA192" i="8"/>
  <c r="AB192" i="8"/>
  <c r="AC192" i="8"/>
  <c r="AD192" i="8"/>
  <c r="AE192" i="8"/>
  <c r="F179" i="8"/>
  <c r="G179" i="8"/>
  <c r="H179" i="8"/>
  <c r="I179" i="8"/>
  <c r="J179" i="8"/>
  <c r="K179" i="8"/>
  <c r="L179" i="8"/>
  <c r="M179" i="8"/>
  <c r="N179" i="8"/>
  <c r="O179" i="8"/>
  <c r="P179" i="8"/>
  <c r="Q179" i="8"/>
  <c r="R179" i="8"/>
  <c r="S179" i="8"/>
  <c r="T179" i="8"/>
  <c r="U179" i="8"/>
  <c r="V179" i="8"/>
  <c r="W179" i="8"/>
  <c r="X179" i="8"/>
  <c r="Y179" i="8"/>
  <c r="Z179" i="8"/>
  <c r="AA179" i="8"/>
  <c r="AB179" i="8"/>
  <c r="AC179" i="8"/>
  <c r="AD179" i="8"/>
  <c r="AE179" i="8"/>
  <c r="F448" i="8"/>
  <c r="G448" i="8"/>
  <c r="H448" i="8"/>
  <c r="I448" i="8"/>
  <c r="J448" i="8"/>
  <c r="K448" i="8"/>
  <c r="L448" i="8"/>
  <c r="M448" i="8"/>
  <c r="N448" i="8"/>
  <c r="O448" i="8"/>
  <c r="P448" i="8"/>
  <c r="Q448" i="8"/>
  <c r="R448" i="8"/>
  <c r="S448" i="8"/>
  <c r="T448" i="8"/>
  <c r="U448" i="8"/>
  <c r="V448" i="8"/>
  <c r="W448" i="8"/>
  <c r="X448" i="8"/>
  <c r="Y448" i="8"/>
  <c r="Z448" i="8"/>
  <c r="AA448" i="8"/>
  <c r="AB448" i="8"/>
  <c r="AC448" i="8"/>
  <c r="AD448" i="8"/>
  <c r="AE448" i="8"/>
  <c r="F426" i="8"/>
  <c r="G426" i="8"/>
  <c r="H426" i="8"/>
  <c r="I426" i="8"/>
  <c r="J426" i="8"/>
  <c r="K426" i="8"/>
  <c r="L426" i="8"/>
  <c r="M426" i="8"/>
  <c r="N426" i="8"/>
  <c r="O426" i="8"/>
  <c r="P426" i="8"/>
  <c r="Q426" i="8"/>
  <c r="R426" i="8"/>
  <c r="S426" i="8"/>
  <c r="T426" i="8"/>
  <c r="U426" i="8"/>
  <c r="V426" i="8"/>
  <c r="W426" i="8"/>
  <c r="X426" i="8"/>
  <c r="Y426" i="8"/>
  <c r="Z426" i="8"/>
  <c r="AA426" i="8"/>
  <c r="AB426" i="8"/>
  <c r="AC426" i="8"/>
  <c r="AD426" i="8"/>
  <c r="AE426" i="8"/>
  <c r="F294" i="8"/>
  <c r="G294" i="8"/>
  <c r="H294" i="8"/>
  <c r="I294" i="8"/>
  <c r="J294" i="8"/>
  <c r="K294" i="8"/>
  <c r="L294" i="8"/>
  <c r="M294" i="8"/>
  <c r="N294" i="8"/>
  <c r="O294" i="8"/>
  <c r="P294" i="8"/>
  <c r="Q294" i="8"/>
  <c r="R294" i="8"/>
  <c r="S294" i="8"/>
  <c r="T294" i="8"/>
  <c r="U294" i="8"/>
  <c r="V294" i="8"/>
  <c r="W294" i="8"/>
  <c r="X294" i="8"/>
  <c r="Y294" i="8"/>
  <c r="Z294" i="8"/>
  <c r="AA294" i="8"/>
  <c r="AB294" i="8"/>
  <c r="AC294" i="8"/>
  <c r="AD294" i="8"/>
  <c r="AE294" i="8"/>
  <c r="F348" i="8"/>
  <c r="G348" i="8"/>
  <c r="H348" i="8"/>
  <c r="I348" i="8"/>
  <c r="J348" i="8"/>
  <c r="K348" i="8"/>
  <c r="L348" i="8"/>
  <c r="M348" i="8"/>
  <c r="N348" i="8"/>
  <c r="O348" i="8"/>
  <c r="P348" i="8"/>
  <c r="Q348" i="8"/>
  <c r="R348" i="8"/>
  <c r="S348" i="8"/>
  <c r="T348" i="8"/>
  <c r="U348" i="8"/>
  <c r="V348" i="8"/>
  <c r="W348" i="8"/>
  <c r="X348" i="8"/>
  <c r="Y348" i="8"/>
  <c r="Z348" i="8"/>
  <c r="AA348" i="8"/>
  <c r="AB348" i="8"/>
  <c r="AC348" i="8"/>
  <c r="AD348" i="8"/>
  <c r="AE348" i="8"/>
  <c r="F283" i="8"/>
  <c r="G283" i="8"/>
  <c r="H283" i="8"/>
  <c r="I283" i="8"/>
  <c r="J283" i="8"/>
  <c r="K283" i="8"/>
  <c r="L283" i="8"/>
  <c r="M283" i="8"/>
  <c r="N283" i="8"/>
  <c r="O283" i="8"/>
  <c r="P283" i="8"/>
  <c r="Q283" i="8"/>
  <c r="R283" i="8"/>
  <c r="S283" i="8"/>
  <c r="T283" i="8"/>
  <c r="U283" i="8"/>
  <c r="V283" i="8"/>
  <c r="W283" i="8"/>
  <c r="X283" i="8"/>
  <c r="Y283" i="8"/>
  <c r="Z283" i="8"/>
  <c r="AA283" i="8"/>
  <c r="AB283" i="8"/>
  <c r="AC283" i="8"/>
  <c r="AD283" i="8"/>
  <c r="AE283" i="8"/>
  <c r="F459" i="8"/>
  <c r="G459" i="8"/>
  <c r="H459" i="8"/>
  <c r="I459" i="8"/>
  <c r="J459" i="8"/>
  <c r="K459" i="8"/>
  <c r="L459" i="8"/>
  <c r="M459" i="8"/>
  <c r="N459" i="8"/>
  <c r="O459" i="8"/>
  <c r="P459" i="8"/>
  <c r="Q459" i="8"/>
  <c r="R459" i="8"/>
  <c r="S459" i="8"/>
  <c r="T459" i="8"/>
  <c r="U459" i="8"/>
  <c r="V459" i="8"/>
  <c r="W459" i="8"/>
  <c r="X459" i="8"/>
  <c r="Y459" i="8"/>
  <c r="Z459" i="8"/>
  <c r="AA459" i="8"/>
  <c r="AB459" i="8"/>
  <c r="AC459" i="8"/>
  <c r="AD459" i="8"/>
  <c r="AE459" i="8"/>
  <c r="F181" i="8"/>
  <c r="G181" i="8"/>
  <c r="H181" i="8"/>
  <c r="I181" i="8"/>
  <c r="J181" i="8"/>
  <c r="K181" i="8"/>
  <c r="L181" i="8"/>
  <c r="M181" i="8"/>
  <c r="N181" i="8"/>
  <c r="O181" i="8"/>
  <c r="P181" i="8"/>
  <c r="Q181" i="8"/>
  <c r="R181" i="8"/>
  <c r="S181" i="8"/>
  <c r="T181" i="8"/>
  <c r="U181" i="8"/>
  <c r="V181" i="8"/>
  <c r="W181" i="8"/>
  <c r="X181" i="8"/>
  <c r="Y181" i="8"/>
  <c r="Z181" i="8"/>
  <c r="AA181" i="8"/>
  <c r="AB181" i="8"/>
  <c r="AC181" i="8"/>
  <c r="AD181" i="8"/>
  <c r="AE181" i="8"/>
  <c r="F260" i="8"/>
  <c r="G260" i="8"/>
  <c r="H260" i="8"/>
  <c r="I260" i="8"/>
  <c r="J260" i="8"/>
  <c r="K260" i="8"/>
  <c r="L260" i="8"/>
  <c r="M260" i="8"/>
  <c r="N260" i="8"/>
  <c r="O260" i="8"/>
  <c r="P260" i="8"/>
  <c r="Q260" i="8"/>
  <c r="R260" i="8"/>
  <c r="S260" i="8"/>
  <c r="T260" i="8"/>
  <c r="U260" i="8"/>
  <c r="V260" i="8"/>
  <c r="W260" i="8"/>
  <c r="X260" i="8"/>
  <c r="Y260" i="8"/>
  <c r="Z260" i="8"/>
  <c r="AA260" i="8"/>
  <c r="AB260" i="8"/>
  <c r="AC260" i="8"/>
  <c r="AD260" i="8"/>
  <c r="AE260" i="8"/>
  <c r="F246" i="8"/>
  <c r="G246" i="8"/>
  <c r="H246" i="8"/>
  <c r="I246" i="8"/>
  <c r="J246" i="8"/>
  <c r="K246" i="8"/>
  <c r="L246" i="8"/>
  <c r="M246" i="8"/>
  <c r="N246" i="8"/>
  <c r="O246" i="8"/>
  <c r="P246" i="8"/>
  <c r="Q246" i="8"/>
  <c r="R246" i="8"/>
  <c r="S246" i="8"/>
  <c r="T246" i="8"/>
  <c r="U246" i="8"/>
  <c r="V246" i="8"/>
  <c r="W246" i="8"/>
  <c r="X246" i="8"/>
  <c r="Y246" i="8"/>
  <c r="Z246" i="8"/>
  <c r="AA246" i="8"/>
  <c r="AB246" i="8"/>
  <c r="AC246" i="8"/>
  <c r="AD246" i="8"/>
  <c r="AE246" i="8"/>
  <c r="F206" i="8"/>
  <c r="G206" i="8"/>
  <c r="H206" i="8"/>
  <c r="I206" i="8"/>
  <c r="J206" i="8"/>
  <c r="K206" i="8"/>
  <c r="L206" i="8"/>
  <c r="M206" i="8"/>
  <c r="N206" i="8"/>
  <c r="O206" i="8"/>
  <c r="P206" i="8"/>
  <c r="Q206" i="8"/>
  <c r="R206" i="8"/>
  <c r="S206" i="8"/>
  <c r="T206" i="8"/>
  <c r="U206" i="8"/>
  <c r="V206" i="8"/>
  <c r="W206" i="8"/>
  <c r="X206" i="8"/>
  <c r="Y206" i="8"/>
  <c r="Z206" i="8"/>
  <c r="AA206" i="8"/>
  <c r="AB206" i="8"/>
  <c r="AC206" i="8"/>
  <c r="AD206" i="8"/>
  <c r="AE206" i="8"/>
  <c r="F395" i="8"/>
  <c r="G395" i="8"/>
  <c r="H395" i="8"/>
  <c r="I395" i="8"/>
  <c r="J395" i="8"/>
  <c r="K395" i="8"/>
  <c r="L395" i="8"/>
  <c r="M395" i="8"/>
  <c r="N395" i="8"/>
  <c r="O395" i="8"/>
  <c r="P395" i="8"/>
  <c r="Q395" i="8"/>
  <c r="R395" i="8"/>
  <c r="S395" i="8"/>
  <c r="T395" i="8"/>
  <c r="U395" i="8"/>
  <c r="V395" i="8"/>
  <c r="W395" i="8"/>
  <c r="X395" i="8"/>
  <c r="Y395" i="8"/>
  <c r="Z395" i="8"/>
  <c r="AA395" i="8"/>
  <c r="AB395" i="8"/>
  <c r="AC395" i="8"/>
  <c r="AD395" i="8"/>
  <c r="AE395" i="8"/>
  <c r="F180" i="8"/>
  <c r="G180" i="8"/>
  <c r="H180" i="8"/>
  <c r="I180" i="8"/>
  <c r="J180" i="8"/>
  <c r="K180" i="8"/>
  <c r="L180" i="8"/>
  <c r="M180" i="8"/>
  <c r="N180" i="8"/>
  <c r="O180" i="8"/>
  <c r="P180" i="8"/>
  <c r="Q180" i="8"/>
  <c r="R180" i="8"/>
  <c r="S180" i="8"/>
  <c r="T180" i="8"/>
  <c r="U180" i="8"/>
  <c r="V180" i="8"/>
  <c r="W180" i="8"/>
  <c r="X180" i="8"/>
  <c r="Y180" i="8"/>
  <c r="Z180" i="8"/>
  <c r="AA180" i="8"/>
  <c r="AB180" i="8"/>
  <c r="AC180" i="8"/>
  <c r="AD180" i="8"/>
  <c r="AE180" i="8"/>
  <c r="F173" i="8"/>
  <c r="G173" i="8"/>
  <c r="H173" i="8"/>
  <c r="I173" i="8"/>
  <c r="J173" i="8"/>
  <c r="K173" i="8"/>
  <c r="L173" i="8"/>
  <c r="M173" i="8"/>
  <c r="N173" i="8"/>
  <c r="O173" i="8"/>
  <c r="P173" i="8"/>
  <c r="Q173" i="8"/>
  <c r="R173" i="8"/>
  <c r="S173" i="8"/>
  <c r="T173" i="8"/>
  <c r="U173" i="8"/>
  <c r="V173" i="8"/>
  <c r="W173" i="8"/>
  <c r="X173" i="8"/>
  <c r="Y173" i="8"/>
  <c r="Z173" i="8"/>
  <c r="AA173" i="8"/>
  <c r="AB173" i="8"/>
  <c r="AC173" i="8"/>
  <c r="AD173" i="8"/>
  <c r="AE173" i="8"/>
  <c r="F150" i="8"/>
  <c r="G150" i="8"/>
  <c r="H150" i="8"/>
  <c r="I150" i="8"/>
  <c r="J150" i="8"/>
  <c r="K150" i="8"/>
  <c r="L150" i="8"/>
  <c r="M150" i="8"/>
  <c r="N150" i="8"/>
  <c r="O150" i="8"/>
  <c r="P150" i="8"/>
  <c r="Q150" i="8"/>
  <c r="R150" i="8"/>
  <c r="S150" i="8"/>
  <c r="T150" i="8"/>
  <c r="U150" i="8"/>
  <c r="V150" i="8"/>
  <c r="W150" i="8"/>
  <c r="X150" i="8"/>
  <c r="Y150" i="8"/>
  <c r="Z150" i="8"/>
  <c r="AA150" i="8"/>
  <c r="AB150" i="8"/>
  <c r="AC150" i="8"/>
  <c r="AD150" i="8"/>
  <c r="AE150" i="8"/>
  <c r="F533" i="8"/>
  <c r="G533" i="8"/>
  <c r="H533" i="8"/>
  <c r="I533" i="8"/>
  <c r="J533" i="8"/>
  <c r="K533" i="8"/>
  <c r="L533" i="8"/>
  <c r="M533" i="8"/>
  <c r="N533" i="8"/>
  <c r="O533" i="8"/>
  <c r="P533" i="8"/>
  <c r="Q533" i="8"/>
  <c r="R533" i="8"/>
  <c r="S533" i="8"/>
  <c r="T533" i="8"/>
  <c r="U533" i="8"/>
  <c r="V533" i="8"/>
  <c r="W533" i="8"/>
  <c r="X533" i="8"/>
  <c r="Y533" i="8"/>
  <c r="Z533" i="8"/>
  <c r="AA533" i="8"/>
  <c r="AB533" i="8"/>
  <c r="AC533" i="8"/>
  <c r="AD533" i="8"/>
  <c r="AE533" i="8"/>
  <c r="F501" i="8"/>
  <c r="G501" i="8"/>
  <c r="H501" i="8"/>
  <c r="I501" i="8"/>
  <c r="J501" i="8"/>
  <c r="K501" i="8"/>
  <c r="L501" i="8"/>
  <c r="M501" i="8"/>
  <c r="N501" i="8"/>
  <c r="O501" i="8"/>
  <c r="P501" i="8"/>
  <c r="Q501" i="8"/>
  <c r="R501" i="8"/>
  <c r="S501" i="8"/>
  <c r="T501" i="8"/>
  <c r="U501" i="8"/>
  <c r="V501" i="8"/>
  <c r="W501" i="8"/>
  <c r="X501" i="8"/>
  <c r="Y501" i="8"/>
  <c r="Z501" i="8"/>
  <c r="AA501" i="8"/>
  <c r="AB501" i="8"/>
  <c r="AC501" i="8"/>
  <c r="AD501" i="8"/>
  <c r="AE501" i="8"/>
  <c r="F563" i="8"/>
  <c r="G563" i="8"/>
  <c r="H563" i="8"/>
  <c r="I563" i="8"/>
  <c r="J563" i="8"/>
  <c r="K563" i="8"/>
  <c r="L563" i="8"/>
  <c r="M563" i="8"/>
  <c r="N563" i="8"/>
  <c r="O563" i="8"/>
  <c r="P563" i="8"/>
  <c r="Q563" i="8"/>
  <c r="R563" i="8"/>
  <c r="S563" i="8"/>
  <c r="T563" i="8"/>
  <c r="U563" i="8"/>
  <c r="V563" i="8"/>
  <c r="W563" i="8"/>
  <c r="X563" i="8"/>
  <c r="Y563" i="8"/>
  <c r="Z563" i="8"/>
  <c r="AA563" i="8"/>
  <c r="AB563" i="8"/>
  <c r="AC563" i="8"/>
  <c r="AD563" i="8"/>
  <c r="AE563" i="8"/>
  <c r="F539" i="8"/>
  <c r="G539" i="8"/>
  <c r="H539" i="8"/>
  <c r="I539" i="8"/>
  <c r="J539" i="8"/>
  <c r="K539" i="8"/>
  <c r="L539" i="8"/>
  <c r="M539" i="8"/>
  <c r="N539" i="8"/>
  <c r="O539" i="8"/>
  <c r="P539" i="8"/>
  <c r="Q539" i="8"/>
  <c r="R539" i="8"/>
  <c r="S539" i="8"/>
  <c r="T539" i="8"/>
  <c r="U539" i="8"/>
  <c r="V539" i="8"/>
  <c r="W539" i="8"/>
  <c r="X539" i="8"/>
  <c r="Y539" i="8"/>
  <c r="Z539" i="8"/>
  <c r="AA539" i="8"/>
  <c r="AB539" i="8"/>
  <c r="AC539" i="8"/>
  <c r="AD539" i="8"/>
  <c r="AE539" i="8"/>
  <c r="F575" i="8"/>
  <c r="G575" i="8"/>
  <c r="H575" i="8"/>
  <c r="I575" i="8"/>
  <c r="J575" i="8"/>
  <c r="K575" i="8"/>
  <c r="L575" i="8"/>
  <c r="M575" i="8"/>
  <c r="N575" i="8"/>
  <c r="O575" i="8"/>
  <c r="P575" i="8"/>
  <c r="Q575" i="8"/>
  <c r="R575" i="8"/>
  <c r="S575" i="8"/>
  <c r="T575" i="8"/>
  <c r="U575" i="8"/>
  <c r="V575" i="8"/>
  <c r="W575" i="8"/>
  <c r="X575" i="8"/>
  <c r="Y575" i="8"/>
  <c r="Z575" i="8"/>
  <c r="AA575" i="8"/>
  <c r="AB575" i="8"/>
  <c r="AC575" i="8"/>
  <c r="AD575" i="8"/>
  <c r="AE575" i="8"/>
  <c r="F562" i="8"/>
  <c r="G562" i="8"/>
  <c r="H562" i="8"/>
  <c r="I562" i="8"/>
  <c r="J562" i="8"/>
  <c r="K562" i="8"/>
  <c r="L562" i="8"/>
  <c r="M562" i="8"/>
  <c r="N562" i="8"/>
  <c r="O562" i="8"/>
  <c r="P562" i="8"/>
  <c r="Q562" i="8"/>
  <c r="R562" i="8"/>
  <c r="S562" i="8"/>
  <c r="T562" i="8"/>
  <c r="U562" i="8"/>
  <c r="V562" i="8"/>
  <c r="W562" i="8"/>
  <c r="X562" i="8"/>
  <c r="Y562" i="8"/>
  <c r="Z562" i="8"/>
  <c r="AA562" i="8"/>
  <c r="AB562" i="8"/>
  <c r="AC562" i="8"/>
  <c r="AD562" i="8"/>
  <c r="AE562" i="8"/>
  <c r="F591" i="8"/>
  <c r="G591" i="8"/>
  <c r="H591" i="8"/>
  <c r="I591" i="8"/>
  <c r="J591" i="8"/>
  <c r="K591" i="8"/>
  <c r="L591" i="8"/>
  <c r="M591" i="8"/>
  <c r="N591" i="8"/>
  <c r="O591" i="8"/>
  <c r="P591" i="8"/>
  <c r="Q591" i="8"/>
  <c r="R591" i="8"/>
  <c r="S591" i="8"/>
  <c r="T591" i="8"/>
  <c r="U591" i="8"/>
  <c r="V591" i="8"/>
  <c r="W591" i="8"/>
  <c r="X591" i="8"/>
  <c r="Y591" i="8"/>
  <c r="Z591" i="8"/>
  <c r="AA591" i="8"/>
  <c r="AB591" i="8"/>
  <c r="AC591" i="8"/>
  <c r="AD591" i="8"/>
  <c r="AE591" i="8"/>
  <c r="F534" i="8"/>
  <c r="G534" i="8"/>
  <c r="H534" i="8"/>
  <c r="I534" i="8"/>
  <c r="J534" i="8"/>
  <c r="K534" i="8"/>
  <c r="L534" i="8"/>
  <c r="M534" i="8"/>
  <c r="N534" i="8"/>
  <c r="O534" i="8"/>
  <c r="P534" i="8"/>
  <c r="Q534" i="8"/>
  <c r="R534" i="8"/>
  <c r="S534" i="8"/>
  <c r="T534" i="8"/>
  <c r="U534" i="8"/>
  <c r="V534" i="8"/>
  <c r="W534" i="8"/>
  <c r="X534" i="8"/>
  <c r="Y534" i="8"/>
  <c r="Z534" i="8"/>
  <c r="AA534" i="8"/>
  <c r="AB534" i="8"/>
  <c r="AC534" i="8"/>
  <c r="AD534" i="8"/>
  <c r="AE534" i="8"/>
  <c r="F505" i="8"/>
  <c r="G505" i="8"/>
  <c r="H505" i="8"/>
  <c r="I505" i="8"/>
  <c r="J505" i="8"/>
  <c r="K505" i="8"/>
  <c r="L505" i="8"/>
  <c r="M505" i="8"/>
  <c r="N505" i="8"/>
  <c r="O505" i="8"/>
  <c r="P505" i="8"/>
  <c r="Q505" i="8"/>
  <c r="R505" i="8"/>
  <c r="S505" i="8"/>
  <c r="T505" i="8"/>
  <c r="U505" i="8"/>
  <c r="V505" i="8"/>
  <c r="W505" i="8"/>
  <c r="X505" i="8"/>
  <c r="Y505" i="8"/>
  <c r="Z505" i="8"/>
  <c r="AA505" i="8"/>
  <c r="AB505" i="8"/>
  <c r="AC505" i="8"/>
  <c r="AD505" i="8"/>
  <c r="AE505" i="8"/>
  <c r="F371" i="8"/>
  <c r="G371" i="8"/>
  <c r="H371" i="8"/>
  <c r="I371" i="8"/>
  <c r="J371" i="8"/>
  <c r="K371" i="8"/>
  <c r="L371" i="8"/>
  <c r="M371" i="8"/>
  <c r="N371" i="8"/>
  <c r="O371" i="8"/>
  <c r="P371" i="8"/>
  <c r="Q371" i="8"/>
  <c r="R371" i="8"/>
  <c r="S371" i="8"/>
  <c r="T371" i="8"/>
  <c r="U371" i="8"/>
  <c r="V371" i="8"/>
  <c r="W371" i="8"/>
  <c r="X371" i="8"/>
  <c r="Y371" i="8"/>
  <c r="Z371" i="8"/>
  <c r="AA371" i="8"/>
  <c r="AB371" i="8"/>
  <c r="AC371" i="8"/>
  <c r="AD371" i="8"/>
  <c r="AE371" i="8"/>
  <c r="F307" i="8"/>
  <c r="G307" i="8"/>
  <c r="H307" i="8"/>
  <c r="I307" i="8"/>
  <c r="J307" i="8"/>
  <c r="K307" i="8"/>
  <c r="L307" i="8"/>
  <c r="M307" i="8"/>
  <c r="N307" i="8"/>
  <c r="O307" i="8"/>
  <c r="P307" i="8"/>
  <c r="Q307" i="8"/>
  <c r="R307" i="8"/>
  <c r="S307" i="8"/>
  <c r="T307" i="8"/>
  <c r="U307" i="8"/>
  <c r="V307" i="8"/>
  <c r="W307" i="8"/>
  <c r="X307" i="8"/>
  <c r="Y307" i="8"/>
  <c r="Z307" i="8"/>
  <c r="AA307" i="8"/>
  <c r="AB307" i="8"/>
  <c r="AC307" i="8"/>
  <c r="AD307" i="8"/>
  <c r="AE307" i="8"/>
  <c r="F303" i="8"/>
  <c r="G303" i="8"/>
  <c r="H303" i="8"/>
  <c r="I303" i="8"/>
  <c r="J303" i="8"/>
  <c r="K303" i="8"/>
  <c r="L303" i="8"/>
  <c r="M303" i="8"/>
  <c r="N303" i="8"/>
  <c r="O303" i="8"/>
  <c r="P303" i="8"/>
  <c r="Q303" i="8"/>
  <c r="R303" i="8"/>
  <c r="S303" i="8"/>
  <c r="T303" i="8"/>
  <c r="U303" i="8"/>
  <c r="V303" i="8"/>
  <c r="W303" i="8"/>
  <c r="X303" i="8"/>
  <c r="Y303" i="8"/>
  <c r="Z303" i="8"/>
  <c r="AA303" i="8"/>
  <c r="AB303" i="8"/>
  <c r="AC303" i="8"/>
  <c r="AD303" i="8"/>
  <c r="AE303" i="8"/>
  <c r="F554" i="8"/>
  <c r="G554" i="8"/>
  <c r="H554" i="8"/>
  <c r="I554" i="8"/>
  <c r="J554" i="8"/>
  <c r="K554" i="8"/>
  <c r="L554" i="8"/>
  <c r="M554" i="8"/>
  <c r="N554" i="8"/>
  <c r="O554" i="8"/>
  <c r="P554" i="8"/>
  <c r="Q554" i="8"/>
  <c r="R554" i="8"/>
  <c r="S554" i="8"/>
  <c r="T554" i="8"/>
  <c r="U554" i="8"/>
  <c r="V554" i="8"/>
  <c r="W554" i="8"/>
  <c r="X554" i="8"/>
  <c r="Y554" i="8"/>
  <c r="Z554" i="8"/>
  <c r="AA554" i="8"/>
  <c r="AB554" i="8"/>
  <c r="AC554" i="8"/>
  <c r="AD554" i="8"/>
  <c r="AE554" i="8"/>
  <c r="F509" i="8"/>
  <c r="G509" i="8"/>
  <c r="H509" i="8"/>
  <c r="I509" i="8"/>
  <c r="J509" i="8"/>
  <c r="K509" i="8"/>
  <c r="L509" i="8"/>
  <c r="M509" i="8"/>
  <c r="N509" i="8"/>
  <c r="O509" i="8"/>
  <c r="P509" i="8"/>
  <c r="Q509" i="8"/>
  <c r="R509" i="8"/>
  <c r="S509" i="8"/>
  <c r="T509" i="8"/>
  <c r="U509" i="8"/>
  <c r="V509" i="8"/>
  <c r="W509" i="8"/>
  <c r="X509" i="8"/>
  <c r="Y509" i="8"/>
  <c r="Z509" i="8"/>
  <c r="AA509" i="8"/>
  <c r="AB509" i="8"/>
  <c r="AC509" i="8"/>
  <c r="AD509" i="8"/>
  <c r="AE509" i="8"/>
  <c r="F112" i="8"/>
  <c r="G112" i="8"/>
  <c r="H112" i="8"/>
  <c r="I112" i="8"/>
  <c r="J112" i="8"/>
  <c r="K112" i="8"/>
  <c r="L112" i="8"/>
  <c r="M112" i="8"/>
  <c r="N112" i="8"/>
  <c r="O112" i="8"/>
  <c r="P112" i="8"/>
  <c r="Q112" i="8"/>
  <c r="R112" i="8"/>
  <c r="S112" i="8"/>
  <c r="T112" i="8"/>
  <c r="U112" i="8"/>
  <c r="V112" i="8"/>
  <c r="W112" i="8"/>
  <c r="X112" i="8"/>
  <c r="Y112" i="8"/>
  <c r="Z112" i="8"/>
  <c r="AA112" i="8"/>
  <c r="AB112" i="8"/>
  <c r="AC112" i="8"/>
  <c r="AD112" i="8"/>
  <c r="AE112" i="8"/>
  <c r="F123" i="8"/>
  <c r="G123" i="8"/>
  <c r="H123" i="8"/>
  <c r="I123" i="8"/>
  <c r="J123" i="8"/>
  <c r="K123" i="8"/>
  <c r="L123" i="8"/>
  <c r="M123" i="8"/>
  <c r="N123" i="8"/>
  <c r="O123" i="8"/>
  <c r="P123" i="8"/>
  <c r="Q123" i="8"/>
  <c r="R123" i="8"/>
  <c r="S123" i="8"/>
  <c r="T123" i="8"/>
  <c r="U123" i="8"/>
  <c r="V123" i="8"/>
  <c r="W123" i="8"/>
  <c r="X123" i="8"/>
  <c r="Y123" i="8"/>
  <c r="Z123" i="8"/>
  <c r="AA123" i="8"/>
  <c r="AB123" i="8"/>
  <c r="AC123" i="8"/>
  <c r="AD123" i="8"/>
  <c r="AE123" i="8"/>
  <c r="F440" i="8"/>
  <c r="G440" i="8"/>
  <c r="H440" i="8"/>
  <c r="I440" i="8"/>
  <c r="J440" i="8"/>
  <c r="K440" i="8"/>
  <c r="L440" i="8"/>
  <c r="M440" i="8"/>
  <c r="N440" i="8"/>
  <c r="O440" i="8"/>
  <c r="P440" i="8"/>
  <c r="Q440" i="8"/>
  <c r="R440" i="8"/>
  <c r="S440" i="8"/>
  <c r="T440" i="8"/>
  <c r="U440" i="8"/>
  <c r="V440" i="8"/>
  <c r="W440" i="8"/>
  <c r="X440" i="8"/>
  <c r="Y440" i="8"/>
  <c r="Z440" i="8"/>
  <c r="AA440" i="8"/>
  <c r="AB440" i="8"/>
  <c r="AC440" i="8"/>
  <c r="AD440" i="8"/>
  <c r="AE440" i="8"/>
  <c r="F437" i="8"/>
  <c r="G437" i="8"/>
  <c r="H437" i="8"/>
  <c r="I437" i="8"/>
  <c r="J437" i="8"/>
  <c r="K437" i="8"/>
  <c r="L437" i="8"/>
  <c r="M437" i="8"/>
  <c r="N437" i="8"/>
  <c r="O437" i="8"/>
  <c r="P437" i="8"/>
  <c r="Q437" i="8"/>
  <c r="R437" i="8"/>
  <c r="S437" i="8"/>
  <c r="T437" i="8"/>
  <c r="U437" i="8"/>
  <c r="V437" i="8"/>
  <c r="W437" i="8"/>
  <c r="X437" i="8"/>
  <c r="Y437" i="8"/>
  <c r="Z437" i="8"/>
  <c r="AA437" i="8"/>
  <c r="AB437" i="8"/>
  <c r="AC437" i="8"/>
  <c r="AD437" i="8"/>
  <c r="AE437" i="8"/>
  <c r="F97" i="8"/>
  <c r="G97" i="8"/>
  <c r="H97" i="8"/>
  <c r="I97" i="8"/>
  <c r="J97" i="8"/>
  <c r="K97" i="8"/>
  <c r="L97" i="8"/>
  <c r="M97" i="8"/>
  <c r="N97" i="8"/>
  <c r="O97" i="8"/>
  <c r="P97" i="8"/>
  <c r="Q97" i="8"/>
  <c r="R97" i="8"/>
  <c r="S97" i="8"/>
  <c r="T97" i="8"/>
  <c r="U97" i="8"/>
  <c r="V97" i="8"/>
  <c r="W97" i="8"/>
  <c r="X97" i="8"/>
  <c r="Y97" i="8"/>
  <c r="Z97" i="8"/>
  <c r="AA97" i="8"/>
  <c r="AB97" i="8"/>
  <c r="AC97" i="8"/>
  <c r="AD97" i="8"/>
  <c r="AE97" i="8"/>
  <c r="F392" i="8"/>
  <c r="G392" i="8"/>
  <c r="H392" i="8"/>
  <c r="I392" i="8"/>
  <c r="J392" i="8"/>
  <c r="K392" i="8"/>
  <c r="L392" i="8"/>
  <c r="M392" i="8"/>
  <c r="N392" i="8"/>
  <c r="O392" i="8"/>
  <c r="P392" i="8"/>
  <c r="Q392" i="8"/>
  <c r="R392" i="8"/>
  <c r="S392" i="8"/>
  <c r="T392" i="8"/>
  <c r="U392" i="8"/>
  <c r="V392" i="8"/>
  <c r="W392" i="8"/>
  <c r="X392" i="8"/>
  <c r="Y392" i="8"/>
  <c r="Z392" i="8"/>
  <c r="AA392" i="8"/>
  <c r="AB392" i="8"/>
  <c r="AC392" i="8"/>
  <c r="AD392" i="8"/>
  <c r="AE392" i="8"/>
  <c r="F494" i="8"/>
  <c r="G494" i="8"/>
  <c r="H494" i="8"/>
  <c r="I494" i="8"/>
  <c r="J494" i="8"/>
  <c r="K494" i="8"/>
  <c r="L494" i="8"/>
  <c r="M494" i="8"/>
  <c r="N494" i="8"/>
  <c r="O494" i="8"/>
  <c r="P494" i="8"/>
  <c r="Q494" i="8"/>
  <c r="R494" i="8"/>
  <c r="S494" i="8"/>
  <c r="T494" i="8"/>
  <c r="U494" i="8"/>
  <c r="V494" i="8"/>
  <c r="W494" i="8"/>
  <c r="X494" i="8"/>
  <c r="Y494" i="8"/>
  <c r="Z494" i="8"/>
  <c r="AA494" i="8"/>
  <c r="AB494" i="8"/>
  <c r="AC494" i="8"/>
  <c r="AD494" i="8"/>
  <c r="AE494" i="8"/>
  <c r="F346" i="8"/>
  <c r="G346" i="8"/>
  <c r="H346" i="8"/>
  <c r="I346" i="8"/>
  <c r="J346" i="8"/>
  <c r="K346" i="8"/>
  <c r="L346" i="8"/>
  <c r="M346" i="8"/>
  <c r="N346" i="8"/>
  <c r="O346" i="8"/>
  <c r="P346" i="8"/>
  <c r="Q346" i="8"/>
  <c r="R346" i="8"/>
  <c r="S346" i="8"/>
  <c r="T346" i="8"/>
  <c r="U346" i="8"/>
  <c r="V346" i="8"/>
  <c r="W346" i="8"/>
  <c r="X346" i="8"/>
  <c r="Y346" i="8"/>
  <c r="Z346" i="8"/>
  <c r="AA346" i="8"/>
  <c r="AB346" i="8"/>
  <c r="AC346" i="8"/>
  <c r="AD346" i="8"/>
  <c r="AE346" i="8"/>
  <c r="F219" i="8"/>
  <c r="G219" i="8"/>
  <c r="H219" i="8"/>
  <c r="I219" i="8"/>
  <c r="J219" i="8"/>
  <c r="K219" i="8"/>
  <c r="L219" i="8"/>
  <c r="M219" i="8"/>
  <c r="N219" i="8"/>
  <c r="O219" i="8"/>
  <c r="P219" i="8"/>
  <c r="Q219" i="8"/>
  <c r="R219" i="8"/>
  <c r="S219" i="8"/>
  <c r="T219" i="8"/>
  <c r="U219" i="8"/>
  <c r="V219" i="8"/>
  <c r="W219" i="8"/>
  <c r="X219" i="8"/>
  <c r="Y219" i="8"/>
  <c r="Z219" i="8"/>
  <c r="AA219" i="8"/>
  <c r="AB219" i="8"/>
  <c r="AC219" i="8"/>
  <c r="AD219" i="8"/>
  <c r="AE219" i="8"/>
  <c r="F257" i="8"/>
  <c r="G257" i="8"/>
  <c r="H257" i="8"/>
  <c r="I257" i="8"/>
  <c r="J257" i="8"/>
  <c r="K257" i="8"/>
  <c r="L257" i="8"/>
  <c r="M257" i="8"/>
  <c r="N257" i="8"/>
  <c r="O257" i="8"/>
  <c r="P257" i="8"/>
  <c r="Q257" i="8"/>
  <c r="R257" i="8"/>
  <c r="S257" i="8"/>
  <c r="T257" i="8"/>
  <c r="U257" i="8"/>
  <c r="V257" i="8"/>
  <c r="W257" i="8"/>
  <c r="X257" i="8"/>
  <c r="Y257" i="8"/>
  <c r="Z257" i="8"/>
  <c r="AA257" i="8"/>
  <c r="AB257" i="8"/>
  <c r="AC257" i="8"/>
  <c r="AD257" i="8"/>
  <c r="AE257" i="8"/>
  <c r="F250" i="8"/>
  <c r="G250" i="8"/>
  <c r="H250" i="8"/>
  <c r="I250" i="8"/>
  <c r="J250" i="8"/>
  <c r="K250" i="8"/>
  <c r="L250" i="8"/>
  <c r="M250" i="8"/>
  <c r="N250" i="8"/>
  <c r="O250" i="8"/>
  <c r="P250" i="8"/>
  <c r="Q250" i="8"/>
  <c r="R250" i="8"/>
  <c r="S250" i="8"/>
  <c r="T250" i="8"/>
  <c r="U250" i="8"/>
  <c r="V250" i="8"/>
  <c r="W250" i="8"/>
  <c r="X250" i="8"/>
  <c r="Y250" i="8"/>
  <c r="Z250" i="8"/>
  <c r="AA250" i="8"/>
  <c r="AB250" i="8"/>
  <c r="AC250" i="8"/>
  <c r="AD250" i="8"/>
  <c r="AE250" i="8"/>
  <c r="F434" i="8"/>
  <c r="G434" i="8"/>
  <c r="H434" i="8"/>
  <c r="I434" i="8"/>
  <c r="J434" i="8"/>
  <c r="K434" i="8"/>
  <c r="L434" i="8"/>
  <c r="M434" i="8"/>
  <c r="N434" i="8"/>
  <c r="O434" i="8"/>
  <c r="P434" i="8"/>
  <c r="Q434" i="8"/>
  <c r="R434" i="8"/>
  <c r="S434" i="8"/>
  <c r="T434" i="8"/>
  <c r="U434" i="8"/>
  <c r="V434" i="8"/>
  <c r="W434" i="8"/>
  <c r="X434" i="8"/>
  <c r="Y434" i="8"/>
  <c r="Z434" i="8"/>
  <c r="AA434" i="8"/>
  <c r="AB434" i="8"/>
  <c r="AC434" i="8"/>
  <c r="AD434" i="8"/>
  <c r="AE434" i="8"/>
  <c r="F234" i="8"/>
  <c r="G234" i="8"/>
  <c r="H234" i="8"/>
  <c r="I234" i="8"/>
  <c r="J234" i="8"/>
  <c r="K234" i="8"/>
  <c r="L234" i="8"/>
  <c r="M234" i="8"/>
  <c r="N234" i="8"/>
  <c r="O234" i="8"/>
  <c r="P234" i="8"/>
  <c r="Q234" i="8"/>
  <c r="R234" i="8"/>
  <c r="S234" i="8"/>
  <c r="T234" i="8"/>
  <c r="U234" i="8"/>
  <c r="V234" i="8"/>
  <c r="W234" i="8"/>
  <c r="X234" i="8"/>
  <c r="Y234" i="8"/>
  <c r="Z234" i="8"/>
  <c r="AA234" i="8"/>
  <c r="AB234" i="8"/>
  <c r="AC234" i="8"/>
  <c r="AD234" i="8"/>
  <c r="AE234" i="8"/>
  <c r="F240" i="8"/>
  <c r="G240" i="8"/>
  <c r="H240" i="8"/>
  <c r="I240" i="8"/>
  <c r="J240" i="8"/>
  <c r="K240" i="8"/>
  <c r="L240" i="8"/>
  <c r="M240" i="8"/>
  <c r="N240" i="8"/>
  <c r="O240" i="8"/>
  <c r="P240" i="8"/>
  <c r="Q240" i="8"/>
  <c r="R240" i="8"/>
  <c r="S240" i="8"/>
  <c r="T240" i="8"/>
  <c r="U240" i="8"/>
  <c r="V240" i="8"/>
  <c r="W240" i="8"/>
  <c r="X240" i="8"/>
  <c r="Y240" i="8"/>
  <c r="Z240" i="8"/>
  <c r="AA240" i="8"/>
  <c r="AB240" i="8"/>
  <c r="AC240" i="8"/>
  <c r="AD240" i="8"/>
  <c r="AE240" i="8"/>
  <c r="F161" i="8"/>
  <c r="G161" i="8"/>
  <c r="H161" i="8"/>
  <c r="I161" i="8"/>
  <c r="J161" i="8"/>
  <c r="K161" i="8"/>
  <c r="L161" i="8"/>
  <c r="M161" i="8"/>
  <c r="N161" i="8"/>
  <c r="O161" i="8"/>
  <c r="P161" i="8"/>
  <c r="Q161" i="8"/>
  <c r="R161" i="8"/>
  <c r="S161" i="8"/>
  <c r="T161" i="8"/>
  <c r="U161" i="8"/>
  <c r="V161" i="8"/>
  <c r="W161" i="8"/>
  <c r="X161" i="8"/>
  <c r="Y161" i="8"/>
  <c r="Z161" i="8"/>
  <c r="AA161" i="8"/>
  <c r="AB161" i="8"/>
  <c r="AC161" i="8"/>
  <c r="AD161" i="8"/>
  <c r="AE161" i="8"/>
  <c r="F330" i="8"/>
  <c r="G330" i="8"/>
  <c r="H330" i="8"/>
  <c r="I330" i="8"/>
  <c r="J330" i="8"/>
  <c r="K330" i="8"/>
  <c r="L330" i="8"/>
  <c r="M330" i="8"/>
  <c r="N330" i="8"/>
  <c r="O330" i="8"/>
  <c r="P330" i="8"/>
  <c r="Q330" i="8"/>
  <c r="R330" i="8"/>
  <c r="S330" i="8"/>
  <c r="T330" i="8"/>
  <c r="U330" i="8"/>
  <c r="V330" i="8"/>
  <c r="W330" i="8"/>
  <c r="X330" i="8"/>
  <c r="Y330" i="8"/>
  <c r="Z330" i="8"/>
  <c r="AA330" i="8"/>
  <c r="AB330" i="8"/>
  <c r="AC330" i="8"/>
  <c r="AD330" i="8"/>
  <c r="AE330" i="8"/>
  <c r="F376" i="8"/>
  <c r="G376" i="8"/>
  <c r="H376" i="8"/>
  <c r="I376" i="8"/>
  <c r="J376" i="8"/>
  <c r="K376" i="8"/>
  <c r="L376" i="8"/>
  <c r="M376" i="8"/>
  <c r="N376" i="8"/>
  <c r="O376" i="8"/>
  <c r="P376" i="8"/>
  <c r="Q376" i="8"/>
  <c r="R376" i="8"/>
  <c r="S376" i="8"/>
  <c r="T376" i="8"/>
  <c r="U376" i="8"/>
  <c r="V376" i="8"/>
  <c r="W376" i="8"/>
  <c r="X376" i="8"/>
  <c r="Y376" i="8"/>
  <c r="Z376" i="8"/>
  <c r="AA376" i="8"/>
  <c r="AB376" i="8"/>
  <c r="AC376" i="8"/>
  <c r="AD376" i="8"/>
  <c r="AE376" i="8"/>
  <c r="F404" i="8"/>
  <c r="G404" i="8"/>
  <c r="H404" i="8"/>
  <c r="I404" i="8"/>
  <c r="J404" i="8"/>
  <c r="K404" i="8"/>
  <c r="L404" i="8"/>
  <c r="M404" i="8"/>
  <c r="N404" i="8"/>
  <c r="O404" i="8"/>
  <c r="P404" i="8"/>
  <c r="Q404" i="8"/>
  <c r="R404" i="8"/>
  <c r="S404" i="8"/>
  <c r="T404" i="8"/>
  <c r="U404" i="8"/>
  <c r="V404" i="8"/>
  <c r="W404" i="8"/>
  <c r="X404" i="8"/>
  <c r="Y404" i="8"/>
  <c r="Z404" i="8"/>
  <c r="AA404" i="8"/>
  <c r="AB404" i="8"/>
  <c r="AC404" i="8"/>
  <c r="AD404" i="8"/>
  <c r="AE404" i="8"/>
  <c r="F359" i="8"/>
  <c r="G359" i="8"/>
  <c r="H359" i="8"/>
  <c r="I359" i="8"/>
  <c r="J359" i="8"/>
  <c r="K359" i="8"/>
  <c r="L359" i="8"/>
  <c r="M359" i="8"/>
  <c r="N359" i="8"/>
  <c r="O359" i="8"/>
  <c r="P359" i="8"/>
  <c r="Q359" i="8"/>
  <c r="R359" i="8"/>
  <c r="S359" i="8"/>
  <c r="T359" i="8"/>
  <c r="U359" i="8"/>
  <c r="V359" i="8"/>
  <c r="W359" i="8"/>
  <c r="X359" i="8"/>
  <c r="Y359" i="8"/>
  <c r="Z359" i="8"/>
  <c r="AA359" i="8"/>
  <c r="AB359" i="8"/>
  <c r="AC359" i="8"/>
  <c r="AD359" i="8"/>
  <c r="AE359" i="8"/>
  <c r="F580" i="8"/>
  <c r="G580" i="8"/>
  <c r="H580" i="8"/>
  <c r="I580" i="8"/>
  <c r="J580" i="8"/>
  <c r="K580" i="8"/>
  <c r="L580" i="8"/>
  <c r="M580" i="8"/>
  <c r="N580" i="8"/>
  <c r="O580" i="8"/>
  <c r="P580" i="8"/>
  <c r="Q580" i="8"/>
  <c r="R580" i="8"/>
  <c r="S580" i="8"/>
  <c r="T580" i="8"/>
  <c r="U580" i="8"/>
  <c r="V580" i="8"/>
  <c r="W580" i="8"/>
  <c r="X580" i="8"/>
  <c r="Y580" i="8"/>
  <c r="Z580" i="8"/>
  <c r="AA580" i="8"/>
  <c r="AB580" i="8"/>
  <c r="AC580" i="8"/>
  <c r="AD580" i="8"/>
  <c r="AE580" i="8"/>
  <c r="F479" i="8"/>
  <c r="G479" i="8"/>
  <c r="H479" i="8"/>
  <c r="I479" i="8"/>
  <c r="J479" i="8"/>
  <c r="K479" i="8"/>
  <c r="L479" i="8"/>
  <c r="M479" i="8"/>
  <c r="N479" i="8"/>
  <c r="O479" i="8"/>
  <c r="P479" i="8"/>
  <c r="Q479" i="8"/>
  <c r="R479" i="8"/>
  <c r="S479" i="8"/>
  <c r="T479" i="8"/>
  <c r="U479" i="8"/>
  <c r="V479" i="8"/>
  <c r="W479" i="8"/>
  <c r="X479" i="8"/>
  <c r="Y479" i="8"/>
  <c r="Z479" i="8"/>
  <c r="AA479" i="8"/>
  <c r="AB479" i="8"/>
  <c r="AC479" i="8"/>
  <c r="AD479" i="8"/>
  <c r="AE479" i="8"/>
  <c r="F526" i="8"/>
  <c r="G526" i="8"/>
  <c r="H526" i="8"/>
  <c r="I526" i="8"/>
  <c r="J526" i="8"/>
  <c r="K526" i="8"/>
  <c r="L526" i="8"/>
  <c r="M526" i="8"/>
  <c r="N526" i="8"/>
  <c r="O526" i="8"/>
  <c r="P526" i="8"/>
  <c r="Q526" i="8"/>
  <c r="R526" i="8"/>
  <c r="S526" i="8"/>
  <c r="T526" i="8"/>
  <c r="U526" i="8"/>
  <c r="V526" i="8"/>
  <c r="W526" i="8"/>
  <c r="X526" i="8"/>
  <c r="Y526" i="8"/>
  <c r="Z526" i="8"/>
  <c r="AA526" i="8"/>
  <c r="AB526" i="8"/>
  <c r="AC526" i="8"/>
  <c r="AD526" i="8"/>
  <c r="AE526" i="8"/>
  <c r="F577" i="8"/>
  <c r="G577" i="8"/>
  <c r="H577" i="8"/>
  <c r="I577" i="8"/>
  <c r="J577" i="8"/>
  <c r="K577" i="8"/>
  <c r="L577" i="8"/>
  <c r="M577" i="8"/>
  <c r="N577" i="8"/>
  <c r="O577" i="8"/>
  <c r="P577" i="8"/>
  <c r="Q577" i="8"/>
  <c r="R577" i="8"/>
  <c r="S577" i="8"/>
  <c r="T577" i="8"/>
  <c r="U577" i="8"/>
  <c r="V577" i="8"/>
  <c r="W577" i="8"/>
  <c r="X577" i="8"/>
  <c r="Y577" i="8"/>
  <c r="Z577" i="8"/>
  <c r="AA577" i="8"/>
  <c r="AB577" i="8"/>
  <c r="AC577" i="8"/>
  <c r="AD577" i="8"/>
  <c r="AE577" i="8"/>
  <c r="F547" i="8"/>
  <c r="G547" i="8"/>
  <c r="H547" i="8"/>
  <c r="I547" i="8"/>
  <c r="J547" i="8"/>
  <c r="K547" i="8"/>
  <c r="L547" i="8"/>
  <c r="M547" i="8"/>
  <c r="N547" i="8"/>
  <c r="O547" i="8"/>
  <c r="P547" i="8"/>
  <c r="Q547" i="8"/>
  <c r="R547" i="8"/>
  <c r="S547" i="8"/>
  <c r="T547" i="8"/>
  <c r="U547" i="8"/>
  <c r="V547" i="8"/>
  <c r="W547" i="8"/>
  <c r="X547" i="8"/>
  <c r="Y547" i="8"/>
  <c r="Z547" i="8"/>
  <c r="AA547" i="8"/>
  <c r="AB547" i="8"/>
  <c r="AC547" i="8"/>
  <c r="AD547" i="8"/>
  <c r="AE547" i="8"/>
  <c r="F606" i="8"/>
  <c r="G606" i="8"/>
  <c r="H606" i="8"/>
  <c r="I606" i="8"/>
  <c r="J606" i="8"/>
  <c r="K606" i="8"/>
  <c r="L606" i="8"/>
  <c r="M606" i="8"/>
  <c r="N606" i="8"/>
  <c r="O606" i="8"/>
  <c r="P606" i="8"/>
  <c r="Q606" i="8"/>
  <c r="R606" i="8"/>
  <c r="S606" i="8"/>
  <c r="T606" i="8"/>
  <c r="U606" i="8"/>
  <c r="V606" i="8"/>
  <c r="W606" i="8"/>
  <c r="X606" i="8"/>
  <c r="Y606" i="8"/>
  <c r="Z606" i="8"/>
  <c r="AA606" i="8"/>
  <c r="AB606" i="8"/>
  <c r="AC606" i="8"/>
  <c r="AD606" i="8"/>
  <c r="AE606" i="8"/>
  <c r="F528" i="8"/>
  <c r="G528" i="8"/>
  <c r="H528" i="8"/>
  <c r="I528" i="8"/>
  <c r="J528" i="8"/>
  <c r="K528" i="8"/>
  <c r="L528" i="8"/>
  <c r="M528" i="8"/>
  <c r="N528" i="8"/>
  <c r="O528" i="8"/>
  <c r="P528" i="8"/>
  <c r="Q528" i="8"/>
  <c r="R528" i="8"/>
  <c r="S528" i="8"/>
  <c r="T528" i="8"/>
  <c r="U528" i="8"/>
  <c r="V528" i="8"/>
  <c r="W528" i="8"/>
  <c r="X528" i="8"/>
  <c r="Y528" i="8"/>
  <c r="Z528" i="8"/>
  <c r="AA528" i="8"/>
  <c r="AB528" i="8"/>
  <c r="AC528" i="8"/>
  <c r="AD528" i="8"/>
  <c r="AE528" i="8"/>
  <c r="F365" i="8"/>
  <c r="G365" i="8"/>
  <c r="H365" i="8"/>
  <c r="I365" i="8"/>
  <c r="J365" i="8"/>
  <c r="K365" i="8"/>
  <c r="L365" i="8"/>
  <c r="M365" i="8"/>
  <c r="N365" i="8"/>
  <c r="O365" i="8"/>
  <c r="P365" i="8"/>
  <c r="Q365" i="8"/>
  <c r="R365" i="8"/>
  <c r="S365" i="8"/>
  <c r="T365" i="8"/>
  <c r="U365" i="8"/>
  <c r="V365" i="8"/>
  <c r="W365" i="8"/>
  <c r="X365" i="8"/>
  <c r="Y365" i="8"/>
  <c r="Z365" i="8"/>
  <c r="AA365" i="8"/>
  <c r="AB365" i="8"/>
  <c r="AC365" i="8"/>
  <c r="AD365" i="8"/>
  <c r="AE365" i="8"/>
  <c r="F581" i="8"/>
  <c r="G581" i="8"/>
  <c r="H581" i="8"/>
  <c r="I581" i="8"/>
  <c r="J581" i="8"/>
  <c r="K581" i="8"/>
  <c r="L581" i="8"/>
  <c r="M581" i="8"/>
  <c r="N581" i="8"/>
  <c r="O581" i="8"/>
  <c r="P581" i="8"/>
  <c r="Q581" i="8"/>
  <c r="R581" i="8"/>
  <c r="S581" i="8"/>
  <c r="T581" i="8"/>
  <c r="U581" i="8"/>
  <c r="V581" i="8"/>
  <c r="W581" i="8"/>
  <c r="X581" i="8"/>
  <c r="Y581" i="8"/>
  <c r="Z581" i="8"/>
  <c r="AA581" i="8"/>
  <c r="AB581" i="8"/>
  <c r="AC581" i="8"/>
  <c r="AD581" i="8"/>
  <c r="AE581" i="8"/>
  <c r="F592" i="8"/>
  <c r="G592" i="8"/>
  <c r="H592" i="8"/>
  <c r="I592" i="8"/>
  <c r="J592" i="8"/>
  <c r="K592" i="8"/>
  <c r="L592" i="8"/>
  <c r="M592" i="8"/>
  <c r="N592" i="8"/>
  <c r="O592" i="8"/>
  <c r="P592" i="8"/>
  <c r="Q592" i="8"/>
  <c r="R592" i="8"/>
  <c r="S592" i="8"/>
  <c r="T592" i="8"/>
  <c r="U592" i="8"/>
  <c r="V592" i="8"/>
  <c r="W592" i="8"/>
  <c r="X592" i="8"/>
  <c r="Y592" i="8"/>
  <c r="Z592" i="8"/>
  <c r="AA592" i="8"/>
  <c r="AB592" i="8"/>
  <c r="AC592" i="8"/>
  <c r="AD592" i="8"/>
  <c r="AE592" i="8"/>
  <c r="F565" i="8"/>
  <c r="G565" i="8"/>
  <c r="H565" i="8"/>
  <c r="I565" i="8"/>
  <c r="J565" i="8"/>
  <c r="K565" i="8"/>
  <c r="L565" i="8"/>
  <c r="M565" i="8"/>
  <c r="N565" i="8"/>
  <c r="O565" i="8"/>
  <c r="P565" i="8"/>
  <c r="Q565" i="8"/>
  <c r="R565" i="8"/>
  <c r="S565" i="8"/>
  <c r="T565" i="8"/>
  <c r="U565" i="8"/>
  <c r="V565" i="8"/>
  <c r="W565" i="8"/>
  <c r="X565" i="8"/>
  <c r="Y565" i="8"/>
  <c r="Z565" i="8"/>
  <c r="AA565" i="8"/>
  <c r="AB565" i="8"/>
  <c r="AC565" i="8"/>
  <c r="AD565" i="8"/>
  <c r="AE565" i="8"/>
  <c r="F115" i="8"/>
  <c r="G115" i="8"/>
  <c r="H115" i="8"/>
  <c r="I115" i="8"/>
  <c r="J115" i="8"/>
  <c r="K115" i="8"/>
  <c r="L115" i="8"/>
  <c r="M115" i="8"/>
  <c r="N115" i="8"/>
  <c r="O115" i="8"/>
  <c r="P115" i="8"/>
  <c r="Q115" i="8"/>
  <c r="R115" i="8"/>
  <c r="S115" i="8"/>
  <c r="T115" i="8"/>
  <c r="U115" i="8"/>
  <c r="V115" i="8"/>
  <c r="W115" i="8"/>
  <c r="X115" i="8"/>
  <c r="Y115" i="8"/>
  <c r="Z115" i="8"/>
  <c r="AA115" i="8"/>
  <c r="AB115" i="8"/>
  <c r="AC115" i="8"/>
  <c r="AD115" i="8"/>
  <c r="AE115" i="8"/>
  <c r="F432" i="8"/>
  <c r="G432" i="8"/>
  <c r="H432" i="8"/>
  <c r="I432" i="8"/>
  <c r="J432" i="8"/>
  <c r="K432" i="8"/>
  <c r="L432" i="8"/>
  <c r="M432" i="8"/>
  <c r="N432" i="8"/>
  <c r="O432" i="8"/>
  <c r="P432" i="8"/>
  <c r="Q432" i="8"/>
  <c r="R432" i="8"/>
  <c r="S432" i="8"/>
  <c r="T432" i="8"/>
  <c r="U432" i="8"/>
  <c r="V432" i="8"/>
  <c r="W432" i="8"/>
  <c r="X432" i="8"/>
  <c r="Y432" i="8"/>
  <c r="Z432" i="8"/>
  <c r="AA432" i="8"/>
  <c r="AB432" i="8"/>
  <c r="AC432" i="8"/>
  <c r="AD432" i="8"/>
  <c r="AE432" i="8"/>
  <c r="F473" i="8"/>
  <c r="G473" i="8"/>
  <c r="H473" i="8"/>
  <c r="I473" i="8"/>
  <c r="J473" i="8"/>
  <c r="K473" i="8"/>
  <c r="L473" i="8"/>
  <c r="M473" i="8"/>
  <c r="N473" i="8"/>
  <c r="O473" i="8"/>
  <c r="P473" i="8"/>
  <c r="Q473" i="8"/>
  <c r="R473" i="8"/>
  <c r="S473" i="8"/>
  <c r="T473" i="8"/>
  <c r="U473" i="8"/>
  <c r="V473" i="8"/>
  <c r="W473" i="8"/>
  <c r="X473" i="8"/>
  <c r="Y473" i="8"/>
  <c r="Z473" i="8"/>
  <c r="AA473" i="8"/>
  <c r="AB473" i="8"/>
  <c r="AC473" i="8"/>
  <c r="AD473" i="8"/>
  <c r="AE473" i="8"/>
  <c r="F540" i="8"/>
  <c r="G540" i="8"/>
  <c r="H540" i="8"/>
  <c r="I540" i="8"/>
  <c r="J540" i="8"/>
  <c r="K540" i="8"/>
  <c r="L540" i="8"/>
  <c r="M540" i="8"/>
  <c r="N540" i="8"/>
  <c r="O540" i="8"/>
  <c r="P540" i="8"/>
  <c r="Q540" i="8"/>
  <c r="R540" i="8"/>
  <c r="S540" i="8"/>
  <c r="T540" i="8"/>
  <c r="U540" i="8"/>
  <c r="V540" i="8"/>
  <c r="W540" i="8"/>
  <c r="X540" i="8"/>
  <c r="Y540" i="8"/>
  <c r="Z540" i="8"/>
  <c r="AA540" i="8"/>
  <c r="AB540" i="8"/>
  <c r="AC540" i="8"/>
  <c r="AD540" i="8"/>
  <c r="AE540" i="8"/>
  <c r="F385" i="8"/>
  <c r="G385" i="8"/>
  <c r="H385" i="8"/>
  <c r="I385" i="8"/>
  <c r="J385" i="8"/>
  <c r="K385" i="8"/>
  <c r="L385" i="8"/>
  <c r="M385" i="8"/>
  <c r="N385" i="8"/>
  <c r="O385" i="8"/>
  <c r="P385" i="8"/>
  <c r="Q385" i="8"/>
  <c r="R385" i="8"/>
  <c r="S385" i="8"/>
  <c r="T385" i="8"/>
  <c r="U385" i="8"/>
  <c r="V385" i="8"/>
  <c r="W385" i="8"/>
  <c r="X385" i="8"/>
  <c r="Y385" i="8"/>
  <c r="Z385" i="8"/>
  <c r="AA385" i="8"/>
  <c r="AB385" i="8"/>
  <c r="AC385" i="8"/>
  <c r="AD385" i="8"/>
  <c r="AE385" i="8"/>
  <c r="F220" i="8"/>
  <c r="G220" i="8"/>
  <c r="H220" i="8"/>
  <c r="I220" i="8"/>
  <c r="J220" i="8"/>
  <c r="K220" i="8"/>
  <c r="L220" i="8"/>
  <c r="M220" i="8"/>
  <c r="N220" i="8"/>
  <c r="O220" i="8"/>
  <c r="P220" i="8"/>
  <c r="Q220" i="8"/>
  <c r="R220" i="8"/>
  <c r="S220" i="8"/>
  <c r="T220" i="8"/>
  <c r="U220" i="8"/>
  <c r="V220" i="8"/>
  <c r="W220" i="8"/>
  <c r="X220" i="8"/>
  <c r="Y220" i="8"/>
  <c r="Z220" i="8"/>
  <c r="AA220" i="8"/>
  <c r="AB220" i="8"/>
  <c r="AC220" i="8"/>
  <c r="AD220" i="8"/>
  <c r="AE220" i="8"/>
  <c r="F270" i="8"/>
  <c r="G270" i="8"/>
  <c r="H270" i="8"/>
  <c r="I270" i="8"/>
  <c r="J270" i="8"/>
  <c r="K270" i="8"/>
  <c r="L270" i="8"/>
  <c r="M270" i="8"/>
  <c r="N270" i="8"/>
  <c r="O270" i="8"/>
  <c r="P270" i="8"/>
  <c r="Q270" i="8"/>
  <c r="R270" i="8"/>
  <c r="S270" i="8"/>
  <c r="T270" i="8"/>
  <c r="U270" i="8"/>
  <c r="V270" i="8"/>
  <c r="W270" i="8"/>
  <c r="X270" i="8"/>
  <c r="Y270" i="8"/>
  <c r="Z270" i="8"/>
  <c r="AA270" i="8"/>
  <c r="AB270" i="8"/>
  <c r="AC270" i="8"/>
  <c r="AD270" i="8"/>
  <c r="AE270" i="8"/>
  <c r="F244" i="8"/>
  <c r="G244" i="8"/>
  <c r="H244" i="8"/>
  <c r="I244" i="8"/>
  <c r="J244" i="8"/>
  <c r="K244" i="8"/>
  <c r="L244" i="8"/>
  <c r="M244" i="8"/>
  <c r="N244" i="8"/>
  <c r="O244" i="8"/>
  <c r="P244" i="8"/>
  <c r="Q244" i="8"/>
  <c r="R244" i="8"/>
  <c r="S244" i="8"/>
  <c r="T244" i="8"/>
  <c r="U244" i="8"/>
  <c r="V244" i="8"/>
  <c r="W244" i="8"/>
  <c r="X244" i="8"/>
  <c r="Y244" i="8"/>
  <c r="Z244" i="8"/>
  <c r="AA244" i="8"/>
  <c r="AB244" i="8"/>
  <c r="AC244" i="8"/>
  <c r="AD244" i="8"/>
  <c r="AE244" i="8"/>
  <c r="F350" i="8"/>
  <c r="G350" i="8"/>
  <c r="H350" i="8"/>
  <c r="I350" i="8"/>
  <c r="J350" i="8"/>
  <c r="K350" i="8"/>
  <c r="L350" i="8"/>
  <c r="M350" i="8"/>
  <c r="N350" i="8"/>
  <c r="O350" i="8"/>
  <c r="P350" i="8"/>
  <c r="Q350" i="8"/>
  <c r="R350" i="8"/>
  <c r="S350" i="8"/>
  <c r="T350" i="8"/>
  <c r="U350" i="8"/>
  <c r="V350" i="8"/>
  <c r="W350" i="8"/>
  <c r="X350" i="8"/>
  <c r="Y350" i="8"/>
  <c r="Z350" i="8"/>
  <c r="AA350" i="8"/>
  <c r="AB350" i="8"/>
  <c r="AC350" i="8"/>
  <c r="AD350" i="8"/>
  <c r="AE350" i="8"/>
  <c r="F281" i="8"/>
  <c r="G281" i="8"/>
  <c r="H281" i="8"/>
  <c r="I281" i="8"/>
  <c r="J281" i="8"/>
  <c r="K281" i="8"/>
  <c r="L281" i="8"/>
  <c r="M281" i="8"/>
  <c r="N281" i="8"/>
  <c r="O281" i="8"/>
  <c r="P281" i="8"/>
  <c r="Q281" i="8"/>
  <c r="R281" i="8"/>
  <c r="S281" i="8"/>
  <c r="T281" i="8"/>
  <c r="U281" i="8"/>
  <c r="V281" i="8"/>
  <c r="W281" i="8"/>
  <c r="X281" i="8"/>
  <c r="Y281" i="8"/>
  <c r="Z281" i="8"/>
  <c r="AA281" i="8"/>
  <c r="AB281" i="8"/>
  <c r="AC281" i="8"/>
  <c r="AD281" i="8"/>
  <c r="AE281" i="8"/>
  <c r="F377" i="8"/>
  <c r="G377" i="8"/>
  <c r="H377" i="8"/>
  <c r="I377" i="8"/>
  <c r="J377" i="8"/>
  <c r="K377" i="8"/>
  <c r="L377" i="8"/>
  <c r="M377" i="8"/>
  <c r="N377" i="8"/>
  <c r="O377" i="8"/>
  <c r="P377" i="8"/>
  <c r="Q377" i="8"/>
  <c r="R377" i="8"/>
  <c r="S377" i="8"/>
  <c r="T377" i="8"/>
  <c r="U377" i="8"/>
  <c r="V377" i="8"/>
  <c r="W377" i="8"/>
  <c r="X377" i="8"/>
  <c r="Y377" i="8"/>
  <c r="Z377" i="8"/>
  <c r="AA377" i="8"/>
  <c r="AB377" i="8"/>
  <c r="AC377" i="8"/>
  <c r="AD377" i="8"/>
  <c r="AE377" i="8"/>
  <c r="F218" i="8"/>
  <c r="G218" i="8"/>
  <c r="H218" i="8"/>
  <c r="I218" i="8"/>
  <c r="J218" i="8"/>
  <c r="K218" i="8"/>
  <c r="L218" i="8"/>
  <c r="M218" i="8"/>
  <c r="N218" i="8"/>
  <c r="O218" i="8"/>
  <c r="P218" i="8"/>
  <c r="Q218" i="8"/>
  <c r="R218" i="8"/>
  <c r="S218" i="8"/>
  <c r="T218" i="8"/>
  <c r="U218" i="8"/>
  <c r="V218" i="8"/>
  <c r="W218" i="8"/>
  <c r="X218" i="8"/>
  <c r="Y218" i="8"/>
  <c r="Z218" i="8"/>
  <c r="AA218" i="8"/>
  <c r="AB218" i="8"/>
  <c r="AC218" i="8"/>
  <c r="AD218" i="8"/>
  <c r="AE218" i="8"/>
  <c r="F400" i="8"/>
  <c r="G400" i="8"/>
  <c r="H400" i="8"/>
  <c r="I400" i="8"/>
  <c r="J400" i="8"/>
  <c r="K400" i="8"/>
  <c r="L400" i="8"/>
  <c r="M400" i="8"/>
  <c r="N400" i="8"/>
  <c r="O400" i="8"/>
  <c r="P400" i="8"/>
  <c r="Q400" i="8"/>
  <c r="R400" i="8"/>
  <c r="S400" i="8"/>
  <c r="T400" i="8"/>
  <c r="U400" i="8"/>
  <c r="V400" i="8"/>
  <c r="W400" i="8"/>
  <c r="X400" i="8"/>
  <c r="Y400" i="8"/>
  <c r="Z400" i="8"/>
  <c r="AA400" i="8"/>
  <c r="AB400" i="8"/>
  <c r="AC400" i="8"/>
  <c r="AD400" i="8"/>
  <c r="AE400" i="8"/>
  <c r="F266" i="8"/>
  <c r="G266" i="8"/>
  <c r="H266" i="8"/>
  <c r="I266" i="8"/>
  <c r="J266" i="8"/>
  <c r="K266" i="8"/>
  <c r="L266" i="8"/>
  <c r="M266" i="8"/>
  <c r="N266" i="8"/>
  <c r="O266" i="8"/>
  <c r="P266" i="8"/>
  <c r="Q266" i="8"/>
  <c r="R266" i="8"/>
  <c r="S266" i="8"/>
  <c r="T266" i="8"/>
  <c r="U266" i="8"/>
  <c r="V266" i="8"/>
  <c r="W266" i="8"/>
  <c r="X266" i="8"/>
  <c r="Y266" i="8"/>
  <c r="Z266" i="8"/>
  <c r="AA266" i="8"/>
  <c r="AB266" i="8"/>
  <c r="AC266" i="8"/>
  <c r="AD266" i="8"/>
  <c r="AE266" i="8"/>
  <c r="F445" i="8"/>
  <c r="G445" i="8"/>
  <c r="H445" i="8"/>
  <c r="I445" i="8"/>
  <c r="J445" i="8"/>
  <c r="K445" i="8"/>
  <c r="L445" i="8"/>
  <c r="M445" i="8"/>
  <c r="N445" i="8"/>
  <c r="O445" i="8"/>
  <c r="P445" i="8"/>
  <c r="Q445" i="8"/>
  <c r="R445" i="8"/>
  <c r="S445" i="8"/>
  <c r="T445" i="8"/>
  <c r="U445" i="8"/>
  <c r="V445" i="8"/>
  <c r="W445" i="8"/>
  <c r="X445" i="8"/>
  <c r="Y445" i="8"/>
  <c r="Z445" i="8"/>
  <c r="AA445" i="8"/>
  <c r="AB445" i="8"/>
  <c r="AC445" i="8"/>
  <c r="AD445" i="8"/>
  <c r="AE445" i="8"/>
  <c r="F72" i="8"/>
  <c r="G72" i="8"/>
  <c r="H72" i="8"/>
  <c r="I72" i="8"/>
  <c r="J72" i="8"/>
  <c r="K72" i="8"/>
  <c r="L72" i="8"/>
  <c r="M72" i="8"/>
  <c r="N72" i="8"/>
  <c r="O72" i="8"/>
  <c r="P72" i="8"/>
  <c r="Q72" i="8"/>
  <c r="R72" i="8"/>
  <c r="S72" i="8"/>
  <c r="T72" i="8"/>
  <c r="U72" i="8"/>
  <c r="V72" i="8"/>
  <c r="W72" i="8"/>
  <c r="X72" i="8"/>
  <c r="Y72" i="8"/>
  <c r="Z72" i="8"/>
  <c r="AA72" i="8"/>
  <c r="AB72" i="8"/>
  <c r="AC72" i="8"/>
  <c r="AD72" i="8"/>
  <c r="AE72" i="8"/>
  <c r="F306" i="8"/>
  <c r="G306" i="8"/>
  <c r="H306" i="8"/>
  <c r="I306" i="8"/>
  <c r="J306" i="8"/>
  <c r="K306" i="8"/>
  <c r="L306" i="8"/>
  <c r="M306" i="8"/>
  <c r="N306" i="8"/>
  <c r="O306" i="8"/>
  <c r="P306" i="8"/>
  <c r="Q306" i="8"/>
  <c r="R306" i="8"/>
  <c r="S306" i="8"/>
  <c r="T306" i="8"/>
  <c r="U306" i="8"/>
  <c r="V306" i="8"/>
  <c r="W306" i="8"/>
  <c r="X306" i="8"/>
  <c r="Y306" i="8"/>
  <c r="Z306" i="8"/>
  <c r="AA306" i="8"/>
  <c r="AB306" i="8"/>
  <c r="AC306" i="8"/>
  <c r="AD306" i="8"/>
  <c r="AE306" i="8"/>
  <c r="F387" i="8"/>
  <c r="G387" i="8"/>
  <c r="H387" i="8"/>
  <c r="I387" i="8"/>
  <c r="J387" i="8"/>
  <c r="K387" i="8"/>
  <c r="L387" i="8"/>
  <c r="M387" i="8"/>
  <c r="N387" i="8"/>
  <c r="O387" i="8"/>
  <c r="P387" i="8"/>
  <c r="Q387" i="8"/>
  <c r="R387" i="8"/>
  <c r="S387" i="8"/>
  <c r="T387" i="8"/>
  <c r="U387" i="8"/>
  <c r="V387" i="8"/>
  <c r="W387" i="8"/>
  <c r="X387" i="8"/>
  <c r="Y387" i="8"/>
  <c r="Z387" i="8"/>
  <c r="AA387" i="8"/>
  <c r="AB387" i="8"/>
  <c r="AC387" i="8"/>
  <c r="AD387" i="8"/>
  <c r="AE387" i="8"/>
  <c r="F399" i="8"/>
  <c r="G399" i="8"/>
  <c r="H399" i="8"/>
  <c r="I399" i="8"/>
  <c r="J399" i="8"/>
  <c r="K399" i="8"/>
  <c r="L399" i="8"/>
  <c r="M399" i="8"/>
  <c r="N399" i="8"/>
  <c r="O399" i="8"/>
  <c r="P399" i="8"/>
  <c r="Q399" i="8"/>
  <c r="R399" i="8"/>
  <c r="S399" i="8"/>
  <c r="T399" i="8"/>
  <c r="U399" i="8"/>
  <c r="V399" i="8"/>
  <c r="W399" i="8"/>
  <c r="X399" i="8"/>
  <c r="Y399" i="8"/>
  <c r="Z399" i="8"/>
  <c r="AA399" i="8"/>
  <c r="AB399" i="8"/>
  <c r="AC399" i="8"/>
  <c r="AD399" i="8"/>
  <c r="AE399" i="8"/>
  <c r="F245" i="8"/>
  <c r="G245" i="8"/>
  <c r="H245" i="8"/>
  <c r="I245" i="8"/>
  <c r="J245" i="8"/>
  <c r="K245" i="8"/>
  <c r="L245" i="8"/>
  <c r="M245" i="8"/>
  <c r="N245" i="8"/>
  <c r="O245" i="8"/>
  <c r="P245" i="8"/>
  <c r="Q245" i="8"/>
  <c r="R245" i="8"/>
  <c r="S245" i="8"/>
  <c r="T245" i="8"/>
  <c r="U245" i="8"/>
  <c r="V245" i="8"/>
  <c r="W245" i="8"/>
  <c r="X245" i="8"/>
  <c r="Y245" i="8"/>
  <c r="Z245" i="8"/>
  <c r="AA245" i="8"/>
  <c r="AB245" i="8"/>
  <c r="AC245" i="8"/>
  <c r="AD245" i="8"/>
  <c r="AE245" i="8"/>
  <c r="F256" i="8"/>
  <c r="G256" i="8"/>
  <c r="H256" i="8"/>
  <c r="I256" i="8"/>
  <c r="J256" i="8"/>
  <c r="K256" i="8"/>
  <c r="L256" i="8"/>
  <c r="M256" i="8"/>
  <c r="N256" i="8"/>
  <c r="O256" i="8"/>
  <c r="P256" i="8"/>
  <c r="Q256" i="8"/>
  <c r="R256" i="8"/>
  <c r="S256" i="8"/>
  <c r="T256" i="8"/>
  <c r="U256" i="8"/>
  <c r="V256" i="8"/>
  <c r="W256" i="8"/>
  <c r="X256" i="8"/>
  <c r="Y256" i="8"/>
  <c r="Z256" i="8"/>
  <c r="AA256" i="8"/>
  <c r="AB256" i="8"/>
  <c r="AC256" i="8"/>
  <c r="AD256" i="8"/>
  <c r="AE256" i="8"/>
  <c r="F200" i="8"/>
  <c r="G200" i="8"/>
  <c r="H200" i="8"/>
  <c r="I200" i="8"/>
  <c r="J200" i="8"/>
  <c r="K200" i="8"/>
  <c r="L200" i="8"/>
  <c r="M200" i="8"/>
  <c r="N200" i="8"/>
  <c r="O200" i="8"/>
  <c r="P200" i="8"/>
  <c r="Q200" i="8"/>
  <c r="R200" i="8"/>
  <c r="S200" i="8"/>
  <c r="T200" i="8"/>
  <c r="U200" i="8"/>
  <c r="V200" i="8"/>
  <c r="W200" i="8"/>
  <c r="X200" i="8"/>
  <c r="Y200" i="8"/>
  <c r="Z200" i="8"/>
  <c r="AA200" i="8"/>
  <c r="AB200" i="8"/>
  <c r="AC200" i="8"/>
  <c r="AD200" i="8"/>
  <c r="AE200" i="8"/>
  <c r="F431" i="8"/>
  <c r="G431" i="8"/>
  <c r="H431" i="8"/>
  <c r="I431" i="8"/>
  <c r="J431" i="8"/>
  <c r="K431" i="8"/>
  <c r="L431" i="8"/>
  <c r="M431" i="8"/>
  <c r="N431" i="8"/>
  <c r="O431" i="8"/>
  <c r="P431" i="8"/>
  <c r="Q431" i="8"/>
  <c r="R431" i="8"/>
  <c r="S431" i="8"/>
  <c r="T431" i="8"/>
  <c r="U431" i="8"/>
  <c r="V431" i="8"/>
  <c r="W431" i="8"/>
  <c r="X431" i="8"/>
  <c r="Y431" i="8"/>
  <c r="Z431" i="8"/>
  <c r="AA431" i="8"/>
  <c r="AB431" i="8"/>
  <c r="AC431" i="8"/>
  <c r="AD431" i="8"/>
  <c r="AE431" i="8"/>
  <c r="F331" i="8"/>
  <c r="G331" i="8"/>
  <c r="H331" i="8"/>
  <c r="I331" i="8"/>
  <c r="J331" i="8"/>
  <c r="K331" i="8"/>
  <c r="L331" i="8"/>
  <c r="M331" i="8"/>
  <c r="N331" i="8"/>
  <c r="O331" i="8"/>
  <c r="P331" i="8"/>
  <c r="Q331" i="8"/>
  <c r="R331" i="8"/>
  <c r="S331" i="8"/>
  <c r="T331" i="8"/>
  <c r="U331" i="8"/>
  <c r="V331" i="8"/>
  <c r="W331" i="8"/>
  <c r="X331" i="8"/>
  <c r="Y331" i="8"/>
  <c r="Z331" i="8"/>
  <c r="AA331" i="8"/>
  <c r="AB331" i="8"/>
  <c r="AC331" i="8"/>
  <c r="AD331" i="8"/>
  <c r="AE331" i="8"/>
  <c r="F268" i="8"/>
  <c r="G268" i="8"/>
  <c r="H268" i="8"/>
  <c r="I268" i="8"/>
  <c r="J268" i="8"/>
  <c r="K268" i="8"/>
  <c r="L268" i="8"/>
  <c r="M268" i="8"/>
  <c r="N268" i="8"/>
  <c r="O268" i="8"/>
  <c r="P268" i="8"/>
  <c r="Q268" i="8"/>
  <c r="R268" i="8"/>
  <c r="S268" i="8"/>
  <c r="T268" i="8"/>
  <c r="U268" i="8"/>
  <c r="V268" i="8"/>
  <c r="W268" i="8"/>
  <c r="X268" i="8"/>
  <c r="Y268" i="8"/>
  <c r="Z268" i="8"/>
  <c r="AA268" i="8"/>
  <c r="AB268" i="8"/>
  <c r="AC268" i="8"/>
  <c r="AD268" i="8"/>
  <c r="AE268" i="8"/>
  <c r="F546" i="8"/>
  <c r="G546" i="8"/>
  <c r="H546" i="8"/>
  <c r="I546" i="8"/>
  <c r="J546" i="8"/>
  <c r="K546" i="8"/>
  <c r="L546" i="8"/>
  <c r="M546" i="8"/>
  <c r="N546" i="8"/>
  <c r="O546" i="8"/>
  <c r="P546" i="8"/>
  <c r="Q546" i="8"/>
  <c r="R546" i="8"/>
  <c r="S546" i="8"/>
  <c r="T546" i="8"/>
  <c r="U546" i="8"/>
  <c r="V546" i="8"/>
  <c r="W546" i="8"/>
  <c r="X546" i="8"/>
  <c r="Y546" i="8"/>
  <c r="Z546" i="8"/>
  <c r="AA546" i="8"/>
  <c r="AB546" i="8"/>
  <c r="AC546" i="8"/>
  <c r="AD546" i="8"/>
  <c r="AE546" i="8"/>
  <c r="F129" i="8"/>
  <c r="G129" i="8"/>
  <c r="H129" i="8"/>
  <c r="I129" i="8"/>
  <c r="J129" i="8"/>
  <c r="K129" i="8"/>
  <c r="L129" i="8"/>
  <c r="M129" i="8"/>
  <c r="N129" i="8"/>
  <c r="O129" i="8"/>
  <c r="P129" i="8"/>
  <c r="Q129" i="8"/>
  <c r="R129" i="8"/>
  <c r="S129" i="8"/>
  <c r="T129" i="8"/>
  <c r="U129" i="8"/>
  <c r="V129" i="8"/>
  <c r="W129" i="8"/>
  <c r="X129" i="8"/>
  <c r="Y129" i="8"/>
  <c r="Z129" i="8"/>
  <c r="AA129" i="8"/>
  <c r="AB129" i="8"/>
  <c r="AC129" i="8"/>
  <c r="AD129" i="8"/>
  <c r="AE129" i="8"/>
  <c r="F430" i="8"/>
  <c r="G430" i="8"/>
  <c r="H430" i="8"/>
  <c r="I430" i="8"/>
  <c r="J430" i="8"/>
  <c r="K430" i="8"/>
  <c r="L430" i="8"/>
  <c r="M430" i="8"/>
  <c r="N430" i="8"/>
  <c r="O430" i="8"/>
  <c r="P430" i="8"/>
  <c r="Q430" i="8"/>
  <c r="R430" i="8"/>
  <c r="S430" i="8"/>
  <c r="T430" i="8"/>
  <c r="U430" i="8"/>
  <c r="V430" i="8"/>
  <c r="W430" i="8"/>
  <c r="X430" i="8"/>
  <c r="Y430" i="8"/>
  <c r="Z430" i="8"/>
  <c r="AA430" i="8"/>
  <c r="AB430" i="8"/>
  <c r="AC430" i="8"/>
  <c r="AD430" i="8"/>
  <c r="AE430" i="8"/>
  <c r="F566" i="8"/>
  <c r="G566" i="8"/>
  <c r="H566" i="8"/>
  <c r="I566" i="8"/>
  <c r="J566" i="8"/>
  <c r="K566" i="8"/>
  <c r="L566" i="8"/>
  <c r="M566" i="8"/>
  <c r="N566" i="8"/>
  <c r="O566" i="8"/>
  <c r="P566" i="8"/>
  <c r="Q566" i="8"/>
  <c r="R566" i="8"/>
  <c r="S566" i="8"/>
  <c r="T566" i="8"/>
  <c r="U566" i="8"/>
  <c r="V566" i="8"/>
  <c r="W566" i="8"/>
  <c r="X566" i="8"/>
  <c r="Y566" i="8"/>
  <c r="Z566" i="8"/>
  <c r="AA566" i="8"/>
  <c r="AB566" i="8"/>
  <c r="AC566" i="8"/>
  <c r="AD566" i="8"/>
  <c r="AE566" i="8"/>
  <c r="F457" i="8"/>
  <c r="G457" i="8"/>
  <c r="H457" i="8"/>
  <c r="I457" i="8"/>
  <c r="J457" i="8"/>
  <c r="K457" i="8"/>
  <c r="L457" i="8"/>
  <c r="M457" i="8"/>
  <c r="N457" i="8"/>
  <c r="O457" i="8"/>
  <c r="P457" i="8"/>
  <c r="Q457" i="8"/>
  <c r="R457" i="8"/>
  <c r="S457" i="8"/>
  <c r="T457" i="8"/>
  <c r="U457" i="8"/>
  <c r="V457" i="8"/>
  <c r="W457" i="8"/>
  <c r="X457" i="8"/>
  <c r="Y457" i="8"/>
  <c r="Z457" i="8"/>
  <c r="AA457" i="8"/>
  <c r="AB457" i="8"/>
  <c r="AC457" i="8"/>
  <c r="AD457" i="8"/>
  <c r="AE457" i="8"/>
  <c r="F451" i="8"/>
  <c r="G451" i="8"/>
  <c r="H451" i="8"/>
  <c r="I451" i="8"/>
  <c r="J451" i="8"/>
  <c r="K451" i="8"/>
  <c r="L451" i="8"/>
  <c r="M451" i="8"/>
  <c r="N451" i="8"/>
  <c r="O451" i="8"/>
  <c r="P451" i="8"/>
  <c r="Q451" i="8"/>
  <c r="R451" i="8"/>
  <c r="S451" i="8"/>
  <c r="T451" i="8"/>
  <c r="U451" i="8"/>
  <c r="V451" i="8"/>
  <c r="W451" i="8"/>
  <c r="X451" i="8"/>
  <c r="Y451" i="8"/>
  <c r="Z451" i="8"/>
  <c r="AA451" i="8"/>
  <c r="AB451" i="8"/>
  <c r="AC451" i="8"/>
  <c r="AD451" i="8"/>
  <c r="AE451" i="8"/>
  <c r="F561" i="8"/>
  <c r="G561" i="8"/>
  <c r="H561" i="8"/>
  <c r="I561" i="8"/>
  <c r="J561" i="8"/>
  <c r="K561" i="8"/>
  <c r="L561" i="8"/>
  <c r="M561" i="8"/>
  <c r="N561" i="8"/>
  <c r="O561" i="8"/>
  <c r="P561" i="8"/>
  <c r="Q561" i="8"/>
  <c r="R561" i="8"/>
  <c r="S561" i="8"/>
  <c r="T561" i="8"/>
  <c r="U561" i="8"/>
  <c r="V561" i="8"/>
  <c r="W561" i="8"/>
  <c r="X561" i="8"/>
  <c r="Y561" i="8"/>
  <c r="Z561" i="8"/>
  <c r="AA561" i="8"/>
  <c r="AB561" i="8"/>
  <c r="AC561" i="8"/>
  <c r="AD561" i="8"/>
  <c r="AE561" i="8"/>
  <c r="F544" i="8"/>
  <c r="G544" i="8"/>
  <c r="H544" i="8"/>
  <c r="I544" i="8"/>
  <c r="J544" i="8"/>
  <c r="K544" i="8"/>
  <c r="L544" i="8"/>
  <c r="M544" i="8"/>
  <c r="N544" i="8"/>
  <c r="O544" i="8"/>
  <c r="P544" i="8"/>
  <c r="Q544" i="8"/>
  <c r="R544" i="8"/>
  <c r="S544" i="8"/>
  <c r="T544" i="8"/>
  <c r="U544" i="8"/>
  <c r="V544" i="8"/>
  <c r="W544" i="8"/>
  <c r="X544" i="8"/>
  <c r="Y544" i="8"/>
  <c r="Z544" i="8"/>
  <c r="AA544" i="8"/>
  <c r="AB544" i="8"/>
  <c r="AC544" i="8"/>
  <c r="AD544" i="8"/>
  <c r="AE544" i="8"/>
  <c r="F396" i="8"/>
  <c r="G396" i="8"/>
  <c r="H396" i="8"/>
  <c r="I396" i="8"/>
  <c r="J396" i="8"/>
  <c r="K396" i="8"/>
  <c r="L396" i="8"/>
  <c r="M396" i="8"/>
  <c r="N396" i="8"/>
  <c r="O396" i="8"/>
  <c r="P396" i="8"/>
  <c r="Q396" i="8"/>
  <c r="R396" i="8"/>
  <c r="S396" i="8"/>
  <c r="T396" i="8"/>
  <c r="U396" i="8"/>
  <c r="V396" i="8"/>
  <c r="W396" i="8"/>
  <c r="X396" i="8"/>
  <c r="Y396" i="8"/>
  <c r="Z396" i="8"/>
  <c r="AA396" i="8"/>
  <c r="AB396" i="8"/>
  <c r="AC396" i="8"/>
  <c r="AD396" i="8"/>
  <c r="AE396" i="8"/>
  <c r="F237" i="8"/>
  <c r="G237" i="8"/>
  <c r="H237" i="8"/>
  <c r="I237" i="8"/>
  <c r="J237" i="8"/>
  <c r="K237" i="8"/>
  <c r="L237" i="8"/>
  <c r="M237" i="8"/>
  <c r="N237" i="8"/>
  <c r="O237" i="8"/>
  <c r="P237" i="8"/>
  <c r="Q237" i="8"/>
  <c r="R237" i="8"/>
  <c r="S237" i="8"/>
  <c r="T237" i="8"/>
  <c r="U237" i="8"/>
  <c r="V237" i="8"/>
  <c r="W237" i="8"/>
  <c r="X237" i="8"/>
  <c r="Y237" i="8"/>
  <c r="Z237" i="8"/>
  <c r="AA237" i="8"/>
  <c r="AB237" i="8"/>
  <c r="AC237" i="8"/>
  <c r="AD237" i="8"/>
  <c r="AE237" i="8"/>
  <c r="F128" i="8"/>
  <c r="G128" i="8"/>
  <c r="H128" i="8"/>
  <c r="I128" i="8"/>
  <c r="J128" i="8"/>
  <c r="K128" i="8"/>
  <c r="L128" i="8"/>
  <c r="M128" i="8"/>
  <c r="N128" i="8"/>
  <c r="O128" i="8"/>
  <c r="P128" i="8"/>
  <c r="Q128" i="8"/>
  <c r="R128" i="8"/>
  <c r="S128" i="8"/>
  <c r="T128" i="8"/>
  <c r="U128" i="8"/>
  <c r="V128" i="8"/>
  <c r="W128" i="8"/>
  <c r="X128" i="8"/>
  <c r="Y128" i="8"/>
  <c r="Z128" i="8"/>
  <c r="AA128" i="8"/>
  <c r="AB128" i="8"/>
  <c r="AC128" i="8"/>
  <c r="AD128" i="8"/>
  <c r="AE128" i="8"/>
  <c r="F242" i="8"/>
  <c r="G242" i="8"/>
  <c r="H242" i="8"/>
  <c r="I242" i="8"/>
  <c r="J242" i="8"/>
  <c r="K242" i="8"/>
  <c r="L242" i="8"/>
  <c r="M242" i="8"/>
  <c r="N242" i="8"/>
  <c r="O242" i="8"/>
  <c r="P242" i="8"/>
  <c r="Q242" i="8"/>
  <c r="R242" i="8"/>
  <c r="S242" i="8"/>
  <c r="T242" i="8"/>
  <c r="U242" i="8"/>
  <c r="V242" i="8"/>
  <c r="W242" i="8"/>
  <c r="X242" i="8"/>
  <c r="Y242" i="8"/>
  <c r="Z242" i="8"/>
  <c r="AA242" i="8"/>
  <c r="AB242" i="8"/>
  <c r="AC242" i="8"/>
  <c r="AD242" i="8"/>
  <c r="AE242" i="8"/>
  <c r="F389" i="8"/>
  <c r="G389" i="8"/>
  <c r="H389" i="8"/>
  <c r="I389" i="8"/>
  <c r="J389" i="8"/>
  <c r="K389" i="8"/>
  <c r="L389" i="8"/>
  <c r="M389" i="8"/>
  <c r="N389" i="8"/>
  <c r="O389" i="8"/>
  <c r="P389" i="8"/>
  <c r="Q389" i="8"/>
  <c r="R389" i="8"/>
  <c r="S389" i="8"/>
  <c r="T389" i="8"/>
  <c r="U389" i="8"/>
  <c r="V389" i="8"/>
  <c r="W389" i="8"/>
  <c r="X389" i="8"/>
  <c r="Y389" i="8"/>
  <c r="Z389" i="8"/>
  <c r="AA389" i="8"/>
  <c r="AB389" i="8"/>
  <c r="AC389" i="8"/>
  <c r="AD389" i="8"/>
  <c r="AE389" i="8"/>
  <c r="F239" i="8"/>
  <c r="G239" i="8"/>
  <c r="H239" i="8"/>
  <c r="I239" i="8"/>
  <c r="J239" i="8"/>
  <c r="K239" i="8"/>
  <c r="L239" i="8"/>
  <c r="M239" i="8"/>
  <c r="N239" i="8"/>
  <c r="O239" i="8"/>
  <c r="P239" i="8"/>
  <c r="Q239" i="8"/>
  <c r="R239" i="8"/>
  <c r="S239" i="8"/>
  <c r="T239" i="8"/>
  <c r="U239" i="8"/>
  <c r="V239" i="8"/>
  <c r="W239" i="8"/>
  <c r="X239" i="8"/>
  <c r="Y239" i="8"/>
  <c r="Z239" i="8"/>
  <c r="AA239" i="8"/>
  <c r="AB239" i="8"/>
  <c r="AC239" i="8"/>
  <c r="AD239" i="8"/>
  <c r="AE239" i="8"/>
  <c r="F313" i="8"/>
  <c r="G313" i="8"/>
  <c r="H313" i="8"/>
  <c r="I313" i="8"/>
  <c r="J313" i="8"/>
  <c r="K313" i="8"/>
  <c r="L313" i="8"/>
  <c r="M313" i="8"/>
  <c r="N313" i="8"/>
  <c r="O313" i="8"/>
  <c r="P313" i="8"/>
  <c r="Q313" i="8"/>
  <c r="R313" i="8"/>
  <c r="S313" i="8"/>
  <c r="T313" i="8"/>
  <c r="U313" i="8"/>
  <c r="V313" i="8"/>
  <c r="W313" i="8"/>
  <c r="X313" i="8"/>
  <c r="Y313" i="8"/>
  <c r="Z313" i="8"/>
  <c r="AA313" i="8"/>
  <c r="AB313" i="8"/>
  <c r="AC313" i="8"/>
  <c r="AD313" i="8"/>
  <c r="AE313" i="8"/>
  <c r="F199" i="8"/>
  <c r="G199" i="8"/>
  <c r="H199" i="8"/>
  <c r="I199" i="8"/>
  <c r="J199" i="8"/>
  <c r="K199" i="8"/>
  <c r="L199" i="8"/>
  <c r="M199" i="8"/>
  <c r="N199" i="8"/>
  <c r="O199" i="8"/>
  <c r="P199" i="8"/>
  <c r="Q199" i="8"/>
  <c r="R199" i="8"/>
  <c r="S199" i="8"/>
  <c r="T199" i="8"/>
  <c r="U199" i="8"/>
  <c r="V199" i="8"/>
  <c r="W199" i="8"/>
  <c r="X199" i="8"/>
  <c r="Y199" i="8"/>
  <c r="Z199" i="8"/>
  <c r="AA199" i="8"/>
  <c r="AB199" i="8"/>
  <c r="AC199" i="8"/>
  <c r="AD199" i="8"/>
  <c r="AE199" i="8"/>
  <c r="F160" i="8"/>
  <c r="G160" i="8"/>
  <c r="H160" i="8"/>
  <c r="I160" i="8"/>
  <c r="J160" i="8"/>
  <c r="K160" i="8"/>
  <c r="L160" i="8"/>
  <c r="M160" i="8"/>
  <c r="N160" i="8"/>
  <c r="O160" i="8"/>
  <c r="P160" i="8"/>
  <c r="Q160" i="8"/>
  <c r="R160" i="8"/>
  <c r="S160" i="8"/>
  <c r="T160" i="8"/>
  <c r="U160" i="8"/>
  <c r="V160" i="8"/>
  <c r="W160" i="8"/>
  <c r="X160" i="8"/>
  <c r="Y160" i="8"/>
  <c r="Z160" i="8"/>
  <c r="AA160" i="8"/>
  <c r="AB160" i="8"/>
  <c r="AC160" i="8"/>
  <c r="AD160" i="8"/>
  <c r="AE160" i="8"/>
  <c r="F233" i="8"/>
  <c r="G233" i="8"/>
  <c r="H233" i="8"/>
  <c r="I233" i="8"/>
  <c r="J233" i="8"/>
  <c r="K233" i="8"/>
  <c r="L233" i="8"/>
  <c r="M233" i="8"/>
  <c r="N233" i="8"/>
  <c r="O233" i="8"/>
  <c r="P233" i="8"/>
  <c r="Q233" i="8"/>
  <c r="R233" i="8"/>
  <c r="S233" i="8"/>
  <c r="T233" i="8"/>
  <c r="U233" i="8"/>
  <c r="V233" i="8"/>
  <c r="W233" i="8"/>
  <c r="X233" i="8"/>
  <c r="Y233" i="8"/>
  <c r="Z233" i="8"/>
  <c r="AA233" i="8"/>
  <c r="AB233" i="8"/>
  <c r="AC233" i="8"/>
  <c r="AD233" i="8"/>
  <c r="AE233" i="8"/>
  <c r="F275" i="8"/>
  <c r="G275" i="8"/>
  <c r="H275" i="8"/>
  <c r="I275" i="8"/>
  <c r="J275" i="8"/>
  <c r="K275" i="8"/>
  <c r="L275" i="8"/>
  <c r="M275" i="8"/>
  <c r="N275" i="8"/>
  <c r="O275" i="8"/>
  <c r="P275" i="8"/>
  <c r="Q275" i="8"/>
  <c r="R275" i="8"/>
  <c r="S275" i="8"/>
  <c r="T275" i="8"/>
  <c r="U275" i="8"/>
  <c r="V275" i="8"/>
  <c r="W275" i="8"/>
  <c r="X275" i="8"/>
  <c r="Y275" i="8"/>
  <c r="Z275" i="8"/>
  <c r="AA275" i="8"/>
  <c r="AB275" i="8"/>
  <c r="AC275" i="8"/>
  <c r="AD275" i="8"/>
  <c r="AE275" i="8"/>
  <c r="F35" i="8"/>
  <c r="G35" i="8"/>
  <c r="H35" i="8"/>
  <c r="I35" i="8"/>
  <c r="J35" i="8"/>
  <c r="K35" i="8"/>
  <c r="L35" i="8"/>
  <c r="M35" i="8"/>
  <c r="N35" i="8"/>
  <c r="O35" i="8"/>
  <c r="P35" i="8"/>
  <c r="Q35" i="8"/>
  <c r="R35" i="8"/>
  <c r="S35" i="8"/>
  <c r="T35" i="8"/>
  <c r="U35" i="8"/>
  <c r="V35" i="8"/>
  <c r="W35" i="8"/>
  <c r="X35" i="8"/>
  <c r="Y35" i="8"/>
  <c r="Z35" i="8"/>
  <c r="AA35" i="8"/>
  <c r="AB35" i="8"/>
  <c r="AC35" i="8"/>
  <c r="AD35" i="8"/>
  <c r="AE35" i="8"/>
  <c r="F106" i="8"/>
  <c r="G106" i="8"/>
  <c r="H106" i="8"/>
  <c r="I106" i="8"/>
  <c r="J106" i="8"/>
  <c r="K106" i="8"/>
  <c r="L106" i="8"/>
  <c r="M106" i="8"/>
  <c r="N106" i="8"/>
  <c r="O106" i="8"/>
  <c r="P106" i="8"/>
  <c r="Q106" i="8"/>
  <c r="R106" i="8"/>
  <c r="S106" i="8"/>
  <c r="T106" i="8"/>
  <c r="U106" i="8"/>
  <c r="V106" i="8"/>
  <c r="W106" i="8"/>
  <c r="X106" i="8"/>
  <c r="Y106" i="8"/>
  <c r="Z106" i="8"/>
  <c r="AA106" i="8"/>
  <c r="AB106" i="8"/>
  <c r="AC106" i="8"/>
  <c r="AD106" i="8"/>
  <c r="AE106" i="8"/>
  <c r="F57" i="8"/>
  <c r="G57" i="8"/>
  <c r="H57" i="8"/>
  <c r="I57" i="8"/>
  <c r="J57" i="8"/>
  <c r="K57" i="8"/>
  <c r="L57" i="8"/>
  <c r="M57" i="8"/>
  <c r="N57" i="8"/>
  <c r="O57" i="8"/>
  <c r="P57" i="8"/>
  <c r="Q57" i="8"/>
  <c r="R57" i="8"/>
  <c r="S57" i="8"/>
  <c r="T57" i="8"/>
  <c r="U57" i="8"/>
  <c r="V57" i="8"/>
  <c r="W57" i="8"/>
  <c r="X57" i="8"/>
  <c r="Y57" i="8"/>
  <c r="Z57" i="8"/>
  <c r="AA57" i="8"/>
  <c r="AB57" i="8"/>
  <c r="AC57" i="8"/>
  <c r="AD57" i="8"/>
  <c r="AE57" i="8"/>
  <c r="F2" i="8"/>
  <c r="G2" i="8"/>
  <c r="H2" i="8"/>
  <c r="I2" i="8"/>
  <c r="J2" i="8"/>
  <c r="K2" i="8"/>
  <c r="L2" i="8"/>
  <c r="M2" i="8"/>
  <c r="N2" i="8"/>
  <c r="O2" i="8"/>
  <c r="P2" i="8"/>
  <c r="Q2" i="8"/>
  <c r="R2" i="8"/>
  <c r="S2" i="8"/>
  <c r="T2" i="8"/>
  <c r="U2" i="8"/>
  <c r="V2" i="8"/>
  <c r="W2" i="8"/>
  <c r="X2" i="8"/>
  <c r="Y2" i="8"/>
  <c r="Z2" i="8"/>
  <c r="AA2" i="8"/>
  <c r="AB2" i="8"/>
  <c r="AC2" i="8"/>
  <c r="AD2" i="8"/>
  <c r="AE2" i="8"/>
  <c r="F114" i="8"/>
  <c r="G114" i="8"/>
  <c r="H114" i="8"/>
  <c r="I114" i="8"/>
  <c r="J114" i="8"/>
  <c r="K114" i="8"/>
  <c r="L114" i="8"/>
  <c r="M114" i="8"/>
  <c r="N114" i="8"/>
  <c r="O114" i="8"/>
  <c r="P114" i="8"/>
  <c r="Q114" i="8"/>
  <c r="R114" i="8"/>
  <c r="S114" i="8"/>
  <c r="T114" i="8"/>
  <c r="U114" i="8"/>
  <c r="V114" i="8"/>
  <c r="W114" i="8"/>
  <c r="X114" i="8"/>
  <c r="Y114" i="8"/>
  <c r="Z114" i="8"/>
  <c r="AA114" i="8"/>
  <c r="AB114" i="8"/>
  <c r="AC114" i="8"/>
  <c r="AD114" i="8"/>
  <c r="AE114" i="8"/>
  <c r="F337" i="8"/>
  <c r="G337" i="8"/>
  <c r="H337" i="8"/>
  <c r="I337" i="8"/>
  <c r="J337" i="8"/>
  <c r="K337" i="8"/>
  <c r="L337" i="8"/>
  <c r="M337" i="8"/>
  <c r="N337" i="8"/>
  <c r="O337" i="8"/>
  <c r="P337" i="8"/>
  <c r="Q337" i="8"/>
  <c r="R337" i="8"/>
  <c r="S337" i="8"/>
  <c r="T337" i="8"/>
  <c r="U337" i="8"/>
  <c r="V337" i="8"/>
  <c r="W337" i="8"/>
  <c r="X337" i="8"/>
  <c r="Y337" i="8"/>
  <c r="Z337" i="8"/>
  <c r="AA337" i="8"/>
  <c r="AB337" i="8"/>
  <c r="AC337" i="8"/>
  <c r="AD337" i="8"/>
  <c r="AE337" i="8"/>
  <c r="F363" i="8"/>
  <c r="G363" i="8"/>
  <c r="H363" i="8"/>
  <c r="I363" i="8"/>
  <c r="J363" i="8"/>
  <c r="K363" i="8"/>
  <c r="L363" i="8"/>
  <c r="M363" i="8"/>
  <c r="N363" i="8"/>
  <c r="O363" i="8"/>
  <c r="P363" i="8"/>
  <c r="Q363" i="8"/>
  <c r="R363" i="8"/>
  <c r="S363" i="8"/>
  <c r="T363" i="8"/>
  <c r="U363" i="8"/>
  <c r="V363" i="8"/>
  <c r="W363" i="8"/>
  <c r="X363" i="8"/>
  <c r="Y363" i="8"/>
  <c r="Z363" i="8"/>
  <c r="AA363" i="8"/>
  <c r="AB363" i="8"/>
  <c r="AC363" i="8"/>
  <c r="AD363" i="8"/>
  <c r="AE363" i="8"/>
  <c r="F124" i="8"/>
  <c r="G124" i="8"/>
  <c r="H124" i="8"/>
  <c r="I124" i="8"/>
  <c r="J124" i="8"/>
  <c r="K124" i="8"/>
  <c r="L124" i="8"/>
  <c r="M124" i="8"/>
  <c r="N124" i="8"/>
  <c r="O124" i="8"/>
  <c r="P124" i="8"/>
  <c r="Q124" i="8"/>
  <c r="R124" i="8"/>
  <c r="S124" i="8"/>
  <c r="T124" i="8"/>
  <c r="U124" i="8"/>
  <c r="V124" i="8"/>
  <c r="W124" i="8"/>
  <c r="X124" i="8"/>
  <c r="Y124" i="8"/>
  <c r="Z124" i="8"/>
  <c r="AA124" i="8"/>
  <c r="AB124" i="8"/>
  <c r="AC124" i="8"/>
  <c r="AD124" i="8"/>
  <c r="AE124" i="8"/>
  <c r="F174" i="8"/>
  <c r="G174" i="8"/>
  <c r="H174" i="8"/>
  <c r="I174" i="8"/>
  <c r="J174" i="8"/>
  <c r="K174" i="8"/>
  <c r="L174" i="8"/>
  <c r="M174" i="8"/>
  <c r="N174" i="8"/>
  <c r="O174" i="8"/>
  <c r="P174" i="8"/>
  <c r="Q174" i="8"/>
  <c r="R174" i="8"/>
  <c r="S174" i="8"/>
  <c r="T174" i="8"/>
  <c r="U174" i="8"/>
  <c r="V174" i="8"/>
  <c r="W174" i="8"/>
  <c r="X174" i="8"/>
  <c r="Y174" i="8"/>
  <c r="Z174" i="8"/>
  <c r="AA174" i="8"/>
  <c r="AB174" i="8"/>
  <c r="AC174" i="8"/>
  <c r="AD174" i="8"/>
  <c r="AE174" i="8"/>
  <c r="F210" i="8"/>
  <c r="G210" i="8"/>
  <c r="H210" i="8"/>
  <c r="I210" i="8"/>
  <c r="J210" i="8"/>
  <c r="K210" i="8"/>
  <c r="L210" i="8"/>
  <c r="M210" i="8"/>
  <c r="N210" i="8"/>
  <c r="O210" i="8"/>
  <c r="P210" i="8"/>
  <c r="Q210" i="8"/>
  <c r="R210" i="8"/>
  <c r="S210" i="8"/>
  <c r="T210" i="8"/>
  <c r="U210" i="8"/>
  <c r="V210" i="8"/>
  <c r="W210" i="8"/>
  <c r="X210" i="8"/>
  <c r="Y210" i="8"/>
  <c r="Z210" i="8"/>
  <c r="AA210" i="8"/>
  <c r="AB210" i="8"/>
  <c r="AC210" i="8"/>
  <c r="AD210" i="8"/>
  <c r="AE210" i="8"/>
  <c r="F93" i="8"/>
  <c r="G93" i="8"/>
  <c r="H93" i="8"/>
  <c r="I93" i="8"/>
  <c r="J93" i="8"/>
  <c r="K93" i="8"/>
  <c r="L93" i="8"/>
  <c r="M93" i="8"/>
  <c r="N93" i="8"/>
  <c r="O93" i="8"/>
  <c r="P93" i="8"/>
  <c r="Q93" i="8"/>
  <c r="R93" i="8"/>
  <c r="S93" i="8"/>
  <c r="T93" i="8"/>
  <c r="U93" i="8"/>
  <c r="V93" i="8"/>
  <c r="W93" i="8"/>
  <c r="X93" i="8"/>
  <c r="Y93" i="8"/>
  <c r="Z93" i="8"/>
  <c r="AA93" i="8"/>
  <c r="AB93" i="8"/>
  <c r="AC93" i="8"/>
  <c r="AD93" i="8"/>
  <c r="AE93" i="8"/>
  <c r="F324" i="8"/>
  <c r="G324" i="8"/>
  <c r="H324" i="8"/>
  <c r="I324" i="8"/>
  <c r="J324" i="8"/>
  <c r="K324" i="8"/>
  <c r="L324" i="8"/>
  <c r="M324" i="8"/>
  <c r="N324" i="8"/>
  <c r="O324" i="8"/>
  <c r="P324" i="8"/>
  <c r="Q324" i="8"/>
  <c r="R324" i="8"/>
  <c r="S324" i="8"/>
  <c r="T324" i="8"/>
  <c r="U324" i="8"/>
  <c r="V324" i="8"/>
  <c r="W324" i="8"/>
  <c r="X324" i="8"/>
  <c r="Y324" i="8"/>
  <c r="Z324" i="8"/>
  <c r="AA324" i="8"/>
  <c r="AB324" i="8"/>
  <c r="AC324" i="8"/>
  <c r="AD324" i="8"/>
  <c r="AE324" i="8"/>
  <c r="F96" i="8"/>
  <c r="G96" i="8"/>
  <c r="H96" i="8"/>
  <c r="I96" i="8"/>
  <c r="J96" i="8"/>
  <c r="K96" i="8"/>
  <c r="L96" i="8"/>
  <c r="M96" i="8"/>
  <c r="N96" i="8"/>
  <c r="O96" i="8"/>
  <c r="P96" i="8"/>
  <c r="Q96" i="8"/>
  <c r="R96" i="8"/>
  <c r="S96" i="8"/>
  <c r="T96" i="8"/>
  <c r="U96" i="8"/>
  <c r="V96" i="8"/>
  <c r="W96" i="8"/>
  <c r="X96" i="8"/>
  <c r="Y96" i="8"/>
  <c r="Z96" i="8"/>
  <c r="AA96" i="8"/>
  <c r="AB96" i="8"/>
  <c r="AC96" i="8"/>
  <c r="AD96" i="8"/>
  <c r="AE96" i="8"/>
  <c r="F141" i="8"/>
  <c r="G141" i="8"/>
  <c r="H141" i="8"/>
  <c r="I141" i="8"/>
  <c r="J141" i="8"/>
  <c r="K141" i="8"/>
  <c r="L141" i="8"/>
  <c r="M141" i="8"/>
  <c r="N141" i="8"/>
  <c r="O141" i="8"/>
  <c r="P141" i="8"/>
  <c r="Q141" i="8"/>
  <c r="R141" i="8"/>
  <c r="S141" i="8"/>
  <c r="T141" i="8"/>
  <c r="U141" i="8"/>
  <c r="V141" i="8"/>
  <c r="W141" i="8"/>
  <c r="X141" i="8"/>
  <c r="Y141" i="8"/>
  <c r="Z141" i="8"/>
  <c r="AA141" i="8"/>
  <c r="AB141" i="8"/>
  <c r="AC141" i="8"/>
  <c r="AD141" i="8"/>
  <c r="AE141" i="8"/>
  <c r="F508" i="8"/>
  <c r="G508" i="8"/>
  <c r="H508" i="8"/>
  <c r="I508" i="8"/>
  <c r="J508" i="8"/>
  <c r="K508" i="8"/>
  <c r="L508" i="8"/>
  <c r="M508" i="8"/>
  <c r="N508" i="8"/>
  <c r="O508" i="8"/>
  <c r="P508" i="8"/>
  <c r="Q508" i="8"/>
  <c r="R508" i="8"/>
  <c r="S508" i="8"/>
  <c r="T508" i="8"/>
  <c r="U508" i="8"/>
  <c r="V508" i="8"/>
  <c r="W508" i="8"/>
  <c r="X508" i="8"/>
  <c r="Y508" i="8"/>
  <c r="Z508" i="8"/>
  <c r="AA508" i="8"/>
  <c r="AB508" i="8"/>
  <c r="AC508" i="8"/>
  <c r="AD508" i="8"/>
  <c r="AE508" i="8"/>
  <c r="F110" i="8"/>
  <c r="G110" i="8"/>
  <c r="H110" i="8"/>
  <c r="I110" i="8"/>
  <c r="J110" i="8"/>
  <c r="K110" i="8"/>
  <c r="L110" i="8"/>
  <c r="M110" i="8"/>
  <c r="N110" i="8"/>
  <c r="O110" i="8"/>
  <c r="P110" i="8"/>
  <c r="Q110" i="8"/>
  <c r="R110" i="8"/>
  <c r="S110" i="8"/>
  <c r="T110" i="8"/>
  <c r="U110" i="8"/>
  <c r="V110" i="8"/>
  <c r="W110" i="8"/>
  <c r="X110" i="8"/>
  <c r="Y110" i="8"/>
  <c r="Z110" i="8"/>
  <c r="AA110" i="8"/>
  <c r="AB110" i="8"/>
  <c r="AC110" i="8"/>
  <c r="AD110" i="8"/>
  <c r="AE110" i="8"/>
  <c r="F121" i="8"/>
  <c r="G121" i="8"/>
  <c r="H121" i="8"/>
  <c r="I121" i="8"/>
  <c r="J121" i="8"/>
  <c r="K121" i="8"/>
  <c r="L121" i="8"/>
  <c r="M121" i="8"/>
  <c r="N121" i="8"/>
  <c r="O121" i="8"/>
  <c r="P121" i="8"/>
  <c r="Q121" i="8"/>
  <c r="R121" i="8"/>
  <c r="S121" i="8"/>
  <c r="T121" i="8"/>
  <c r="U121" i="8"/>
  <c r="V121" i="8"/>
  <c r="W121" i="8"/>
  <c r="X121" i="8"/>
  <c r="Y121" i="8"/>
  <c r="Z121" i="8"/>
  <c r="AA121" i="8"/>
  <c r="AB121" i="8"/>
  <c r="AC121" i="8"/>
  <c r="AD121" i="8"/>
  <c r="AE121" i="8"/>
  <c r="F75" i="8"/>
  <c r="G75" i="8"/>
  <c r="H75" i="8"/>
  <c r="I75" i="8"/>
  <c r="J75" i="8"/>
  <c r="K75" i="8"/>
  <c r="L75" i="8"/>
  <c r="M75" i="8"/>
  <c r="N75" i="8"/>
  <c r="O75" i="8"/>
  <c r="P75" i="8"/>
  <c r="Q75" i="8"/>
  <c r="R75" i="8"/>
  <c r="S75" i="8"/>
  <c r="T75" i="8"/>
  <c r="U75" i="8"/>
  <c r="V75" i="8"/>
  <c r="W75" i="8"/>
  <c r="X75" i="8"/>
  <c r="Y75" i="8"/>
  <c r="Z75" i="8"/>
  <c r="AA75" i="8"/>
  <c r="AB75" i="8"/>
  <c r="AC75" i="8"/>
  <c r="AD75" i="8"/>
  <c r="AE75" i="8"/>
  <c r="F92" i="8"/>
  <c r="G92" i="8"/>
  <c r="H92" i="8"/>
  <c r="I92" i="8"/>
  <c r="J92" i="8"/>
  <c r="K92" i="8"/>
  <c r="L92" i="8"/>
  <c r="M92" i="8"/>
  <c r="N92" i="8"/>
  <c r="O92" i="8"/>
  <c r="P92" i="8"/>
  <c r="Q92" i="8"/>
  <c r="R92" i="8"/>
  <c r="S92" i="8"/>
  <c r="T92" i="8"/>
  <c r="U92" i="8"/>
  <c r="V92" i="8"/>
  <c r="W92" i="8"/>
  <c r="X92" i="8"/>
  <c r="Y92" i="8"/>
  <c r="Z92" i="8"/>
  <c r="AA92" i="8"/>
  <c r="AB92" i="8"/>
  <c r="AC92" i="8"/>
  <c r="AD92" i="8"/>
  <c r="AE92" i="8"/>
  <c r="F375" i="8"/>
  <c r="G375" i="8"/>
  <c r="H375" i="8"/>
  <c r="I375" i="8"/>
  <c r="J375" i="8"/>
  <c r="K375" i="8"/>
  <c r="L375" i="8"/>
  <c r="M375" i="8"/>
  <c r="N375" i="8"/>
  <c r="O375" i="8"/>
  <c r="P375" i="8"/>
  <c r="Q375" i="8"/>
  <c r="R375" i="8"/>
  <c r="S375" i="8"/>
  <c r="T375" i="8"/>
  <c r="U375" i="8"/>
  <c r="V375" i="8"/>
  <c r="W375" i="8"/>
  <c r="X375" i="8"/>
  <c r="Y375" i="8"/>
  <c r="Z375" i="8"/>
  <c r="AA375" i="8"/>
  <c r="AB375" i="8"/>
  <c r="AC375" i="8"/>
  <c r="AD375" i="8"/>
  <c r="AE375" i="8"/>
  <c r="F55" i="8"/>
  <c r="G55" i="8"/>
  <c r="H55" i="8"/>
  <c r="I55" i="8"/>
  <c r="J55" i="8"/>
  <c r="K55" i="8"/>
  <c r="L55" i="8"/>
  <c r="M55" i="8"/>
  <c r="N55" i="8"/>
  <c r="O55" i="8"/>
  <c r="P55" i="8"/>
  <c r="Q55" i="8"/>
  <c r="R55" i="8"/>
  <c r="S55" i="8"/>
  <c r="T55" i="8"/>
  <c r="U55" i="8"/>
  <c r="V55" i="8"/>
  <c r="W55" i="8"/>
  <c r="X55" i="8"/>
  <c r="Y55" i="8"/>
  <c r="Z55" i="8"/>
  <c r="AA55" i="8"/>
  <c r="AB55" i="8"/>
  <c r="AC55" i="8"/>
  <c r="AD55" i="8"/>
  <c r="AE55" i="8"/>
  <c r="F113" i="8"/>
  <c r="G113" i="8"/>
  <c r="H113" i="8"/>
  <c r="I113" i="8"/>
  <c r="J113" i="8"/>
  <c r="K113" i="8"/>
  <c r="L113" i="8"/>
  <c r="M113" i="8"/>
  <c r="N113" i="8"/>
  <c r="O113" i="8"/>
  <c r="P113" i="8"/>
  <c r="Q113" i="8"/>
  <c r="R113" i="8"/>
  <c r="S113" i="8"/>
  <c r="T113" i="8"/>
  <c r="U113" i="8"/>
  <c r="V113" i="8"/>
  <c r="W113" i="8"/>
  <c r="X113" i="8"/>
  <c r="Y113" i="8"/>
  <c r="Z113" i="8"/>
  <c r="AA113" i="8"/>
  <c r="AB113" i="8"/>
  <c r="AC113" i="8"/>
  <c r="AD113" i="8"/>
  <c r="AE113" i="8"/>
  <c r="F118" i="8"/>
  <c r="G118" i="8"/>
  <c r="H118" i="8"/>
  <c r="I118" i="8"/>
  <c r="J118" i="8"/>
  <c r="K118" i="8"/>
  <c r="L118" i="8"/>
  <c r="M118" i="8"/>
  <c r="N118" i="8"/>
  <c r="O118" i="8"/>
  <c r="P118" i="8"/>
  <c r="Q118" i="8"/>
  <c r="R118" i="8"/>
  <c r="S118" i="8"/>
  <c r="T118" i="8"/>
  <c r="U118" i="8"/>
  <c r="V118" i="8"/>
  <c r="W118" i="8"/>
  <c r="X118" i="8"/>
  <c r="Y118" i="8"/>
  <c r="Z118" i="8"/>
  <c r="AA118" i="8"/>
  <c r="AB118" i="8"/>
  <c r="AC118" i="8"/>
  <c r="AD118" i="8"/>
  <c r="AE118" i="8"/>
  <c r="F261" i="8"/>
  <c r="G261" i="8"/>
  <c r="H261" i="8"/>
  <c r="I261" i="8"/>
  <c r="J261" i="8"/>
  <c r="K261" i="8"/>
  <c r="L261" i="8"/>
  <c r="M261" i="8"/>
  <c r="N261" i="8"/>
  <c r="O261" i="8"/>
  <c r="P261" i="8"/>
  <c r="Q261" i="8"/>
  <c r="R261" i="8"/>
  <c r="S261" i="8"/>
  <c r="T261" i="8"/>
  <c r="U261" i="8"/>
  <c r="V261" i="8"/>
  <c r="W261" i="8"/>
  <c r="X261" i="8"/>
  <c r="Y261" i="8"/>
  <c r="Z261" i="8"/>
  <c r="AA261" i="8"/>
  <c r="AB261" i="8"/>
  <c r="AC261" i="8"/>
  <c r="AD261" i="8"/>
  <c r="AE261" i="8"/>
  <c r="F177" i="8"/>
  <c r="G177" i="8"/>
  <c r="H177" i="8"/>
  <c r="I177" i="8"/>
  <c r="J177" i="8"/>
  <c r="K177" i="8"/>
  <c r="L177" i="8"/>
  <c r="M177" i="8"/>
  <c r="N177" i="8"/>
  <c r="O177" i="8"/>
  <c r="P177" i="8"/>
  <c r="Q177" i="8"/>
  <c r="R177" i="8"/>
  <c r="S177" i="8"/>
  <c r="T177" i="8"/>
  <c r="U177" i="8"/>
  <c r="V177" i="8"/>
  <c r="W177" i="8"/>
  <c r="X177" i="8"/>
  <c r="Y177" i="8"/>
  <c r="Z177" i="8"/>
  <c r="AA177" i="8"/>
  <c r="AB177" i="8"/>
  <c r="AC177" i="8"/>
  <c r="AD177" i="8"/>
  <c r="AE177" i="8"/>
  <c r="F80" i="8"/>
  <c r="G80" i="8"/>
  <c r="H80" i="8"/>
  <c r="I80" i="8"/>
  <c r="J80" i="8"/>
  <c r="K80" i="8"/>
  <c r="L80" i="8"/>
  <c r="M80" i="8"/>
  <c r="N80" i="8"/>
  <c r="O80" i="8"/>
  <c r="P80" i="8"/>
  <c r="Q80" i="8"/>
  <c r="R80" i="8"/>
  <c r="S80" i="8"/>
  <c r="T80" i="8"/>
  <c r="U80" i="8"/>
  <c r="V80" i="8"/>
  <c r="W80" i="8"/>
  <c r="X80" i="8"/>
  <c r="Y80" i="8"/>
  <c r="Z80" i="8"/>
  <c r="AA80" i="8"/>
  <c r="AB80" i="8"/>
  <c r="AC80" i="8"/>
  <c r="AD80" i="8"/>
  <c r="AE80" i="8"/>
  <c r="F30" i="8"/>
  <c r="G30" i="8"/>
  <c r="H30" i="8"/>
  <c r="I30" i="8"/>
  <c r="J30" i="8"/>
  <c r="K30" i="8"/>
  <c r="L30" i="8"/>
  <c r="M30" i="8"/>
  <c r="N30" i="8"/>
  <c r="O30" i="8"/>
  <c r="P30" i="8"/>
  <c r="Q30" i="8"/>
  <c r="R30" i="8"/>
  <c r="S30" i="8"/>
  <c r="T30" i="8"/>
  <c r="U30" i="8"/>
  <c r="V30" i="8"/>
  <c r="W30" i="8"/>
  <c r="X30" i="8"/>
  <c r="Y30" i="8"/>
  <c r="Z30" i="8"/>
  <c r="AA30" i="8"/>
  <c r="AB30" i="8"/>
  <c r="AC30" i="8"/>
  <c r="AD30" i="8"/>
  <c r="AE30" i="8"/>
  <c r="F176" i="8"/>
  <c r="G176" i="8"/>
  <c r="H176" i="8"/>
  <c r="I176" i="8"/>
  <c r="J176" i="8"/>
  <c r="K176" i="8"/>
  <c r="L176" i="8"/>
  <c r="M176" i="8"/>
  <c r="N176" i="8"/>
  <c r="O176" i="8"/>
  <c r="P176" i="8"/>
  <c r="Q176" i="8"/>
  <c r="R176" i="8"/>
  <c r="S176" i="8"/>
  <c r="T176" i="8"/>
  <c r="U176" i="8"/>
  <c r="V176" i="8"/>
  <c r="W176" i="8"/>
  <c r="X176" i="8"/>
  <c r="Y176" i="8"/>
  <c r="Z176" i="8"/>
  <c r="AA176" i="8"/>
  <c r="AB176" i="8"/>
  <c r="AC176" i="8"/>
  <c r="AD176" i="8"/>
  <c r="AE176" i="8"/>
  <c r="F319" i="8"/>
  <c r="G319" i="8"/>
  <c r="H319" i="8"/>
  <c r="I319" i="8"/>
  <c r="J319" i="8"/>
  <c r="K319" i="8"/>
  <c r="L319" i="8"/>
  <c r="M319" i="8"/>
  <c r="N319" i="8"/>
  <c r="O319" i="8"/>
  <c r="P319" i="8"/>
  <c r="Q319" i="8"/>
  <c r="R319" i="8"/>
  <c r="S319" i="8"/>
  <c r="T319" i="8"/>
  <c r="U319" i="8"/>
  <c r="V319" i="8"/>
  <c r="W319" i="8"/>
  <c r="X319" i="8"/>
  <c r="Y319" i="8"/>
  <c r="Z319" i="8"/>
  <c r="AA319" i="8"/>
  <c r="AB319" i="8"/>
  <c r="AC319" i="8"/>
  <c r="AD319" i="8"/>
  <c r="AE319" i="8"/>
  <c r="F235" i="8"/>
  <c r="G235" i="8"/>
  <c r="H235" i="8"/>
  <c r="I235" i="8"/>
  <c r="J235" i="8"/>
  <c r="K235" i="8"/>
  <c r="L235" i="8"/>
  <c r="M235" i="8"/>
  <c r="N235" i="8"/>
  <c r="O235" i="8"/>
  <c r="P235" i="8"/>
  <c r="Q235" i="8"/>
  <c r="R235" i="8"/>
  <c r="S235" i="8"/>
  <c r="T235" i="8"/>
  <c r="U235" i="8"/>
  <c r="V235" i="8"/>
  <c r="W235" i="8"/>
  <c r="X235" i="8"/>
  <c r="Y235" i="8"/>
  <c r="Z235" i="8"/>
  <c r="AA235" i="8"/>
  <c r="AB235" i="8"/>
  <c r="AC235" i="8"/>
  <c r="AD235" i="8"/>
  <c r="AE235" i="8"/>
  <c r="F15" i="8"/>
  <c r="G15" i="8"/>
  <c r="H15" i="8"/>
  <c r="I15" i="8"/>
  <c r="J15" i="8"/>
  <c r="K15" i="8"/>
  <c r="L15" i="8"/>
  <c r="M15" i="8"/>
  <c r="N15" i="8"/>
  <c r="O15" i="8"/>
  <c r="P15" i="8"/>
  <c r="Q15" i="8"/>
  <c r="R15" i="8"/>
  <c r="S15" i="8"/>
  <c r="T15" i="8"/>
  <c r="U15" i="8"/>
  <c r="V15" i="8"/>
  <c r="W15" i="8"/>
  <c r="X15" i="8"/>
  <c r="Y15" i="8"/>
  <c r="Z15" i="8"/>
  <c r="AA15" i="8"/>
  <c r="AB15" i="8"/>
  <c r="AC15" i="8"/>
  <c r="AD15" i="8"/>
  <c r="AE15" i="8"/>
  <c r="F345" i="8"/>
  <c r="G345" i="8"/>
  <c r="H345" i="8"/>
  <c r="I345" i="8"/>
  <c r="J345" i="8"/>
  <c r="K345" i="8"/>
  <c r="L345" i="8"/>
  <c r="M345" i="8"/>
  <c r="N345" i="8"/>
  <c r="O345" i="8"/>
  <c r="P345" i="8"/>
  <c r="Q345" i="8"/>
  <c r="R345" i="8"/>
  <c r="S345" i="8"/>
  <c r="T345" i="8"/>
  <c r="U345" i="8"/>
  <c r="V345" i="8"/>
  <c r="W345" i="8"/>
  <c r="X345" i="8"/>
  <c r="Y345" i="8"/>
  <c r="Z345" i="8"/>
  <c r="AA345" i="8"/>
  <c r="AB345" i="8"/>
  <c r="AC345" i="8"/>
  <c r="AD345" i="8"/>
  <c r="AE345" i="8"/>
  <c r="F133" i="8"/>
  <c r="G133" i="8"/>
  <c r="H133" i="8"/>
  <c r="I133" i="8"/>
  <c r="J133" i="8"/>
  <c r="K133" i="8"/>
  <c r="L133" i="8"/>
  <c r="M133" i="8"/>
  <c r="N133" i="8"/>
  <c r="O133" i="8"/>
  <c r="P133" i="8"/>
  <c r="Q133" i="8"/>
  <c r="R133" i="8"/>
  <c r="S133" i="8"/>
  <c r="T133" i="8"/>
  <c r="U133" i="8"/>
  <c r="V133" i="8"/>
  <c r="W133" i="8"/>
  <c r="X133" i="8"/>
  <c r="Y133" i="8"/>
  <c r="Z133" i="8"/>
  <c r="AA133" i="8"/>
  <c r="AB133" i="8"/>
  <c r="AC133" i="8"/>
  <c r="AD133" i="8"/>
  <c r="AE133" i="8"/>
  <c r="F367" i="8"/>
  <c r="G367" i="8"/>
  <c r="H367" i="8"/>
  <c r="I367" i="8"/>
  <c r="J367" i="8"/>
  <c r="K367" i="8"/>
  <c r="L367" i="8"/>
  <c r="M367" i="8"/>
  <c r="N367" i="8"/>
  <c r="O367" i="8"/>
  <c r="P367" i="8"/>
  <c r="Q367" i="8"/>
  <c r="R367" i="8"/>
  <c r="S367" i="8"/>
  <c r="T367" i="8"/>
  <c r="U367" i="8"/>
  <c r="V367" i="8"/>
  <c r="W367" i="8"/>
  <c r="X367" i="8"/>
  <c r="Y367" i="8"/>
  <c r="Z367" i="8"/>
  <c r="AA367" i="8"/>
  <c r="AB367" i="8"/>
  <c r="AC367" i="8"/>
  <c r="AD367" i="8"/>
  <c r="AE367" i="8"/>
  <c r="F137" i="8"/>
  <c r="G137" i="8"/>
  <c r="H137" i="8"/>
  <c r="I137" i="8"/>
  <c r="J137" i="8"/>
  <c r="K137" i="8"/>
  <c r="L137" i="8"/>
  <c r="M137" i="8"/>
  <c r="N137" i="8"/>
  <c r="O137" i="8"/>
  <c r="P137" i="8"/>
  <c r="Q137" i="8"/>
  <c r="R137" i="8"/>
  <c r="S137" i="8"/>
  <c r="T137" i="8"/>
  <c r="U137" i="8"/>
  <c r="V137" i="8"/>
  <c r="W137" i="8"/>
  <c r="X137" i="8"/>
  <c r="Y137" i="8"/>
  <c r="Z137" i="8"/>
  <c r="AA137" i="8"/>
  <c r="AB137" i="8"/>
  <c r="AC137" i="8"/>
  <c r="AD137" i="8"/>
  <c r="AE137" i="8"/>
  <c r="F217" i="8"/>
  <c r="G217" i="8"/>
  <c r="H217" i="8"/>
  <c r="I217" i="8"/>
  <c r="J217" i="8"/>
  <c r="K217" i="8"/>
  <c r="L217" i="8"/>
  <c r="M217" i="8"/>
  <c r="N217" i="8"/>
  <c r="O217" i="8"/>
  <c r="P217" i="8"/>
  <c r="Q217" i="8"/>
  <c r="R217" i="8"/>
  <c r="S217" i="8"/>
  <c r="T217" i="8"/>
  <c r="U217" i="8"/>
  <c r="V217" i="8"/>
  <c r="W217" i="8"/>
  <c r="X217" i="8"/>
  <c r="Y217" i="8"/>
  <c r="Z217" i="8"/>
  <c r="AA217" i="8"/>
  <c r="AB217" i="8"/>
  <c r="AC217" i="8"/>
  <c r="AD217" i="8"/>
  <c r="AE217" i="8"/>
  <c r="F295" i="8"/>
  <c r="G295" i="8"/>
  <c r="H295" i="8"/>
  <c r="I295" i="8"/>
  <c r="J295" i="8"/>
  <c r="K295" i="8"/>
  <c r="L295" i="8"/>
  <c r="M295" i="8"/>
  <c r="N295" i="8"/>
  <c r="O295" i="8"/>
  <c r="P295" i="8"/>
  <c r="Q295" i="8"/>
  <c r="R295" i="8"/>
  <c r="S295" i="8"/>
  <c r="T295" i="8"/>
  <c r="U295" i="8"/>
  <c r="V295" i="8"/>
  <c r="W295" i="8"/>
  <c r="X295" i="8"/>
  <c r="Y295" i="8"/>
  <c r="Z295" i="8"/>
  <c r="AA295" i="8"/>
  <c r="AB295" i="8"/>
  <c r="AC295" i="8"/>
  <c r="AD295" i="8"/>
  <c r="AE295" i="8"/>
  <c r="F50" i="8"/>
  <c r="G50" i="8"/>
  <c r="H50" i="8"/>
  <c r="I50" i="8"/>
  <c r="J50" i="8"/>
  <c r="K50" i="8"/>
  <c r="L50" i="8"/>
  <c r="M50" i="8"/>
  <c r="N50" i="8"/>
  <c r="O50" i="8"/>
  <c r="P50" i="8"/>
  <c r="Q50" i="8"/>
  <c r="R50" i="8"/>
  <c r="S50" i="8"/>
  <c r="T50" i="8"/>
  <c r="U50" i="8"/>
  <c r="V50" i="8"/>
  <c r="W50" i="8"/>
  <c r="X50" i="8"/>
  <c r="Y50" i="8"/>
  <c r="Z50" i="8"/>
  <c r="AA50" i="8"/>
  <c r="AB50" i="8"/>
  <c r="AC50" i="8"/>
  <c r="AD50" i="8"/>
  <c r="AE50" i="8"/>
  <c r="F42" i="8"/>
  <c r="G42" i="8"/>
  <c r="H42" i="8"/>
  <c r="I42" i="8"/>
  <c r="J42" i="8"/>
  <c r="K42" i="8"/>
  <c r="L42" i="8"/>
  <c r="M42" i="8"/>
  <c r="N42" i="8"/>
  <c r="O42" i="8"/>
  <c r="P42" i="8"/>
  <c r="Q42" i="8"/>
  <c r="R42" i="8"/>
  <c r="S42" i="8"/>
  <c r="T42" i="8"/>
  <c r="U42" i="8"/>
  <c r="V42" i="8"/>
  <c r="W42" i="8"/>
  <c r="X42" i="8"/>
  <c r="Y42" i="8"/>
  <c r="Z42" i="8"/>
  <c r="AA42" i="8"/>
  <c r="AB42" i="8"/>
  <c r="AC42" i="8"/>
  <c r="AD42" i="8"/>
  <c r="AE42" i="8"/>
  <c r="F252" i="8"/>
  <c r="G252" i="8"/>
  <c r="H252" i="8"/>
  <c r="I252" i="8"/>
  <c r="J252" i="8"/>
  <c r="K252" i="8"/>
  <c r="L252" i="8"/>
  <c r="M252" i="8"/>
  <c r="N252" i="8"/>
  <c r="O252" i="8"/>
  <c r="P252" i="8"/>
  <c r="Q252" i="8"/>
  <c r="R252" i="8"/>
  <c r="S252" i="8"/>
  <c r="T252" i="8"/>
  <c r="U252" i="8"/>
  <c r="V252" i="8"/>
  <c r="W252" i="8"/>
  <c r="X252" i="8"/>
  <c r="Y252" i="8"/>
  <c r="Z252" i="8"/>
  <c r="AA252" i="8"/>
  <c r="AB252" i="8"/>
  <c r="AC252" i="8"/>
  <c r="AD252" i="8"/>
  <c r="AE252" i="8"/>
  <c r="F273" i="8"/>
  <c r="G273" i="8"/>
  <c r="H273" i="8"/>
  <c r="I273" i="8"/>
  <c r="J273" i="8"/>
  <c r="K273" i="8"/>
  <c r="L273" i="8"/>
  <c r="M273" i="8"/>
  <c r="N273" i="8"/>
  <c r="O273" i="8"/>
  <c r="P273" i="8"/>
  <c r="Q273" i="8"/>
  <c r="R273" i="8"/>
  <c r="S273" i="8"/>
  <c r="T273" i="8"/>
  <c r="U273" i="8"/>
  <c r="V273" i="8"/>
  <c r="W273" i="8"/>
  <c r="X273" i="8"/>
  <c r="Y273" i="8"/>
  <c r="Z273" i="8"/>
  <c r="AA273" i="8"/>
  <c r="AB273" i="8"/>
  <c r="AC273" i="8"/>
  <c r="AD273" i="8"/>
  <c r="AE273" i="8"/>
  <c r="F373" i="8"/>
  <c r="G373" i="8"/>
  <c r="H373" i="8"/>
  <c r="I373" i="8"/>
  <c r="J373" i="8"/>
  <c r="K373" i="8"/>
  <c r="L373" i="8"/>
  <c r="M373" i="8"/>
  <c r="N373" i="8"/>
  <c r="O373" i="8"/>
  <c r="P373" i="8"/>
  <c r="Q373" i="8"/>
  <c r="R373" i="8"/>
  <c r="S373" i="8"/>
  <c r="T373" i="8"/>
  <c r="U373" i="8"/>
  <c r="V373" i="8"/>
  <c r="W373" i="8"/>
  <c r="X373" i="8"/>
  <c r="Y373" i="8"/>
  <c r="Z373" i="8"/>
  <c r="AA373" i="8"/>
  <c r="AB373" i="8"/>
  <c r="AC373" i="8"/>
  <c r="AD373" i="8"/>
  <c r="AE373" i="8"/>
  <c r="F335" i="8"/>
  <c r="G335" i="8"/>
  <c r="H335" i="8"/>
  <c r="I335" i="8"/>
  <c r="J335" i="8"/>
  <c r="K335" i="8"/>
  <c r="L335" i="8"/>
  <c r="M335" i="8"/>
  <c r="N335" i="8"/>
  <c r="O335" i="8"/>
  <c r="P335" i="8"/>
  <c r="Q335" i="8"/>
  <c r="R335" i="8"/>
  <c r="S335" i="8"/>
  <c r="T335" i="8"/>
  <c r="U335" i="8"/>
  <c r="V335" i="8"/>
  <c r="W335" i="8"/>
  <c r="X335" i="8"/>
  <c r="Y335" i="8"/>
  <c r="Z335" i="8"/>
  <c r="AA335" i="8"/>
  <c r="AB335" i="8"/>
  <c r="AC335" i="8"/>
  <c r="AD335" i="8"/>
  <c r="AE335" i="8"/>
  <c r="F323" i="8"/>
  <c r="G323" i="8"/>
  <c r="H323" i="8"/>
  <c r="I323" i="8"/>
  <c r="J323" i="8"/>
  <c r="K323" i="8"/>
  <c r="L323" i="8"/>
  <c r="M323" i="8"/>
  <c r="N323" i="8"/>
  <c r="O323" i="8"/>
  <c r="P323" i="8"/>
  <c r="Q323" i="8"/>
  <c r="R323" i="8"/>
  <c r="S323" i="8"/>
  <c r="T323" i="8"/>
  <c r="U323" i="8"/>
  <c r="V323" i="8"/>
  <c r="W323" i="8"/>
  <c r="X323" i="8"/>
  <c r="Y323" i="8"/>
  <c r="Z323" i="8"/>
  <c r="AA323" i="8"/>
  <c r="AB323" i="8"/>
  <c r="AC323" i="8"/>
  <c r="AD323" i="8"/>
  <c r="AE323" i="8"/>
  <c r="F211" i="8"/>
  <c r="G211" i="8"/>
  <c r="H211" i="8"/>
  <c r="I211" i="8"/>
  <c r="J211" i="8"/>
  <c r="K211" i="8"/>
  <c r="L211" i="8"/>
  <c r="M211" i="8"/>
  <c r="N211" i="8"/>
  <c r="O211" i="8"/>
  <c r="P211" i="8"/>
  <c r="Q211" i="8"/>
  <c r="R211" i="8"/>
  <c r="S211" i="8"/>
  <c r="T211" i="8"/>
  <c r="U211" i="8"/>
  <c r="V211" i="8"/>
  <c r="W211" i="8"/>
  <c r="X211" i="8"/>
  <c r="Y211" i="8"/>
  <c r="Z211" i="8"/>
  <c r="AA211" i="8"/>
  <c r="AB211" i="8"/>
  <c r="AC211" i="8"/>
  <c r="AD211" i="8"/>
  <c r="AE211" i="8"/>
  <c r="F272" i="8"/>
  <c r="G272" i="8"/>
  <c r="H272" i="8"/>
  <c r="I272" i="8"/>
  <c r="J272" i="8"/>
  <c r="K272" i="8"/>
  <c r="L272" i="8"/>
  <c r="M272" i="8"/>
  <c r="N272" i="8"/>
  <c r="O272" i="8"/>
  <c r="P272" i="8"/>
  <c r="Q272" i="8"/>
  <c r="R272" i="8"/>
  <c r="S272" i="8"/>
  <c r="T272" i="8"/>
  <c r="U272" i="8"/>
  <c r="V272" i="8"/>
  <c r="W272" i="8"/>
  <c r="X272" i="8"/>
  <c r="Y272" i="8"/>
  <c r="Z272" i="8"/>
  <c r="AA272" i="8"/>
  <c r="AB272" i="8"/>
  <c r="AC272" i="8"/>
  <c r="AD272" i="8"/>
  <c r="AE272" i="8"/>
  <c r="F68" i="8"/>
  <c r="G68" i="8"/>
  <c r="H68" i="8"/>
  <c r="I68" i="8"/>
  <c r="J68" i="8"/>
  <c r="K68" i="8"/>
  <c r="L68" i="8"/>
  <c r="M68" i="8"/>
  <c r="N68" i="8"/>
  <c r="O68" i="8"/>
  <c r="P68" i="8"/>
  <c r="Q68" i="8"/>
  <c r="R68" i="8"/>
  <c r="S68" i="8"/>
  <c r="T68" i="8"/>
  <c r="U68" i="8"/>
  <c r="V68" i="8"/>
  <c r="W68" i="8"/>
  <c r="X68" i="8"/>
  <c r="Y68" i="8"/>
  <c r="Z68" i="8"/>
  <c r="AA68" i="8"/>
  <c r="AB68" i="8"/>
  <c r="AC68" i="8"/>
  <c r="AD68" i="8"/>
  <c r="AE68" i="8"/>
  <c r="F203" i="8"/>
  <c r="G203" i="8"/>
  <c r="H203" i="8"/>
  <c r="I203" i="8"/>
  <c r="J203" i="8"/>
  <c r="K203" i="8"/>
  <c r="L203" i="8"/>
  <c r="M203" i="8"/>
  <c r="N203" i="8"/>
  <c r="O203" i="8"/>
  <c r="P203" i="8"/>
  <c r="Q203" i="8"/>
  <c r="R203" i="8"/>
  <c r="S203" i="8"/>
  <c r="T203" i="8"/>
  <c r="U203" i="8"/>
  <c r="V203" i="8"/>
  <c r="W203" i="8"/>
  <c r="X203" i="8"/>
  <c r="Y203" i="8"/>
  <c r="Z203" i="8"/>
  <c r="AA203" i="8"/>
  <c r="AB203" i="8"/>
  <c r="AC203" i="8"/>
  <c r="AD203" i="8"/>
  <c r="AE203" i="8"/>
  <c r="F152" i="8"/>
  <c r="G152" i="8"/>
  <c r="H152" i="8"/>
  <c r="I152" i="8"/>
  <c r="J152" i="8"/>
  <c r="K152" i="8"/>
  <c r="L152" i="8"/>
  <c r="M152" i="8"/>
  <c r="N152" i="8"/>
  <c r="O152" i="8"/>
  <c r="P152" i="8"/>
  <c r="Q152" i="8"/>
  <c r="R152" i="8"/>
  <c r="S152" i="8"/>
  <c r="T152" i="8"/>
  <c r="U152" i="8"/>
  <c r="V152" i="8"/>
  <c r="W152" i="8"/>
  <c r="X152" i="8"/>
  <c r="Y152" i="8"/>
  <c r="Z152" i="8"/>
  <c r="AA152" i="8"/>
  <c r="AB152" i="8"/>
  <c r="AC152" i="8"/>
  <c r="AD152" i="8"/>
  <c r="AE152" i="8"/>
  <c r="F209" i="8"/>
  <c r="G209" i="8"/>
  <c r="H209" i="8"/>
  <c r="I209" i="8"/>
  <c r="J209" i="8"/>
  <c r="K209" i="8"/>
  <c r="L209" i="8"/>
  <c r="M209" i="8"/>
  <c r="N209" i="8"/>
  <c r="O209" i="8"/>
  <c r="P209" i="8"/>
  <c r="Q209" i="8"/>
  <c r="R209" i="8"/>
  <c r="S209" i="8"/>
  <c r="T209" i="8"/>
  <c r="U209" i="8"/>
  <c r="V209" i="8"/>
  <c r="W209" i="8"/>
  <c r="X209" i="8"/>
  <c r="Y209" i="8"/>
  <c r="Z209" i="8"/>
  <c r="AA209" i="8"/>
  <c r="AB209" i="8"/>
  <c r="AC209" i="8"/>
  <c r="AD209" i="8"/>
  <c r="AE209" i="8"/>
  <c r="F10" i="8"/>
  <c r="G10" i="8"/>
  <c r="H10" i="8"/>
  <c r="I10" i="8"/>
  <c r="J10" i="8"/>
  <c r="K10" i="8"/>
  <c r="L10" i="8"/>
  <c r="M10" i="8"/>
  <c r="N10" i="8"/>
  <c r="O10" i="8"/>
  <c r="P10" i="8"/>
  <c r="Q10" i="8"/>
  <c r="R10" i="8"/>
  <c r="S10" i="8"/>
  <c r="T10" i="8"/>
  <c r="U10" i="8"/>
  <c r="V10" i="8"/>
  <c r="W10" i="8"/>
  <c r="X10" i="8"/>
  <c r="Y10" i="8"/>
  <c r="Z10" i="8"/>
  <c r="AA10" i="8"/>
  <c r="AB10" i="8"/>
  <c r="AC10" i="8"/>
  <c r="AD10" i="8"/>
  <c r="AE10" i="8"/>
  <c r="F455" i="8"/>
  <c r="G455" i="8"/>
  <c r="H455" i="8"/>
  <c r="I455" i="8"/>
  <c r="J455" i="8"/>
  <c r="K455" i="8"/>
  <c r="L455" i="8"/>
  <c r="M455" i="8"/>
  <c r="N455" i="8"/>
  <c r="O455" i="8"/>
  <c r="P455" i="8"/>
  <c r="Q455" i="8"/>
  <c r="R455" i="8"/>
  <c r="S455" i="8"/>
  <c r="T455" i="8"/>
  <c r="U455" i="8"/>
  <c r="V455" i="8"/>
  <c r="W455" i="8"/>
  <c r="X455" i="8"/>
  <c r="Y455" i="8"/>
  <c r="Z455" i="8"/>
  <c r="AA455" i="8"/>
  <c r="AB455" i="8"/>
  <c r="AC455" i="8"/>
  <c r="AD455" i="8"/>
  <c r="AE455" i="8"/>
  <c r="F308" i="8"/>
  <c r="G308" i="8"/>
  <c r="H308" i="8"/>
  <c r="I308" i="8"/>
  <c r="J308" i="8"/>
  <c r="K308" i="8"/>
  <c r="L308" i="8"/>
  <c r="M308" i="8"/>
  <c r="N308" i="8"/>
  <c r="O308" i="8"/>
  <c r="P308" i="8"/>
  <c r="Q308" i="8"/>
  <c r="R308" i="8"/>
  <c r="S308" i="8"/>
  <c r="T308" i="8"/>
  <c r="U308" i="8"/>
  <c r="V308" i="8"/>
  <c r="W308" i="8"/>
  <c r="X308" i="8"/>
  <c r="Y308" i="8"/>
  <c r="Z308" i="8"/>
  <c r="AA308" i="8"/>
  <c r="AB308" i="8"/>
  <c r="AC308" i="8"/>
  <c r="AD308" i="8"/>
  <c r="AE308" i="8"/>
  <c r="F21" i="8"/>
  <c r="G21" i="8"/>
  <c r="H21" i="8"/>
  <c r="I21" i="8"/>
  <c r="J21" i="8"/>
  <c r="K21" i="8"/>
  <c r="L21" i="8"/>
  <c r="M21" i="8"/>
  <c r="N21" i="8"/>
  <c r="O21" i="8"/>
  <c r="P21" i="8"/>
  <c r="Q21" i="8"/>
  <c r="R21" i="8"/>
  <c r="S21" i="8"/>
  <c r="T21" i="8"/>
  <c r="U21" i="8"/>
  <c r="V21" i="8"/>
  <c r="W21" i="8"/>
  <c r="X21" i="8"/>
  <c r="Y21" i="8"/>
  <c r="Z21" i="8"/>
  <c r="AA21" i="8"/>
  <c r="AB21" i="8"/>
  <c r="AC21" i="8"/>
  <c r="AD21" i="8"/>
  <c r="AE21" i="8"/>
  <c r="F265" i="8"/>
  <c r="G265" i="8"/>
  <c r="H265" i="8"/>
  <c r="I265" i="8"/>
  <c r="J265" i="8"/>
  <c r="K265" i="8"/>
  <c r="L265" i="8"/>
  <c r="M265" i="8"/>
  <c r="N265" i="8"/>
  <c r="O265" i="8"/>
  <c r="P265" i="8"/>
  <c r="Q265" i="8"/>
  <c r="R265" i="8"/>
  <c r="S265" i="8"/>
  <c r="T265" i="8"/>
  <c r="U265" i="8"/>
  <c r="V265" i="8"/>
  <c r="W265" i="8"/>
  <c r="X265" i="8"/>
  <c r="Y265" i="8"/>
  <c r="Z265" i="8"/>
  <c r="AA265" i="8"/>
  <c r="AB265" i="8"/>
  <c r="AC265" i="8"/>
  <c r="AD265" i="8"/>
  <c r="AE265" i="8"/>
  <c r="F17" i="8"/>
  <c r="G17" i="8"/>
  <c r="H17" i="8"/>
  <c r="I17" i="8"/>
  <c r="J17" i="8"/>
  <c r="K17" i="8"/>
  <c r="L17" i="8"/>
  <c r="M17" i="8"/>
  <c r="N17" i="8"/>
  <c r="O17" i="8"/>
  <c r="P17" i="8"/>
  <c r="Q17" i="8"/>
  <c r="R17" i="8"/>
  <c r="S17" i="8"/>
  <c r="T17" i="8"/>
  <c r="U17" i="8"/>
  <c r="V17" i="8"/>
  <c r="W17" i="8"/>
  <c r="X17" i="8"/>
  <c r="Y17" i="8"/>
  <c r="Z17" i="8"/>
  <c r="AA17" i="8"/>
  <c r="AB17" i="8"/>
  <c r="AC17" i="8"/>
  <c r="AD17" i="8"/>
  <c r="AE17" i="8"/>
  <c r="F222" i="8"/>
  <c r="G222" i="8"/>
  <c r="H222" i="8"/>
  <c r="I222" i="8"/>
  <c r="J222" i="8"/>
  <c r="K222" i="8"/>
  <c r="L222" i="8"/>
  <c r="M222" i="8"/>
  <c r="N222" i="8"/>
  <c r="O222" i="8"/>
  <c r="P222" i="8"/>
  <c r="Q222" i="8"/>
  <c r="R222" i="8"/>
  <c r="S222" i="8"/>
  <c r="T222" i="8"/>
  <c r="U222" i="8"/>
  <c r="V222" i="8"/>
  <c r="W222" i="8"/>
  <c r="X222" i="8"/>
  <c r="Y222" i="8"/>
  <c r="Z222" i="8"/>
  <c r="AA222" i="8"/>
  <c r="AB222" i="8"/>
  <c r="AC222" i="8"/>
  <c r="AD222" i="8"/>
  <c r="AE222" i="8"/>
  <c r="F116" i="8"/>
  <c r="G116" i="8"/>
  <c r="H116" i="8"/>
  <c r="I116" i="8"/>
  <c r="J116" i="8"/>
  <c r="K116" i="8"/>
  <c r="L116" i="8"/>
  <c r="M116" i="8"/>
  <c r="N116" i="8"/>
  <c r="O116" i="8"/>
  <c r="P116" i="8"/>
  <c r="Q116" i="8"/>
  <c r="R116" i="8"/>
  <c r="S116" i="8"/>
  <c r="T116" i="8"/>
  <c r="U116" i="8"/>
  <c r="V116" i="8"/>
  <c r="W116" i="8"/>
  <c r="X116" i="8"/>
  <c r="Y116" i="8"/>
  <c r="Z116" i="8"/>
  <c r="AA116" i="8"/>
  <c r="AB116" i="8"/>
  <c r="AC116" i="8"/>
  <c r="AD116" i="8"/>
  <c r="AE116" i="8"/>
  <c r="F358" i="8"/>
  <c r="G358" i="8"/>
  <c r="H358" i="8"/>
  <c r="I358" i="8"/>
  <c r="J358" i="8"/>
  <c r="K358" i="8"/>
  <c r="L358" i="8"/>
  <c r="M358" i="8"/>
  <c r="N358" i="8"/>
  <c r="O358" i="8"/>
  <c r="P358" i="8"/>
  <c r="Q358" i="8"/>
  <c r="R358" i="8"/>
  <c r="S358" i="8"/>
  <c r="T358" i="8"/>
  <c r="U358" i="8"/>
  <c r="V358" i="8"/>
  <c r="W358" i="8"/>
  <c r="X358" i="8"/>
  <c r="Y358" i="8"/>
  <c r="Z358" i="8"/>
  <c r="AA358" i="8"/>
  <c r="AB358" i="8"/>
  <c r="AC358" i="8"/>
  <c r="AD358" i="8"/>
  <c r="AE358" i="8"/>
  <c r="F537" i="8"/>
  <c r="G537" i="8"/>
  <c r="H537" i="8"/>
  <c r="I537" i="8"/>
  <c r="J537" i="8"/>
  <c r="K537" i="8"/>
  <c r="L537" i="8"/>
  <c r="M537" i="8"/>
  <c r="N537" i="8"/>
  <c r="O537" i="8"/>
  <c r="P537" i="8"/>
  <c r="Q537" i="8"/>
  <c r="R537" i="8"/>
  <c r="S537" i="8"/>
  <c r="T537" i="8"/>
  <c r="U537" i="8"/>
  <c r="V537" i="8"/>
  <c r="W537" i="8"/>
  <c r="X537" i="8"/>
  <c r="Y537" i="8"/>
  <c r="Z537" i="8"/>
  <c r="AA537" i="8"/>
  <c r="AB537" i="8"/>
  <c r="AC537" i="8"/>
  <c r="AD537" i="8"/>
  <c r="AE537" i="8"/>
  <c r="F605" i="8"/>
  <c r="G605" i="8"/>
  <c r="H605" i="8"/>
  <c r="I605" i="8"/>
  <c r="J605" i="8"/>
  <c r="K605" i="8"/>
  <c r="L605" i="8"/>
  <c r="M605" i="8"/>
  <c r="N605" i="8"/>
  <c r="O605" i="8"/>
  <c r="P605" i="8"/>
  <c r="Q605" i="8"/>
  <c r="R605" i="8"/>
  <c r="S605" i="8"/>
  <c r="T605" i="8"/>
  <c r="U605" i="8"/>
  <c r="V605" i="8"/>
  <c r="W605" i="8"/>
  <c r="X605" i="8"/>
  <c r="Y605" i="8"/>
  <c r="Z605" i="8"/>
  <c r="AA605" i="8"/>
  <c r="AB605" i="8"/>
  <c r="AC605" i="8"/>
  <c r="AD605" i="8"/>
  <c r="AE605" i="8"/>
  <c r="F340" i="8"/>
  <c r="G340" i="8"/>
  <c r="H340" i="8"/>
  <c r="I340" i="8"/>
  <c r="J340" i="8"/>
  <c r="K340" i="8"/>
  <c r="L340" i="8"/>
  <c r="M340" i="8"/>
  <c r="N340" i="8"/>
  <c r="O340" i="8"/>
  <c r="P340" i="8"/>
  <c r="Q340" i="8"/>
  <c r="R340" i="8"/>
  <c r="S340" i="8"/>
  <c r="T340" i="8"/>
  <c r="U340" i="8"/>
  <c r="V340" i="8"/>
  <c r="W340" i="8"/>
  <c r="X340" i="8"/>
  <c r="Y340" i="8"/>
  <c r="Z340" i="8"/>
  <c r="AA340" i="8"/>
  <c r="AB340" i="8"/>
  <c r="AC340" i="8"/>
  <c r="AD340" i="8"/>
  <c r="AE340" i="8"/>
  <c r="F474" i="8"/>
  <c r="G474" i="8"/>
  <c r="H474" i="8"/>
  <c r="I474" i="8"/>
  <c r="J474" i="8"/>
  <c r="K474" i="8"/>
  <c r="L474" i="8"/>
  <c r="M474" i="8"/>
  <c r="N474" i="8"/>
  <c r="O474" i="8"/>
  <c r="P474" i="8"/>
  <c r="Q474" i="8"/>
  <c r="R474" i="8"/>
  <c r="S474" i="8"/>
  <c r="T474" i="8"/>
  <c r="U474" i="8"/>
  <c r="V474" i="8"/>
  <c r="W474" i="8"/>
  <c r="X474" i="8"/>
  <c r="Y474" i="8"/>
  <c r="Z474" i="8"/>
  <c r="AA474" i="8"/>
  <c r="AB474" i="8"/>
  <c r="AC474" i="8"/>
  <c r="AD474" i="8"/>
  <c r="AE474" i="8"/>
  <c r="F599" i="8"/>
  <c r="G599" i="8"/>
  <c r="H599" i="8"/>
  <c r="I599" i="8"/>
  <c r="J599" i="8"/>
  <c r="K599" i="8"/>
  <c r="L599" i="8"/>
  <c r="M599" i="8"/>
  <c r="N599" i="8"/>
  <c r="O599" i="8"/>
  <c r="P599" i="8"/>
  <c r="Q599" i="8"/>
  <c r="R599" i="8"/>
  <c r="S599" i="8"/>
  <c r="T599" i="8"/>
  <c r="U599" i="8"/>
  <c r="V599" i="8"/>
  <c r="W599" i="8"/>
  <c r="X599" i="8"/>
  <c r="Y599" i="8"/>
  <c r="Z599" i="8"/>
  <c r="AA599" i="8"/>
  <c r="AB599" i="8"/>
  <c r="AC599" i="8"/>
  <c r="AD599" i="8"/>
  <c r="AE599" i="8"/>
  <c r="F402" i="8"/>
  <c r="G402" i="8"/>
  <c r="H402" i="8"/>
  <c r="I402" i="8"/>
  <c r="J402" i="8"/>
  <c r="K402" i="8"/>
  <c r="L402" i="8"/>
  <c r="M402" i="8"/>
  <c r="N402" i="8"/>
  <c r="O402" i="8"/>
  <c r="P402" i="8"/>
  <c r="Q402" i="8"/>
  <c r="R402" i="8"/>
  <c r="S402" i="8"/>
  <c r="T402" i="8"/>
  <c r="U402" i="8"/>
  <c r="V402" i="8"/>
  <c r="W402" i="8"/>
  <c r="X402" i="8"/>
  <c r="Y402" i="8"/>
  <c r="Z402" i="8"/>
  <c r="AA402" i="8"/>
  <c r="AB402" i="8"/>
  <c r="AC402" i="8"/>
  <c r="AD402" i="8"/>
  <c r="AE402" i="8"/>
  <c r="F98" i="8"/>
  <c r="G98" i="8"/>
  <c r="H98" i="8"/>
  <c r="I98" i="8"/>
  <c r="J98" i="8"/>
  <c r="K98" i="8"/>
  <c r="L98" i="8"/>
  <c r="M98" i="8"/>
  <c r="N98" i="8"/>
  <c r="O98" i="8"/>
  <c r="P98" i="8"/>
  <c r="Q98" i="8"/>
  <c r="R98" i="8"/>
  <c r="S98" i="8"/>
  <c r="T98" i="8"/>
  <c r="U98" i="8"/>
  <c r="V98" i="8"/>
  <c r="W98" i="8"/>
  <c r="X98" i="8"/>
  <c r="Y98" i="8"/>
  <c r="Z98" i="8"/>
  <c r="AA98" i="8"/>
  <c r="AB98" i="8"/>
  <c r="AC98" i="8"/>
  <c r="AD98" i="8"/>
  <c r="AE98" i="8"/>
  <c r="F420" i="8"/>
  <c r="G420" i="8"/>
  <c r="H420" i="8"/>
  <c r="I420" i="8"/>
  <c r="J420" i="8"/>
  <c r="K420" i="8"/>
  <c r="L420" i="8"/>
  <c r="M420" i="8"/>
  <c r="N420" i="8"/>
  <c r="O420" i="8"/>
  <c r="P420" i="8"/>
  <c r="Q420" i="8"/>
  <c r="R420" i="8"/>
  <c r="S420" i="8"/>
  <c r="T420" i="8"/>
  <c r="U420" i="8"/>
  <c r="V420" i="8"/>
  <c r="W420" i="8"/>
  <c r="X420" i="8"/>
  <c r="Y420" i="8"/>
  <c r="Z420" i="8"/>
  <c r="AA420" i="8"/>
  <c r="AB420" i="8"/>
  <c r="AC420" i="8"/>
  <c r="AD420" i="8"/>
  <c r="AE420" i="8"/>
  <c r="F60" i="8"/>
  <c r="G60" i="8"/>
  <c r="H60" i="8"/>
  <c r="I60" i="8"/>
  <c r="J60" i="8"/>
  <c r="K60" i="8"/>
  <c r="L60" i="8"/>
  <c r="M60" i="8"/>
  <c r="N60" i="8"/>
  <c r="O60" i="8"/>
  <c r="P60" i="8"/>
  <c r="Q60" i="8"/>
  <c r="R60" i="8"/>
  <c r="S60" i="8"/>
  <c r="T60" i="8"/>
  <c r="U60" i="8"/>
  <c r="V60" i="8"/>
  <c r="W60" i="8"/>
  <c r="X60" i="8"/>
  <c r="Y60" i="8"/>
  <c r="Z60" i="8"/>
  <c r="AA60" i="8"/>
  <c r="AB60" i="8"/>
  <c r="AC60" i="8"/>
  <c r="AD60" i="8"/>
  <c r="AE60" i="8"/>
  <c r="F594" i="8"/>
  <c r="G594" i="8"/>
  <c r="H594" i="8"/>
  <c r="I594" i="8"/>
  <c r="J594" i="8"/>
  <c r="K594" i="8"/>
  <c r="L594" i="8"/>
  <c r="M594" i="8"/>
  <c r="N594" i="8"/>
  <c r="O594" i="8"/>
  <c r="P594" i="8"/>
  <c r="Q594" i="8"/>
  <c r="R594" i="8"/>
  <c r="S594" i="8"/>
  <c r="T594" i="8"/>
  <c r="U594" i="8"/>
  <c r="V594" i="8"/>
  <c r="W594" i="8"/>
  <c r="X594" i="8"/>
  <c r="Y594" i="8"/>
  <c r="Z594" i="8"/>
  <c r="AA594" i="8"/>
  <c r="AB594" i="8"/>
  <c r="AC594" i="8"/>
  <c r="AD594" i="8"/>
  <c r="AE594" i="8"/>
  <c r="F144" i="8"/>
  <c r="G144" i="8"/>
  <c r="H144" i="8"/>
  <c r="I144" i="8"/>
  <c r="J144" i="8"/>
  <c r="K144" i="8"/>
  <c r="L144" i="8"/>
  <c r="M144" i="8"/>
  <c r="N144" i="8"/>
  <c r="O144" i="8"/>
  <c r="P144" i="8"/>
  <c r="Q144" i="8"/>
  <c r="R144" i="8"/>
  <c r="S144" i="8"/>
  <c r="T144" i="8"/>
  <c r="U144" i="8"/>
  <c r="V144" i="8"/>
  <c r="W144" i="8"/>
  <c r="X144" i="8"/>
  <c r="Y144" i="8"/>
  <c r="Z144" i="8"/>
  <c r="AA144" i="8"/>
  <c r="AB144" i="8"/>
  <c r="AC144" i="8"/>
  <c r="AD144" i="8"/>
  <c r="AE144" i="8"/>
  <c r="F600" i="8"/>
  <c r="G600" i="8"/>
  <c r="H600" i="8"/>
  <c r="I600" i="8"/>
  <c r="J600" i="8"/>
  <c r="K600" i="8"/>
  <c r="L600" i="8"/>
  <c r="M600" i="8"/>
  <c r="N600" i="8"/>
  <c r="O600" i="8"/>
  <c r="P600" i="8"/>
  <c r="Q600" i="8"/>
  <c r="R600" i="8"/>
  <c r="S600" i="8"/>
  <c r="T600" i="8"/>
  <c r="U600" i="8"/>
  <c r="V600" i="8"/>
  <c r="W600" i="8"/>
  <c r="X600" i="8"/>
  <c r="Y600" i="8"/>
  <c r="Z600" i="8"/>
  <c r="AA600" i="8"/>
  <c r="AB600" i="8"/>
  <c r="AC600" i="8"/>
  <c r="AD600" i="8"/>
  <c r="AE600" i="8"/>
  <c r="F248" i="8"/>
  <c r="G248" i="8"/>
  <c r="H248" i="8"/>
  <c r="I248" i="8"/>
  <c r="J248" i="8"/>
  <c r="K248" i="8"/>
  <c r="L248" i="8"/>
  <c r="M248" i="8"/>
  <c r="N248" i="8"/>
  <c r="O248" i="8"/>
  <c r="P248" i="8"/>
  <c r="Q248" i="8"/>
  <c r="R248" i="8"/>
  <c r="S248" i="8"/>
  <c r="T248" i="8"/>
  <c r="U248" i="8"/>
  <c r="V248" i="8"/>
  <c r="W248" i="8"/>
  <c r="X248" i="8"/>
  <c r="Y248" i="8"/>
  <c r="Z248" i="8"/>
  <c r="AA248" i="8"/>
  <c r="AB248" i="8"/>
  <c r="AC248" i="8"/>
  <c r="AD248" i="8"/>
  <c r="AE248" i="8"/>
  <c r="F59" i="8"/>
  <c r="G59" i="8"/>
  <c r="H59" i="8"/>
  <c r="I59" i="8"/>
  <c r="J59" i="8"/>
  <c r="K59" i="8"/>
  <c r="L59" i="8"/>
  <c r="M59" i="8"/>
  <c r="N59" i="8"/>
  <c r="O59" i="8"/>
  <c r="P59" i="8"/>
  <c r="Q59" i="8"/>
  <c r="R59" i="8"/>
  <c r="S59" i="8"/>
  <c r="T59" i="8"/>
  <c r="U59" i="8"/>
  <c r="V59" i="8"/>
  <c r="W59" i="8"/>
  <c r="X59" i="8"/>
  <c r="Y59" i="8"/>
  <c r="Z59" i="8"/>
  <c r="AA59" i="8"/>
  <c r="AB59" i="8"/>
  <c r="AC59" i="8"/>
  <c r="AD59" i="8"/>
  <c r="AE59" i="8"/>
  <c r="F86" i="8"/>
  <c r="G86" i="8"/>
  <c r="H86" i="8"/>
  <c r="I86" i="8"/>
  <c r="J86" i="8"/>
  <c r="K86" i="8"/>
  <c r="L86" i="8"/>
  <c r="M86" i="8"/>
  <c r="N86" i="8"/>
  <c r="O86" i="8"/>
  <c r="P86" i="8"/>
  <c r="Q86" i="8"/>
  <c r="R86" i="8"/>
  <c r="S86" i="8"/>
  <c r="T86" i="8"/>
  <c r="U86" i="8"/>
  <c r="V86" i="8"/>
  <c r="W86" i="8"/>
  <c r="X86" i="8"/>
  <c r="Y86" i="8"/>
  <c r="Z86" i="8"/>
  <c r="AA86" i="8"/>
  <c r="AB86" i="8"/>
  <c r="AC86" i="8"/>
  <c r="AD86" i="8"/>
  <c r="AE86" i="8"/>
  <c r="F53" i="8"/>
  <c r="G53" i="8"/>
  <c r="H53" i="8"/>
  <c r="I53" i="8"/>
  <c r="J53" i="8"/>
  <c r="K53" i="8"/>
  <c r="L53" i="8"/>
  <c r="M53" i="8"/>
  <c r="N53" i="8"/>
  <c r="O53" i="8"/>
  <c r="P53" i="8"/>
  <c r="Q53" i="8"/>
  <c r="R53" i="8"/>
  <c r="S53" i="8"/>
  <c r="T53" i="8"/>
  <c r="U53" i="8"/>
  <c r="V53" i="8"/>
  <c r="W53" i="8"/>
  <c r="X53" i="8"/>
  <c r="Y53" i="8"/>
  <c r="Z53" i="8"/>
  <c r="AA53" i="8"/>
  <c r="AB53" i="8"/>
  <c r="AC53" i="8"/>
  <c r="AD53" i="8"/>
  <c r="AE53" i="8"/>
  <c r="F366" i="8"/>
  <c r="G366" i="8"/>
  <c r="H366" i="8"/>
  <c r="I366" i="8"/>
  <c r="J366" i="8"/>
  <c r="K366" i="8"/>
  <c r="L366" i="8"/>
  <c r="M366" i="8"/>
  <c r="N366" i="8"/>
  <c r="O366" i="8"/>
  <c r="P366" i="8"/>
  <c r="Q366" i="8"/>
  <c r="R366" i="8"/>
  <c r="S366" i="8"/>
  <c r="T366" i="8"/>
  <c r="U366" i="8"/>
  <c r="V366" i="8"/>
  <c r="W366" i="8"/>
  <c r="X366" i="8"/>
  <c r="Y366" i="8"/>
  <c r="Z366" i="8"/>
  <c r="AA366" i="8"/>
  <c r="AB366" i="8"/>
  <c r="AC366" i="8"/>
  <c r="AD366" i="8"/>
  <c r="AE366" i="8"/>
  <c r="F90" i="8"/>
  <c r="G90" i="8"/>
  <c r="H90" i="8"/>
  <c r="I90" i="8"/>
  <c r="J90" i="8"/>
  <c r="K90" i="8"/>
  <c r="L90" i="8"/>
  <c r="M90" i="8"/>
  <c r="N90" i="8"/>
  <c r="O90" i="8"/>
  <c r="P90" i="8"/>
  <c r="Q90" i="8"/>
  <c r="R90" i="8"/>
  <c r="S90" i="8"/>
  <c r="T90" i="8"/>
  <c r="U90" i="8"/>
  <c r="V90" i="8"/>
  <c r="W90" i="8"/>
  <c r="X90" i="8"/>
  <c r="Y90" i="8"/>
  <c r="Z90" i="8"/>
  <c r="AA90" i="8"/>
  <c r="AB90" i="8"/>
  <c r="AC90" i="8"/>
  <c r="AD90" i="8"/>
  <c r="AE90" i="8"/>
  <c r="F54" i="8"/>
  <c r="G54" i="8"/>
  <c r="H54" i="8"/>
  <c r="I54" i="8"/>
  <c r="J54" i="8"/>
  <c r="K54" i="8"/>
  <c r="L54" i="8"/>
  <c r="M54" i="8"/>
  <c r="N54" i="8"/>
  <c r="O54" i="8"/>
  <c r="P54" i="8"/>
  <c r="Q54" i="8"/>
  <c r="R54" i="8"/>
  <c r="S54" i="8"/>
  <c r="T54" i="8"/>
  <c r="U54" i="8"/>
  <c r="V54" i="8"/>
  <c r="W54" i="8"/>
  <c r="X54" i="8"/>
  <c r="Y54" i="8"/>
  <c r="Z54" i="8"/>
  <c r="AA54" i="8"/>
  <c r="AB54" i="8"/>
  <c r="AC54" i="8"/>
  <c r="AD54" i="8"/>
  <c r="AE54" i="8"/>
  <c r="F300" i="8"/>
  <c r="G300" i="8"/>
  <c r="H300" i="8"/>
  <c r="I300" i="8"/>
  <c r="J300" i="8"/>
  <c r="K300" i="8"/>
  <c r="L300" i="8"/>
  <c r="M300" i="8"/>
  <c r="N300" i="8"/>
  <c r="O300" i="8"/>
  <c r="P300" i="8"/>
  <c r="Q300" i="8"/>
  <c r="R300" i="8"/>
  <c r="S300" i="8"/>
  <c r="T300" i="8"/>
  <c r="U300" i="8"/>
  <c r="V300" i="8"/>
  <c r="W300" i="8"/>
  <c r="X300" i="8"/>
  <c r="Y300" i="8"/>
  <c r="Z300" i="8"/>
  <c r="AA300" i="8"/>
  <c r="AB300" i="8"/>
  <c r="AC300" i="8"/>
  <c r="AD300" i="8"/>
  <c r="AE300" i="8"/>
  <c r="F105" i="8"/>
  <c r="G105" i="8"/>
  <c r="H105" i="8"/>
  <c r="I105" i="8"/>
  <c r="J105" i="8"/>
  <c r="K105" i="8"/>
  <c r="L105" i="8"/>
  <c r="M105" i="8"/>
  <c r="N105" i="8"/>
  <c r="O105" i="8"/>
  <c r="P105" i="8"/>
  <c r="Q105" i="8"/>
  <c r="R105" i="8"/>
  <c r="S105" i="8"/>
  <c r="T105" i="8"/>
  <c r="U105" i="8"/>
  <c r="V105" i="8"/>
  <c r="W105" i="8"/>
  <c r="X105" i="8"/>
  <c r="Y105" i="8"/>
  <c r="Z105" i="8"/>
  <c r="AA105" i="8"/>
  <c r="AB105" i="8"/>
  <c r="AC105" i="8"/>
  <c r="AD105" i="8"/>
  <c r="AE105" i="8"/>
  <c r="F326" i="8"/>
  <c r="G326" i="8"/>
  <c r="H326" i="8"/>
  <c r="I326" i="8"/>
  <c r="J326" i="8"/>
  <c r="K326" i="8"/>
  <c r="L326" i="8"/>
  <c r="M326" i="8"/>
  <c r="N326" i="8"/>
  <c r="O326" i="8"/>
  <c r="P326" i="8"/>
  <c r="Q326" i="8"/>
  <c r="R326" i="8"/>
  <c r="S326" i="8"/>
  <c r="T326" i="8"/>
  <c r="U326" i="8"/>
  <c r="V326" i="8"/>
  <c r="W326" i="8"/>
  <c r="X326" i="8"/>
  <c r="Y326" i="8"/>
  <c r="Z326" i="8"/>
  <c r="AA326" i="8"/>
  <c r="AB326" i="8"/>
  <c r="AC326" i="8"/>
  <c r="AD326" i="8"/>
  <c r="AE326" i="8"/>
  <c r="F198" i="8"/>
  <c r="G198" i="8"/>
  <c r="H198" i="8"/>
  <c r="I198" i="8"/>
  <c r="J198" i="8"/>
  <c r="K198" i="8"/>
  <c r="L198" i="8"/>
  <c r="M198" i="8"/>
  <c r="N198" i="8"/>
  <c r="O198" i="8"/>
  <c r="P198" i="8"/>
  <c r="Q198" i="8"/>
  <c r="R198" i="8"/>
  <c r="S198" i="8"/>
  <c r="T198" i="8"/>
  <c r="U198" i="8"/>
  <c r="V198" i="8"/>
  <c r="W198" i="8"/>
  <c r="X198" i="8"/>
  <c r="Y198" i="8"/>
  <c r="Z198" i="8"/>
  <c r="AA198" i="8"/>
  <c r="AB198" i="8"/>
  <c r="AC198" i="8"/>
  <c r="AD198" i="8"/>
  <c r="AE198" i="8"/>
  <c r="F590" i="8"/>
  <c r="G590" i="8"/>
  <c r="H590" i="8"/>
  <c r="I590" i="8"/>
  <c r="J590" i="8"/>
  <c r="K590" i="8"/>
  <c r="L590" i="8"/>
  <c r="M590" i="8"/>
  <c r="N590" i="8"/>
  <c r="O590" i="8"/>
  <c r="P590" i="8"/>
  <c r="Q590" i="8"/>
  <c r="R590" i="8"/>
  <c r="S590" i="8"/>
  <c r="T590" i="8"/>
  <c r="U590" i="8"/>
  <c r="V590" i="8"/>
  <c r="W590" i="8"/>
  <c r="X590" i="8"/>
  <c r="Y590" i="8"/>
  <c r="Z590" i="8"/>
  <c r="AA590" i="8"/>
  <c r="AB590" i="8"/>
  <c r="AC590" i="8"/>
  <c r="AD590" i="8"/>
  <c r="AE590" i="8"/>
  <c r="F226" i="8"/>
  <c r="G226" i="8"/>
  <c r="H226" i="8"/>
  <c r="I226" i="8"/>
  <c r="J226" i="8"/>
  <c r="K226" i="8"/>
  <c r="L226" i="8"/>
  <c r="M226" i="8"/>
  <c r="N226" i="8"/>
  <c r="O226" i="8"/>
  <c r="P226" i="8"/>
  <c r="Q226" i="8"/>
  <c r="R226" i="8"/>
  <c r="S226" i="8"/>
  <c r="T226" i="8"/>
  <c r="U226" i="8"/>
  <c r="V226" i="8"/>
  <c r="W226" i="8"/>
  <c r="X226" i="8"/>
  <c r="Y226" i="8"/>
  <c r="Z226" i="8"/>
  <c r="AA226" i="8"/>
  <c r="AB226" i="8"/>
  <c r="AC226" i="8"/>
  <c r="AD226" i="8"/>
  <c r="AE226" i="8"/>
  <c r="F9" i="8"/>
  <c r="G9" i="8"/>
  <c r="H9" i="8"/>
  <c r="I9" i="8"/>
  <c r="J9" i="8"/>
  <c r="K9" i="8"/>
  <c r="L9" i="8"/>
  <c r="M9" i="8"/>
  <c r="N9" i="8"/>
  <c r="O9" i="8"/>
  <c r="P9" i="8"/>
  <c r="Q9" i="8"/>
  <c r="R9" i="8"/>
  <c r="S9" i="8"/>
  <c r="T9" i="8"/>
  <c r="U9" i="8"/>
  <c r="V9" i="8"/>
  <c r="W9" i="8"/>
  <c r="X9" i="8"/>
  <c r="Y9" i="8"/>
  <c r="Z9" i="8"/>
  <c r="AA9" i="8"/>
  <c r="AB9" i="8"/>
  <c r="AC9" i="8"/>
  <c r="AD9" i="8"/>
  <c r="AE9" i="8"/>
  <c r="F481" i="8"/>
  <c r="G481" i="8"/>
  <c r="H481" i="8"/>
  <c r="I481" i="8"/>
  <c r="J481" i="8"/>
  <c r="K481" i="8"/>
  <c r="L481" i="8"/>
  <c r="M481" i="8"/>
  <c r="N481" i="8"/>
  <c r="O481" i="8"/>
  <c r="P481" i="8"/>
  <c r="Q481" i="8"/>
  <c r="R481" i="8"/>
  <c r="S481" i="8"/>
  <c r="T481" i="8"/>
  <c r="U481" i="8"/>
  <c r="V481" i="8"/>
  <c r="W481" i="8"/>
  <c r="X481" i="8"/>
  <c r="Y481" i="8"/>
  <c r="Z481" i="8"/>
  <c r="AA481" i="8"/>
  <c r="AB481" i="8"/>
  <c r="AC481" i="8"/>
  <c r="AD481" i="8"/>
  <c r="AE481" i="8"/>
  <c r="F299" i="8"/>
  <c r="G299" i="8"/>
  <c r="H299" i="8"/>
  <c r="I299" i="8"/>
  <c r="J299" i="8"/>
  <c r="K299" i="8"/>
  <c r="L299" i="8"/>
  <c r="M299" i="8"/>
  <c r="N299" i="8"/>
  <c r="O299" i="8"/>
  <c r="P299" i="8"/>
  <c r="Q299" i="8"/>
  <c r="R299" i="8"/>
  <c r="S299" i="8"/>
  <c r="T299" i="8"/>
  <c r="U299" i="8"/>
  <c r="V299" i="8"/>
  <c r="W299" i="8"/>
  <c r="X299" i="8"/>
  <c r="Y299" i="8"/>
  <c r="Z299" i="8"/>
  <c r="AA299" i="8"/>
  <c r="AB299" i="8"/>
  <c r="AC299" i="8"/>
  <c r="AD299" i="8"/>
  <c r="AE299" i="8"/>
  <c r="F39" i="8"/>
  <c r="G39" i="8"/>
  <c r="H39" i="8"/>
  <c r="I39" i="8"/>
  <c r="J39" i="8"/>
  <c r="K39" i="8"/>
  <c r="L39" i="8"/>
  <c r="M39" i="8"/>
  <c r="N39" i="8"/>
  <c r="O39" i="8"/>
  <c r="P39" i="8"/>
  <c r="Q39" i="8"/>
  <c r="R39" i="8"/>
  <c r="S39" i="8"/>
  <c r="T39" i="8"/>
  <c r="U39" i="8"/>
  <c r="V39" i="8"/>
  <c r="W39" i="8"/>
  <c r="X39" i="8"/>
  <c r="Y39" i="8"/>
  <c r="Z39" i="8"/>
  <c r="AA39" i="8"/>
  <c r="AB39" i="8"/>
  <c r="AC39" i="8"/>
  <c r="AD39" i="8"/>
  <c r="AE39" i="8"/>
  <c r="F104" i="8"/>
  <c r="G104" i="8"/>
  <c r="H104" i="8"/>
  <c r="I104" i="8"/>
  <c r="J104" i="8"/>
  <c r="K104" i="8"/>
  <c r="L104" i="8"/>
  <c r="M104" i="8"/>
  <c r="N104" i="8"/>
  <c r="O104" i="8"/>
  <c r="P104" i="8"/>
  <c r="Q104" i="8"/>
  <c r="R104" i="8"/>
  <c r="S104" i="8"/>
  <c r="T104" i="8"/>
  <c r="U104" i="8"/>
  <c r="V104" i="8"/>
  <c r="W104" i="8"/>
  <c r="X104" i="8"/>
  <c r="Y104" i="8"/>
  <c r="Z104" i="8"/>
  <c r="AA104" i="8"/>
  <c r="AB104" i="8"/>
  <c r="AC104" i="8"/>
  <c r="AD104" i="8"/>
  <c r="AE104" i="8"/>
  <c r="F5" i="8"/>
  <c r="G5" i="8"/>
  <c r="H5" i="8"/>
  <c r="I5" i="8"/>
  <c r="J5" i="8"/>
  <c r="K5" i="8"/>
  <c r="L5" i="8"/>
  <c r="M5" i="8"/>
  <c r="N5" i="8"/>
  <c r="O5" i="8"/>
  <c r="P5" i="8"/>
  <c r="Q5" i="8"/>
  <c r="R5" i="8"/>
  <c r="S5" i="8"/>
  <c r="T5" i="8"/>
  <c r="U5" i="8"/>
  <c r="V5" i="8"/>
  <c r="W5" i="8"/>
  <c r="X5" i="8"/>
  <c r="Y5" i="8"/>
  <c r="Z5" i="8"/>
  <c r="AA5" i="8"/>
  <c r="AB5" i="8"/>
  <c r="AC5" i="8"/>
  <c r="AD5" i="8"/>
  <c r="AE5" i="8"/>
  <c r="F470" i="8"/>
  <c r="G470" i="8"/>
  <c r="H470" i="8"/>
  <c r="I470" i="8"/>
  <c r="J470" i="8"/>
  <c r="K470" i="8"/>
  <c r="L470" i="8"/>
  <c r="M470" i="8"/>
  <c r="N470" i="8"/>
  <c r="O470" i="8"/>
  <c r="P470" i="8"/>
  <c r="Q470" i="8"/>
  <c r="R470" i="8"/>
  <c r="S470" i="8"/>
  <c r="T470" i="8"/>
  <c r="U470" i="8"/>
  <c r="V470" i="8"/>
  <c r="W470" i="8"/>
  <c r="X470" i="8"/>
  <c r="Y470" i="8"/>
  <c r="Z470" i="8"/>
  <c r="AA470" i="8"/>
  <c r="AB470" i="8"/>
  <c r="AC470" i="8"/>
  <c r="AD470" i="8"/>
  <c r="AE470" i="8"/>
  <c r="F28" i="8"/>
  <c r="G28" i="8"/>
  <c r="H28" i="8"/>
  <c r="I28" i="8"/>
  <c r="J28" i="8"/>
  <c r="K28" i="8"/>
  <c r="L28" i="8"/>
  <c r="M28" i="8"/>
  <c r="N28" i="8"/>
  <c r="O28" i="8"/>
  <c r="P28" i="8"/>
  <c r="Q28" i="8"/>
  <c r="R28" i="8"/>
  <c r="S28" i="8"/>
  <c r="T28" i="8"/>
  <c r="U28" i="8"/>
  <c r="V28" i="8"/>
  <c r="W28" i="8"/>
  <c r="X28" i="8"/>
  <c r="Y28" i="8"/>
  <c r="Z28" i="8"/>
  <c r="AA28" i="8"/>
  <c r="AB28" i="8"/>
  <c r="AC28" i="8"/>
  <c r="AD28" i="8"/>
  <c r="AE28" i="8"/>
  <c r="F157" i="8"/>
  <c r="G157" i="8"/>
  <c r="H157" i="8"/>
  <c r="I157" i="8"/>
  <c r="J157" i="8"/>
  <c r="K157" i="8"/>
  <c r="L157" i="8"/>
  <c r="M157" i="8"/>
  <c r="N157" i="8"/>
  <c r="O157" i="8"/>
  <c r="P157" i="8"/>
  <c r="Q157" i="8"/>
  <c r="R157" i="8"/>
  <c r="S157" i="8"/>
  <c r="T157" i="8"/>
  <c r="U157" i="8"/>
  <c r="V157" i="8"/>
  <c r="W157" i="8"/>
  <c r="X157" i="8"/>
  <c r="Y157" i="8"/>
  <c r="Z157" i="8"/>
  <c r="AA157" i="8"/>
  <c r="AB157" i="8"/>
  <c r="AC157" i="8"/>
  <c r="AD157" i="8"/>
  <c r="AE157" i="8"/>
  <c r="F436" i="8"/>
  <c r="G436" i="8"/>
  <c r="H436" i="8"/>
  <c r="I436" i="8"/>
  <c r="J436" i="8"/>
  <c r="K436" i="8"/>
  <c r="L436" i="8"/>
  <c r="M436" i="8"/>
  <c r="N436" i="8"/>
  <c r="O436" i="8"/>
  <c r="P436" i="8"/>
  <c r="Q436" i="8"/>
  <c r="R436" i="8"/>
  <c r="S436" i="8"/>
  <c r="T436" i="8"/>
  <c r="U436" i="8"/>
  <c r="V436" i="8"/>
  <c r="W436" i="8"/>
  <c r="X436" i="8"/>
  <c r="Y436" i="8"/>
  <c r="Z436" i="8"/>
  <c r="AA436" i="8"/>
  <c r="AB436" i="8"/>
  <c r="AC436" i="8"/>
  <c r="AD436" i="8"/>
  <c r="AE436" i="8"/>
  <c r="F603" i="8"/>
  <c r="G603" i="8"/>
  <c r="H603" i="8"/>
  <c r="I603" i="8"/>
  <c r="J603" i="8"/>
  <c r="K603" i="8"/>
  <c r="L603" i="8"/>
  <c r="M603" i="8"/>
  <c r="N603" i="8"/>
  <c r="O603" i="8"/>
  <c r="P603" i="8"/>
  <c r="Q603" i="8"/>
  <c r="R603" i="8"/>
  <c r="S603" i="8"/>
  <c r="T603" i="8"/>
  <c r="U603" i="8"/>
  <c r="V603" i="8"/>
  <c r="W603" i="8"/>
  <c r="X603" i="8"/>
  <c r="Y603" i="8"/>
  <c r="Z603" i="8"/>
  <c r="AA603" i="8"/>
  <c r="AB603" i="8"/>
  <c r="AC603" i="8"/>
  <c r="AD603" i="8"/>
  <c r="AE603" i="8"/>
  <c r="F14" i="8"/>
  <c r="G14" i="8"/>
  <c r="H14" i="8"/>
  <c r="I14" i="8"/>
  <c r="J14" i="8"/>
  <c r="K14" i="8"/>
  <c r="L14" i="8"/>
  <c r="M14" i="8"/>
  <c r="N14" i="8"/>
  <c r="O14" i="8"/>
  <c r="P14" i="8"/>
  <c r="Q14" i="8"/>
  <c r="R14" i="8"/>
  <c r="S14" i="8"/>
  <c r="T14" i="8"/>
  <c r="U14" i="8"/>
  <c r="V14" i="8"/>
  <c r="W14" i="8"/>
  <c r="X14" i="8"/>
  <c r="Y14" i="8"/>
  <c r="Z14" i="8"/>
  <c r="AA14" i="8"/>
  <c r="AB14" i="8"/>
  <c r="AC14" i="8"/>
  <c r="AD14" i="8"/>
  <c r="AE14" i="8"/>
  <c r="F7" i="8"/>
  <c r="G7" i="8"/>
  <c r="H7" i="8"/>
  <c r="I7" i="8"/>
  <c r="J7" i="8"/>
  <c r="K7" i="8"/>
  <c r="L7" i="8"/>
  <c r="M7" i="8"/>
  <c r="N7" i="8"/>
  <c r="O7" i="8"/>
  <c r="P7" i="8"/>
  <c r="Q7" i="8"/>
  <c r="R7" i="8"/>
  <c r="S7" i="8"/>
  <c r="T7" i="8"/>
  <c r="U7" i="8"/>
  <c r="V7" i="8"/>
  <c r="W7" i="8"/>
  <c r="X7" i="8"/>
  <c r="Y7" i="8"/>
  <c r="Z7" i="8"/>
  <c r="AA7" i="8"/>
  <c r="AB7" i="8"/>
  <c r="AC7" i="8"/>
  <c r="AD7" i="8"/>
  <c r="AE7" i="8"/>
  <c r="F571" i="8"/>
  <c r="G571" i="8"/>
  <c r="H571" i="8"/>
  <c r="I571" i="8"/>
  <c r="J571" i="8"/>
  <c r="K571" i="8"/>
  <c r="L571" i="8"/>
  <c r="M571" i="8"/>
  <c r="N571" i="8"/>
  <c r="O571" i="8"/>
  <c r="P571" i="8"/>
  <c r="Q571" i="8"/>
  <c r="R571" i="8"/>
  <c r="S571" i="8"/>
  <c r="T571" i="8"/>
  <c r="U571" i="8"/>
  <c r="V571" i="8"/>
  <c r="W571" i="8"/>
  <c r="X571" i="8"/>
  <c r="Y571" i="8"/>
  <c r="Z571" i="8"/>
  <c r="AA571" i="8"/>
  <c r="AB571" i="8"/>
  <c r="AC571" i="8"/>
  <c r="AD571" i="8"/>
  <c r="AE571" i="8"/>
  <c r="F146" i="8"/>
  <c r="G146" i="8"/>
  <c r="H146" i="8"/>
  <c r="I146" i="8"/>
  <c r="J146" i="8"/>
  <c r="K146" i="8"/>
  <c r="L146" i="8"/>
  <c r="M146" i="8"/>
  <c r="N146" i="8"/>
  <c r="O146" i="8"/>
  <c r="P146" i="8"/>
  <c r="Q146" i="8"/>
  <c r="R146" i="8"/>
  <c r="S146" i="8"/>
  <c r="T146" i="8"/>
  <c r="U146" i="8"/>
  <c r="V146" i="8"/>
  <c r="W146" i="8"/>
  <c r="X146" i="8"/>
  <c r="Y146" i="8"/>
  <c r="Z146" i="8"/>
  <c r="AA146" i="8"/>
  <c r="AB146" i="8"/>
  <c r="AC146" i="8"/>
  <c r="AD146" i="8"/>
  <c r="AE146" i="8"/>
  <c r="F26" i="8"/>
  <c r="G26" i="8"/>
  <c r="H26" i="8"/>
  <c r="I26" i="8"/>
  <c r="J26" i="8"/>
  <c r="K26" i="8"/>
  <c r="L26" i="8"/>
  <c r="M26" i="8"/>
  <c r="N26" i="8"/>
  <c r="O26" i="8"/>
  <c r="P26" i="8"/>
  <c r="Q26" i="8"/>
  <c r="R26" i="8"/>
  <c r="S26" i="8"/>
  <c r="T26" i="8"/>
  <c r="U26" i="8"/>
  <c r="V26" i="8"/>
  <c r="W26" i="8"/>
  <c r="X26" i="8"/>
  <c r="Y26" i="8"/>
  <c r="Z26" i="8"/>
  <c r="AA26" i="8"/>
  <c r="AB26" i="8"/>
  <c r="AC26" i="8"/>
  <c r="AD26" i="8"/>
  <c r="AE26" i="8"/>
  <c r="F6" i="8"/>
  <c r="G6" i="8"/>
  <c r="H6" i="8"/>
  <c r="I6" i="8"/>
  <c r="J6" i="8"/>
  <c r="K6" i="8"/>
  <c r="L6" i="8"/>
  <c r="M6" i="8"/>
  <c r="N6" i="8"/>
  <c r="O6" i="8"/>
  <c r="P6" i="8"/>
  <c r="Q6" i="8"/>
  <c r="R6" i="8"/>
  <c r="S6" i="8"/>
  <c r="T6" i="8"/>
  <c r="U6" i="8"/>
  <c r="V6" i="8"/>
  <c r="W6" i="8"/>
  <c r="X6" i="8"/>
  <c r="Y6" i="8"/>
  <c r="Z6" i="8"/>
  <c r="AA6" i="8"/>
  <c r="AB6" i="8"/>
  <c r="AC6" i="8"/>
  <c r="AD6" i="8"/>
  <c r="AE6" i="8"/>
  <c r="F12" i="8"/>
  <c r="G12" i="8"/>
  <c r="H12" i="8"/>
  <c r="I12" i="8"/>
  <c r="J12" i="8"/>
  <c r="K12" i="8"/>
  <c r="L12" i="8"/>
  <c r="M12" i="8"/>
  <c r="N12" i="8"/>
  <c r="O12" i="8"/>
  <c r="P12" i="8"/>
  <c r="Q12" i="8"/>
  <c r="R12" i="8"/>
  <c r="S12" i="8"/>
  <c r="T12" i="8"/>
  <c r="U12" i="8"/>
  <c r="V12" i="8"/>
  <c r="W12" i="8"/>
  <c r="X12" i="8"/>
  <c r="Y12" i="8"/>
  <c r="Z12" i="8"/>
  <c r="AA12" i="8"/>
  <c r="AB12" i="8"/>
  <c r="AC12" i="8"/>
  <c r="AD12" i="8"/>
  <c r="AE12" i="8"/>
  <c r="F136" i="8"/>
  <c r="G136" i="8"/>
  <c r="H136" i="8"/>
  <c r="I136" i="8"/>
  <c r="J136" i="8"/>
  <c r="K136" i="8"/>
  <c r="L136" i="8"/>
  <c r="M136" i="8"/>
  <c r="N136" i="8"/>
  <c r="O136" i="8"/>
  <c r="P136" i="8"/>
  <c r="Q136" i="8"/>
  <c r="R136" i="8"/>
  <c r="S136" i="8"/>
  <c r="T136" i="8"/>
  <c r="U136" i="8"/>
  <c r="V136" i="8"/>
  <c r="W136" i="8"/>
  <c r="X136" i="8"/>
  <c r="Y136" i="8"/>
  <c r="Z136" i="8"/>
  <c r="AA136" i="8"/>
  <c r="AB136" i="8"/>
  <c r="AC136" i="8"/>
  <c r="AD136" i="8"/>
  <c r="AE136" i="8"/>
  <c r="F193" i="8"/>
  <c r="G193" i="8"/>
  <c r="H193" i="8"/>
  <c r="I193" i="8"/>
  <c r="J193" i="8"/>
  <c r="K193" i="8"/>
  <c r="L193" i="8"/>
  <c r="M193" i="8"/>
  <c r="N193" i="8"/>
  <c r="O193" i="8"/>
  <c r="P193" i="8"/>
  <c r="Q193" i="8"/>
  <c r="R193" i="8"/>
  <c r="S193" i="8"/>
  <c r="T193" i="8"/>
  <c r="U193" i="8"/>
  <c r="V193" i="8"/>
  <c r="W193" i="8"/>
  <c r="X193" i="8"/>
  <c r="Y193" i="8"/>
  <c r="Z193" i="8"/>
  <c r="AA193" i="8"/>
  <c r="AB193" i="8"/>
  <c r="AC193" i="8"/>
  <c r="AD193" i="8"/>
  <c r="AE193" i="8"/>
  <c r="F48" i="8"/>
  <c r="G48" i="8"/>
  <c r="H48" i="8"/>
  <c r="I48" i="8"/>
  <c r="J48" i="8"/>
  <c r="K48" i="8"/>
  <c r="L48" i="8"/>
  <c r="M48" i="8"/>
  <c r="N48" i="8"/>
  <c r="O48" i="8"/>
  <c r="P48" i="8"/>
  <c r="Q48" i="8"/>
  <c r="R48" i="8"/>
  <c r="S48" i="8"/>
  <c r="T48" i="8"/>
  <c r="U48" i="8"/>
  <c r="V48" i="8"/>
  <c r="W48" i="8"/>
  <c r="X48" i="8"/>
  <c r="Y48" i="8"/>
  <c r="Z48" i="8"/>
  <c r="AA48" i="8"/>
  <c r="AB48" i="8"/>
  <c r="AC48" i="8"/>
  <c r="AD48" i="8"/>
  <c r="AE48" i="8"/>
  <c r="F135" i="8"/>
  <c r="G135" i="8"/>
  <c r="H135" i="8"/>
  <c r="I135" i="8"/>
  <c r="J135" i="8"/>
  <c r="K135" i="8"/>
  <c r="L135" i="8"/>
  <c r="M135" i="8"/>
  <c r="N135" i="8"/>
  <c r="O135" i="8"/>
  <c r="P135" i="8"/>
  <c r="Q135" i="8"/>
  <c r="R135" i="8"/>
  <c r="S135" i="8"/>
  <c r="T135" i="8"/>
  <c r="U135" i="8"/>
  <c r="V135" i="8"/>
  <c r="W135" i="8"/>
  <c r="X135" i="8"/>
  <c r="Y135" i="8"/>
  <c r="Z135" i="8"/>
  <c r="AA135" i="8"/>
  <c r="AB135" i="8"/>
  <c r="AC135" i="8"/>
  <c r="AD135" i="8"/>
  <c r="AE135" i="8"/>
  <c r="F289" i="8"/>
  <c r="G289" i="8"/>
  <c r="H289" i="8"/>
  <c r="I289" i="8"/>
  <c r="J289" i="8"/>
  <c r="K289" i="8"/>
  <c r="L289" i="8"/>
  <c r="M289" i="8"/>
  <c r="N289" i="8"/>
  <c r="O289" i="8"/>
  <c r="P289" i="8"/>
  <c r="Q289" i="8"/>
  <c r="R289" i="8"/>
  <c r="S289" i="8"/>
  <c r="T289" i="8"/>
  <c r="U289" i="8"/>
  <c r="V289" i="8"/>
  <c r="W289" i="8"/>
  <c r="X289" i="8"/>
  <c r="Y289" i="8"/>
  <c r="Z289" i="8"/>
  <c r="AA289" i="8"/>
  <c r="AB289" i="8"/>
  <c r="AC289" i="8"/>
  <c r="AD289" i="8"/>
  <c r="AE289" i="8"/>
  <c r="F37" i="8"/>
  <c r="G37" i="8"/>
  <c r="H37" i="8"/>
  <c r="I37" i="8"/>
  <c r="J37" i="8"/>
  <c r="K37" i="8"/>
  <c r="L37" i="8"/>
  <c r="M37" i="8"/>
  <c r="N37" i="8"/>
  <c r="O37" i="8"/>
  <c r="P37" i="8"/>
  <c r="Q37" i="8"/>
  <c r="R37" i="8"/>
  <c r="S37" i="8"/>
  <c r="T37" i="8"/>
  <c r="U37" i="8"/>
  <c r="V37" i="8"/>
  <c r="W37" i="8"/>
  <c r="X37" i="8"/>
  <c r="Y37" i="8"/>
  <c r="Z37" i="8"/>
  <c r="AA37" i="8"/>
  <c r="AB37" i="8"/>
  <c r="AC37" i="8"/>
  <c r="AD37" i="8"/>
  <c r="AE37" i="8"/>
  <c r="F145" i="8"/>
  <c r="G145" i="8"/>
  <c r="H145" i="8"/>
  <c r="I145" i="8"/>
  <c r="J145" i="8"/>
  <c r="K145" i="8"/>
  <c r="L145" i="8"/>
  <c r="M145" i="8"/>
  <c r="N145" i="8"/>
  <c r="O145" i="8"/>
  <c r="P145" i="8"/>
  <c r="Q145" i="8"/>
  <c r="R145" i="8"/>
  <c r="S145" i="8"/>
  <c r="T145" i="8"/>
  <c r="U145" i="8"/>
  <c r="V145" i="8"/>
  <c r="W145" i="8"/>
  <c r="X145" i="8"/>
  <c r="Y145" i="8"/>
  <c r="Z145" i="8"/>
  <c r="AA145" i="8"/>
  <c r="AB145" i="8"/>
  <c r="AC145" i="8"/>
  <c r="AD145" i="8"/>
  <c r="AE145" i="8"/>
  <c r="F241" i="8"/>
  <c r="G241" i="8"/>
  <c r="H241" i="8"/>
  <c r="I241" i="8"/>
  <c r="J241" i="8"/>
  <c r="K241" i="8"/>
  <c r="L241" i="8"/>
  <c r="M241" i="8"/>
  <c r="N241" i="8"/>
  <c r="O241" i="8"/>
  <c r="P241" i="8"/>
  <c r="Q241" i="8"/>
  <c r="R241" i="8"/>
  <c r="S241" i="8"/>
  <c r="T241" i="8"/>
  <c r="U241" i="8"/>
  <c r="V241" i="8"/>
  <c r="W241" i="8"/>
  <c r="X241" i="8"/>
  <c r="Y241" i="8"/>
  <c r="Z241" i="8"/>
  <c r="AA241" i="8"/>
  <c r="AB241" i="8"/>
  <c r="AC241" i="8"/>
  <c r="AD241" i="8"/>
  <c r="AE241" i="8"/>
  <c r="F214" i="8"/>
  <c r="G214" i="8"/>
  <c r="H214" i="8"/>
  <c r="I214" i="8"/>
  <c r="J214" i="8"/>
  <c r="K214" i="8"/>
  <c r="L214" i="8"/>
  <c r="M214" i="8"/>
  <c r="N214" i="8"/>
  <c r="O214" i="8"/>
  <c r="P214" i="8"/>
  <c r="Q214" i="8"/>
  <c r="R214" i="8"/>
  <c r="S214" i="8"/>
  <c r="T214" i="8"/>
  <c r="U214" i="8"/>
  <c r="V214" i="8"/>
  <c r="W214" i="8"/>
  <c r="X214" i="8"/>
  <c r="Y214" i="8"/>
  <c r="Z214" i="8"/>
  <c r="AA214" i="8"/>
  <c r="AB214" i="8"/>
  <c r="AC214" i="8"/>
  <c r="AD214" i="8"/>
  <c r="AE214" i="8"/>
  <c r="F91" i="8"/>
  <c r="G91" i="8"/>
  <c r="H91" i="8"/>
  <c r="I91" i="8"/>
  <c r="J91" i="8"/>
  <c r="K91" i="8"/>
  <c r="L91" i="8"/>
  <c r="M91" i="8"/>
  <c r="N91" i="8"/>
  <c r="O91" i="8"/>
  <c r="P91" i="8"/>
  <c r="Q91" i="8"/>
  <c r="R91" i="8"/>
  <c r="S91" i="8"/>
  <c r="T91" i="8"/>
  <c r="U91" i="8"/>
  <c r="V91" i="8"/>
  <c r="W91" i="8"/>
  <c r="X91" i="8"/>
  <c r="Y91" i="8"/>
  <c r="Z91" i="8"/>
  <c r="AA91" i="8"/>
  <c r="AB91" i="8"/>
  <c r="AC91" i="8"/>
  <c r="AD91" i="8"/>
  <c r="AE91" i="8"/>
  <c r="F47" i="8"/>
  <c r="G47" i="8"/>
  <c r="H47" i="8"/>
  <c r="I47" i="8"/>
  <c r="J47" i="8"/>
  <c r="K47" i="8"/>
  <c r="L47" i="8"/>
  <c r="M47" i="8"/>
  <c r="N47" i="8"/>
  <c r="O47" i="8"/>
  <c r="P47" i="8"/>
  <c r="Q47" i="8"/>
  <c r="R47" i="8"/>
  <c r="S47" i="8"/>
  <c r="T47" i="8"/>
  <c r="U47" i="8"/>
  <c r="V47" i="8"/>
  <c r="W47" i="8"/>
  <c r="X47" i="8"/>
  <c r="Y47" i="8"/>
  <c r="Z47" i="8"/>
  <c r="AA47" i="8"/>
  <c r="AB47" i="8"/>
  <c r="AC47" i="8"/>
  <c r="AD47" i="8"/>
  <c r="AE47" i="8"/>
  <c r="F52" i="8"/>
  <c r="G52" i="8"/>
  <c r="H52" i="8"/>
  <c r="I52" i="8"/>
  <c r="J52" i="8"/>
  <c r="K52" i="8"/>
  <c r="L52" i="8"/>
  <c r="M52" i="8"/>
  <c r="N52" i="8"/>
  <c r="O52" i="8"/>
  <c r="P52" i="8"/>
  <c r="Q52" i="8"/>
  <c r="R52" i="8"/>
  <c r="S52" i="8"/>
  <c r="T52" i="8"/>
  <c r="U52" i="8"/>
  <c r="V52" i="8"/>
  <c r="W52" i="8"/>
  <c r="X52" i="8"/>
  <c r="Y52" i="8"/>
  <c r="Z52" i="8"/>
  <c r="AA52" i="8"/>
  <c r="AB52" i="8"/>
  <c r="AC52" i="8"/>
  <c r="AD52" i="8"/>
  <c r="AE52" i="8"/>
  <c r="F67" i="8"/>
  <c r="G67" i="8"/>
  <c r="H67" i="8"/>
  <c r="I67" i="8"/>
  <c r="J67" i="8"/>
  <c r="K67" i="8"/>
  <c r="L67" i="8"/>
  <c r="M67" i="8"/>
  <c r="N67" i="8"/>
  <c r="O67" i="8"/>
  <c r="P67" i="8"/>
  <c r="Q67" i="8"/>
  <c r="R67" i="8"/>
  <c r="S67" i="8"/>
  <c r="T67" i="8"/>
  <c r="U67" i="8"/>
  <c r="V67" i="8"/>
  <c r="W67" i="8"/>
  <c r="X67" i="8"/>
  <c r="Y67" i="8"/>
  <c r="Z67" i="8"/>
  <c r="AA67" i="8"/>
  <c r="AB67" i="8"/>
  <c r="AC67" i="8"/>
  <c r="AD67" i="8"/>
  <c r="AE67" i="8"/>
  <c r="F186" i="8"/>
  <c r="G186" i="8"/>
  <c r="H186" i="8"/>
  <c r="I186" i="8"/>
  <c r="J186" i="8"/>
  <c r="K186" i="8"/>
  <c r="L186" i="8"/>
  <c r="M186" i="8"/>
  <c r="N186" i="8"/>
  <c r="O186" i="8"/>
  <c r="P186" i="8"/>
  <c r="Q186" i="8"/>
  <c r="R186" i="8"/>
  <c r="S186" i="8"/>
  <c r="T186" i="8"/>
  <c r="U186" i="8"/>
  <c r="V186" i="8"/>
  <c r="W186" i="8"/>
  <c r="X186" i="8"/>
  <c r="Y186" i="8"/>
  <c r="Z186" i="8"/>
  <c r="AA186" i="8"/>
  <c r="AB186" i="8"/>
  <c r="AC186" i="8"/>
  <c r="AD186" i="8"/>
  <c r="AE186" i="8"/>
  <c r="F4" i="8"/>
  <c r="G4" i="8"/>
  <c r="H4" i="8"/>
  <c r="I4" i="8"/>
  <c r="J4" i="8"/>
  <c r="K4" i="8"/>
  <c r="L4" i="8"/>
  <c r="M4" i="8"/>
  <c r="N4" i="8"/>
  <c r="O4" i="8"/>
  <c r="P4" i="8"/>
  <c r="Q4" i="8"/>
  <c r="R4" i="8"/>
  <c r="S4" i="8"/>
  <c r="T4" i="8"/>
  <c r="U4" i="8"/>
  <c r="V4" i="8"/>
  <c r="W4" i="8"/>
  <c r="X4" i="8"/>
  <c r="Y4" i="8"/>
  <c r="Z4" i="8"/>
  <c r="AA4" i="8"/>
  <c r="AB4" i="8"/>
  <c r="AC4" i="8"/>
  <c r="AD4" i="8"/>
  <c r="AE4" i="8"/>
  <c r="F44" i="8"/>
  <c r="G44" i="8"/>
  <c r="H44" i="8"/>
  <c r="I44" i="8"/>
  <c r="J44" i="8"/>
  <c r="K44" i="8"/>
  <c r="L44" i="8"/>
  <c r="M44" i="8"/>
  <c r="N44" i="8"/>
  <c r="O44" i="8"/>
  <c r="P44" i="8"/>
  <c r="Q44" i="8"/>
  <c r="R44" i="8"/>
  <c r="S44" i="8"/>
  <c r="T44" i="8"/>
  <c r="U44" i="8"/>
  <c r="V44" i="8"/>
  <c r="W44" i="8"/>
  <c r="X44" i="8"/>
  <c r="Y44" i="8"/>
  <c r="Z44" i="8"/>
  <c r="AA44" i="8"/>
  <c r="AB44" i="8"/>
  <c r="AC44" i="8"/>
  <c r="AD44" i="8"/>
  <c r="AE44" i="8"/>
  <c r="F71" i="8"/>
  <c r="G71" i="8"/>
  <c r="H71" i="8"/>
  <c r="I71" i="8"/>
  <c r="J71" i="8"/>
  <c r="K71" i="8"/>
  <c r="L71" i="8"/>
  <c r="M71" i="8"/>
  <c r="N71" i="8"/>
  <c r="O71" i="8"/>
  <c r="P71" i="8"/>
  <c r="Q71" i="8"/>
  <c r="R71" i="8"/>
  <c r="S71" i="8"/>
  <c r="T71" i="8"/>
  <c r="U71" i="8"/>
  <c r="V71" i="8"/>
  <c r="W71" i="8"/>
  <c r="X71" i="8"/>
  <c r="Y71" i="8"/>
  <c r="Z71" i="8"/>
  <c r="AA71" i="8"/>
  <c r="AB71" i="8"/>
  <c r="AC71" i="8"/>
  <c r="AD71" i="8"/>
  <c r="AE71" i="8"/>
  <c r="F202" i="8"/>
  <c r="G202" i="8"/>
  <c r="H202" i="8"/>
  <c r="I202" i="8"/>
  <c r="J202" i="8"/>
  <c r="K202" i="8"/>
  <c r="L202" i="8"/>
  <c r="M202" i="8"/>
  <c r="N202" i="8"/>
  <c r="O202" i="8"/>
  <c r="P202" i="8"/>
  <c r="Q202" i="8"/>
  <c r="R202" i="8"/>
  <c r="S202" i="8"/>
  <c r="T202" i="8"/>
  <c r="U202" i="8"/>
  <c r="V202" i="8"/>
  <c r="W202" i="8"/>
  <c r="X202" i="8"/>
  <c r="Y202" i="8"/>
  <c r="Z202" i="8"/>
  <c r="AA202" i="8"/>
  <c r="AB202" i="8"/>
  <c r="AC202" i="8"/>
  <c r="AD202" i="8"/>
  <c r="AE202" i="8"/>
  <c r="F3" i="8"/>
  <c r="G3" i="8"/>
  <c r="H3" i="8"/>
  <c r="I3" i="8"/>
  <c r="J3" i="8"/>
  <c r="K3" i="8"/>
  <c r="L3" i="8"/>
  <c r="M3" i="8"/>
  <c r="N3" i="8"/>
  <c r="O3" i="8"/>
  <c r="P3" i="8"/>
  <c r="Q3" i="8"/>
  <c r="R3" i="8"/>
  <c r="S3" i="8"/>
  <c r="T3" i="8"/>
  <c r="U3" i="8"/>
  <c r="V3" i="8"/>
  <c r="W3" i="8"/>
  <c r="X3" i="8"/>
  <c r="Y3" i="8"/>
  <c r="Z3" i="8"/>
  <c r="AA3" i="8"/>
  <c r="AB3" i="8"/>
  <c r="AC3" i="8"/>
  <c r="AD3" i="8"/>
  <c r="AE3" i="8"/>
  <c r="F164" i="8"/>
  <c r="G164" i="8"/>
  <c r="H164" i="8"/>
  <c r="I164" i="8"/>
  <c r="J164" i="8"/>
  <c r="K164" i="8"/>
  <c r="L164" i="8"/>
  <c r="M164" i="8"/>
  <c r="N164" i="8"/>
  <c r="O164" i="8"/>
  <c r="P164" i="8"/>
  <c r="Q164" i="8"/>
  <c r="R164" i="8"/>
  <c r="S164" i="8"/>
  <c r="T164" i="8"/>
  <c r="U164" i="8"/>
  <c r="V164" i="8"/>
  <c r="W164" i="8"/>
  <c r="X164" i="8"/>
  <c r="Y164" i="8"/>
  <c r="Z164" i="8"/>
  <c r="AA164" i="8"/>
  <c r="AB164" i="8"/>
  <c r="AC164" i="8"/>
  <c r="AD164" i="8"/>
  <c r="AE164" i="8"/>
  <c r="F11" i="8"/>
  <c r="G11" i="8"/>
  <c r="H11" i="8"/>
  <c r="I11" i="8"/>
  <c r="J11" i="8"/>
  <c r="K11" i="8"/>
  <c r="L11" i="8"/>
  <c r="M11" i="8"/>
  <c r="N11" i="8"/>
  <c r="O11" i="8"/>
  <c r="P11" i="8"/>
  <c r="Q11" i="8"/>
  <c r="R11" i="8"/>
  <c r="S11" i="8"/>
  <c r="T11" i="8"/>
  <c r="U11" i="8"/>
  <c r="V11" i="8"/>
  <c r="W11" i="8"/>
  <c r="X11" i="8"/>
  <c r="Y11" i="8"/>
  <c r="Z11" i="8"/>
  <c r="AA11" i="8"/>
  <c r="AB11" i="8"/>
  <c r="AC11" i="8"/>
  <c r="AD11" i="8"/>
  <c r="AE11" i="8"/>
  <c r="F87" i="8"/>
  <c r="G87" i="8"/>
  <c r="H87" i="8"/>
  <c r="I87" i="8"/>
  <c r="J87" i="8"/>
  <c r="K87" i="8"/>
  <c r="L87" i="8"/>
  <c r="M87" i="8"/>
  <c r="N87" i="8"/>
  <c r="O87" i="8"/>
  <c r="P87" i="8"/>
  <c r="Q87" i="8"/>
  <c r="R87" i="8"/>
  <c r="S87" i="8"/>
  <c r="T87" i="8"/>
  <c r="U87" i="8"/>
  <c r="V87" i="8"/>
  <c r="W87" i="8"/>
  <c r="X87" i="8"/>
  <c r="Y87" i="8"/>
  <c r="Z87" i="8"/>
  <c r="AA87" i="8"/>
  <c r="AB87" i="8"/>
  <c r="AC87" i="8"/>
  <c r="AD87" i="8"/>
  <c r="AE87" i="8"/>
  <c r="F126" i="8"/>
  <c r="G126" i="8"/>
  <c r="H126" i="8"/>
  <c r="I126" i="8"/>
  <c r="J126" i="8"/>
  <c r="K126" i="8"/>
  <c r="L126" i="8"/>
  <c r="M126" i="8"/>
  <c r="N126" i="8"/>
  <c r="O126" i="8"/>
  <c r="P126" i="8"/>
  <c r="Q126" i="8"/>
  <c r="R126" i="8"/>
  <c r="S126" i="8"/>
  <c r="T126" i="8"/>
  <c r="U126" i="8"/>
  <c r="V126" i="8"/>
  <c r="W126" i="8"/>
  <c r="X126" i="8"/>
  <c r="Y126" i="8"/>
  <c r="Z126" i="8"/>
  <c r="AA126" i="8"/>
  <c r="AB126" i="8"/>
  <c r="AC126" i="8"/>
  <c r="AD126" i="8"/>
  <c r="AE126" i="8"/>
  <c r="F22" i="8"/>
  <c r="G22" i="8"/>
  <c r="H22" i="8"/>
  <c r="I22" i="8"/>
  <c r="J22" i="8"/>
  <c r="K22" i="8"/>
  <c r="L22" i="8"/>
  <c r="M22" i="8"/>
  <c r="N22" i="8"/>
  <c r="O22" i="8"/>
  <c r="P22" i="8"/>
  <c r="Q22" i="8"/>
  <c r="R22" i="8"/>
  <c r="S22" i="8"/>
  <c r="T22" i="8"/>
  <c r="U22" i="8"/>
  <c r="V22" i="8"/>
  <c r="W22" i="8"/>
  <c r="X22" i="8"/>
  <c r="Y22" i="8"/>
  <c r="Z22" i="8"/>
  <c r="AA22" i="8"/>
  <c r="AB22" i="8"/>
  <c r="AC22" i="8"/>
  <c r="AD22" i="8"/>
  <c r="AE22" i="8"/>
  <c r="F94" i="8"/>
  <c r="G94" i="8"/>
  <c r="H94" i="8"/>
  <c r="I94" i="8"/>
  <c r="J94" i="8"/>
  <c r="K94" i="8"/>
  <c r="L94" i="8"/>
  <c r="M94" i="8"/>
  <c r="N94" i="8"/>
  <c r="O94" i="8"/>
  <c r="P94" i="8"/>
  <c r="Q94" i="8"/>
  <c r="R94" i="8"/>
  <c r="S94" i="8"/>
  <c r="T94" i="8"/>
  <c r="U94" i="8"/>
  <c r="V94" i="8"/>
  <c r="W94" i="8"/>
  <c r="X94" i="8"/>
  <c r="Y94" i="8"/>
  <c r="Z94" i="8"/>
  <c r="AA94" i="8"/>
  <c r="AB94" i="8"/>
  <c r="AC94" i="8"/>
  <c r="AD94" i="8"/>
  <c r="AE94" i="8"/>
  <c r="F196" i="8"/>
  <c r="G196" i="8"/>
  <c r="H196" i="8"/>
  <c r="I196" i="8"/>
  <c r="J196" i="8"/>
  <c r="K196" i="8"/>
  <c r="L196" i="8"/>
  <c r="M196" i="8"/>
  <c r="N196" i="8"/>
  <c r="O196" i="8"/>
  <c r="P196" i="8"/>
  <c r="Q196" i="8"/>
  <c r="R196" i="8"/>
  <c r="S196" i="8"/>
  <c r="T196" i="8"/>
  <c r="U196" i="8"/>
  <c r="V196" i="8"/>
  <c r="W196" i="8"/>
  <c r="X196" i="8"/>
  <c r="Y196" i="8"/>
  <c r="Z196" i="8"/>
  <c r="AA196" i="8"/>
  <c r="AB196" i="8"/>
  <c r="AC196" i="8"/>
  <c r="AD196" i="8"/>
  <c r="AE196" i="8"/>
  <c r="F79" i="8"/>
  <c r="G79" i="8"/>
  <c r="H79" i="8"/>
  <c r="I79" i="8"/>
  <c r="J79" i="8"/>
  <c r="K79" i="8"/>
  <c r="L79" i="8"/>
  <c r="M79" i="8"/>
  <c r="N79" i="8"/>
  <c r="O79" i="8"/>
  <c r="P79" i="8"/>
  <c r="Q79" i="8"/>
  <c r="R79" i="8"/>
  <c r="S79" i="8"/>
  <c r="T79" i="8"/>
  <c r="U79" i="8"/>
  <c r="V79" i="8"/>
  <c r="W79" i="8"/>
  <c r="X79" i="8"/>
  <c r="Y79" i="8"/>
  <c r="Z79" i="8"/>
  <c r="AA79" i="8"/>
  <c r="AB79" i="8"/>
  <c r="AC79" i="8"/>
  <c r="AD79" i="8"/>
  <c r="AE79" i="8"/>
  <c r="F155" i="8"/>
  <c r="G155" i="8"/>
  <c r="H155" i="8"/>
  <c r="I155" i="8"/>
  <c r="J155" i="8"/>
  <c r="K155" i="8"/>
  <c r="L155" i="8"/>
  <c r="M155" i="8"/>
  <c r="N155" i="8"/>
  <c r="O155" i="8"/>
  <c r="P155" i="8"/>
  <c r="Q155" i="8"/>
  <c r="R155" i="8"/>
  <c r="S155" i="8"/>
  <c r="T155" i="8"/>
  <c r="U155" i="8"/>
  <c r="V155" i="8"/>
  <c r="W155" i="8"/>
  <c r="X155" i="8"/>
  <c r="Y155" i="8"/>
  <c r="Z155" i="8"/>
  <c r="AA155" i="8"/>
  <c r="AB155" i="8"/>
  <c r="AC155" i="8"/>
  <c r="AD155" i="8"/>
  <c r="AE155" i="8"/>
  <c r="F62" i="8"/>
  <c r="G62" i="8"/>
  <c r="H62" i="8"/>
  <c r="I62" i="8"/>
  <c r="J62" i="8"/>
  <c r="K62" i="8"/>
  <c r="L62" i="8"/>
  <c r="M62" i="8"/>
  <c r="N62" i="8"/>
  <c r="O62" i="8"/>
  <c r="P62" i="8"/>
  <c r="Q62" i="8"/>
  <c r="R62" i="8"/>
  <c r="S62" i="8"/>
  <c r="T62" i="8"/>
  <c r="U62" i="8"/>
  <c r="V62" i="8"/>
  <c r="W62" i="8"/>
  <c r="X62" i="8"/>
  <c r="Y62" i="8"/>
  <c r="Z62" i="8"/>
  <c r="AA62" i="8"/>
  <c r="AB62" i="8"/>
  <c r="AC62" i="8"/>
  <c r="AD62" i="8"/>
  <c r="AE62" i="8"/>
  <c r="F355" i="8"/>
  <c r="G355" i="8"/>
  <c r="H355" i="8"/>
  <c r="I355" i="8"/>
  <c r="J355" i="8"/>
  <c r="K355" i="8"/>
  <c r="L355" i="8"/>
  <c r="M355" i="8"/>
  <c r="N355" i="8"/>
  <c r="O355" i="8"/>
  <c r="P355" i="8"/>
  <c r="Q355" i="8"/>
  <c r="R355" i="8"/>
  <c r="S355" i="8"/>
  <c r="T355" i="8"/>
  <c r="U355" i="8"/>
  <c r="V355" i="8"/>
  <c r="W355" i="8"/>
  <c r="X355" i="8"/>
  <c r="Y355" i="8"/>
  <c r="Z355" i="8"/>
  <c r="AA355" i="8"/>
  <c r="AB355" i="8"/>
  <c r="AC355" i="8"/>
  <c r="AD355" i="8"/>
  <c r="AE355" i="8"/>
  <c r="F156" i="8"/>
  <c r="G156" i="8"/>
  <c r="H156" i="8"/>
  <c r="I156" i="8"/>
  <c r="J156" i="8"/>
  <c r="K156" i="8"/>
  <c r="L156" i="8"/>
  <c r="M156" i="8"/>
  <c r="N156" i="8"/>
  <c r="O156" i="8"/>
  <c r="P156" i="8"/>
  <c r="Q156" i="8"/>
  <c r="R156" i="8"/>
  <c r="S156" i="8"/>
  <c r="T156" i="8"/>
  <c r="U156" i="8"/>
  <c r="V156" i="8"/>
  <c r="W156" i="8"/>
  <c r="X156" i="8"/>
  <c r="Y156" i="8"/>
  <c r="Z156" i="8"/>
  <c r="AA156" i="8"/>
  <c r="AB156" i="8"/>
  <c r="AC156" i="8"/>
  <c r="AD156" i="8"/>
  <c r="AE156" i="8"/>
  <c r="F225" i="8"/>
  <c r="G225" i="8"/>
  <c r="H225" i="8"/>
  <c r="I225" i="8"/>
  <c r="J225" i="8"/>
  <c r="K225" i="8"/>
  <c r="L225" i="8"/>
  <c r="M225" i="8"/>
  <c r="N225" i="8"/>
  <c r="O225" i="8"/>
  <c r="P225" i="8"/>
  <c r="Q225" i="8"/>
  <c r="R225" i="8"/>
  <c r="S225" i="8"/>
  <c r="T225" i="8"/>
  <c r="U225" i="8"/>
  <c r="V225" i="8"/>
  <c r="W225" i="8"/>
  <c r="X225" i="8"/>
  <c r="Y225" i="8"/>
  <c r="Z225" i="8"/>
  <c r="AA225" i="8"/>
  <c r="AB225" i="8"/>
  <c r="AC225" i="8"/>
  <c r="AD225" i="8"/>
  <c r="AE225" i="8"/>
  <c r="F267" i="8"/>
  <c r="G267" i="8"/>
  <c r="H267" i="8"/>
  <c r="I267" i="8"/>
  <c r="J267" i="8"/>
  <c r="K267" i="8"/>
  <c r="L267" i="8"/>
  <c r="M267" i="8"/>
  <c r="N267" i="8"/>
  <c r="O267" i="8"/>
  <c r="P267" i="8"/>
  <c r="Q267" i="8"/>
  <c r="R267" i="8"/>
  <c r="S267" i="8"/>
  <c r="T267" i="8"/>
  <c r="U267" i="8"/>
  <c r="V267" i="8"/>
  <c r="W267" i="8"/>
  <c r="X267" i="8"/>
  <c r="Y267" i="8"/>
  <c r="Z267" i="8"/>
  <c r="AA267" i="8"/>
  <c r="AB267" i="8"/>
  <c r="AC267" i="8"/>
  <c r="AD267" i="8"/>
  <c r="AE267" i="8"/>
  <c r="F19" i="8"/>
  <c r="G19" i="8"/>
  <c r="H19" i="8"/>
  <c r="I19" i="8"/>
  <c r="J19" i="8"/>
  <c r="K19" i="8"/>
  <c r="L19" i="8"/>
  <c r="M19" i="8"/>
  <c r="N19" i="8"/>
  <c r="O19" i="8"/>
  <c r="P19" i="8"/>
  <c r="Q19" i="8"/>
  <c r="R19" i="8"/>
  <c r="S19" i="8"/>
  <c r="T19" i="8"/>
  <c r="U19" i="8"/>
  <c r="V19" i="8"/>
  <c r="W19" i="8"/>
  <c r="X19" i="8"/>
  <c r="Y19" i="8"/>
  <c r="Z19" i="8"/>
  <c r="AA19" i="8"/>
  <c r="AB19" i="8"/>
  <c r="AC19" i="8"/>
  <c r="AD19" i="8"/>
  <c r="AE19" i="8"/>
  <c r="F341" i="8"/>
  <c r="G341" i="8"/>
  <c r="H341" i="8"/>
  <c r="I341" i="8"/>
  <c r="J341" i="8"/>
  <c r="K341" i="8"/>
  <c r="L341" i="8"/>
  <c r="M341" i="8"/>
  <c r="N341" i="8"/>
  <c r="O341" i="8"/>
  <c r="P341" i="8"/>
  <c r="Q341" i="8"/>
  <c r="R341" i="8"/>
  <c r="S341" i="8"/>
  <c r="T341" i="8"/>
  <c r="U341" i="8"/>
  <c r="V341" i="8"/>
  <c r="W341" i="8"/>
  <c r="X341" i="8"/>
  <c r="Y341" i="8"/>
  <c r="Z341" i="8"/>
  <c r="AA341" i="8"/>
  <c r="AB341" i="8"/>
  <c r="AC341" i="8"/>
  <c r="AD341" i="8"/>
  <c r="AE341" i="8"/>
  <c r="F24" i="8"/>
  <c r="G24" i="8"/>
  <c r="H24" i="8"/>
  <c r="I24" i="8"/>
  <c r="J24" i="8"/>
  <c r="K24" i="8"/>
  <c r="L24" i="8"/>
  <c r="M24" i="8"/>
  <c r="N24" i="8"/>
  <c r="O24" i="8"/>
  <c r="P24" i="8"/>
  <c r="Q24" i="8"/>
  <c r="R24" i="8"/>
  <c r="S24" i="8"/>
  <c r="T24" i="8"/>
  <c r="U24" i="8"/>
  <c r="V24" i="8"/>
  <c r="W24" i="8"/>
  <c r="X24" i="8"/>
  <c r="Y24" i="8"/>
  <c r="Z24" i="8"/>
  <c r="AA24" i="8"/>
  <c r="AB24" i="8"/>
  <c r="AC24" i="8"/>
  <c r="AD24" i="8"/>
  <c r="AE24" i="8"/>
  <c r="F259" i="8"/>
  <c r="G259" i="8"/>
  <c r="H259" i="8"/>
  <c r="I259" i="8"/>
  <c r="J259" i="8"/>
  <c r="K259" i="8"/>
  <c r="L259" i="8"/>
  <c r="M259" i="8"/>
  <c r="N259" i="8"/>
  <c r="O259" i="8"/>
  <c r="P259" i="8"/>
  <c r="Q259" i="8"/>
  <c r="R259" i="8"/>
  <c r="S259" i="8"/>
  <c r="T259" i="8"/>
  <c r="U259" i="8"/>
  <c r="V259" i="8"/>
  <c r="W259" i="8"/>
  <c r="X259" i="8"/>
  <c r="Y259" i="8"/>
  <c r="Z259" i="8"/>
  <c r="AA259" i="8"/>
  <c r="AB259" i="8"/>
  <c r="AC259" i="8"/>
  <c r="AD259" i="8"/>
  <c r="AE259" i="8"/>
  <c r="F130" i="8"/>
  <c r="G130" i="8"/>
  <c r="H130" i="8"/>
  <c r="I130" i="8"/>
  <c r="J130" i="8"/>
  <c r="K130" i="8"/>
  <c r="L130" i="8"/>
  <c r="M130" i="8"/>
  <c r="N130" i="8"/>
  <c r="O130" i="8"/>
  <c r="P130" i="8"/>
  <c r="Q130" i="8"/>
  <c r="R130" i="8"/>
  <c r="S130" i="8"/>
  <c r="T130" i="8"/>
  <c r="U130" i="8"/>
  <c r="V130" i="8"/>
  <c r="W130" i="8"/>
  <c r="X130" i="8"/>
  <c r="Y130" i="8"/>
  <c r="Z130" i="8"/>
  <c r="AA130" i="8"/>
  <c r="AB130" i="8"/>
  <c r="AC130" i="8"/>
  <c r="AD130" i="8"/>
  <c r="AE130" i="8"/>
  <c r="F159" i="8"/>
  <c r="G159" i="8"/>
  <c r="H159" i="8"/>
  <c r="I159" i="8"/>
  <c r="J159" i="8"/>
  <c r="K159" i="8"/>
  <c r="L159" i="8"/>
  <c r="M159" i="8"/>
  <c r="N159" i="8"/>
  <c r="O159" i="8"/>
  <c r="P159" i="8"/>
  <c r="Q159" i="8"/>
  <c r="R159" i="8"/>
  <c r="S159" i="8"/>
  <c r="T159" i="8"/>
  <c r="U159" i="8"/>
  <c r="V159" i="8"/>
  <c r="W159" i="8"/>
  <c r="X159" i="8"/>
  <c r="Y159" i="8"/>
  <c r="Z159" i="8"/>
  <c r="AA159" i="8"/>
  <c r="AB159" i="8"/>
  <c r="AC159" i="8"/>
  <c r="AD159" i="8"/>
  <c r="AE159" i="8"/>
  <c r="F100" i="8"/>
  <c r="G100" i="8"/>
  <c r="H100" i="8"/>
  <c r="I100" i="8"/>
  <c r="J100" i="8"/>
  <c r="K100" i="8"/>
  <c r="L100" i="8"/>
  <c r="M100" i="8"/>
  <c r="N100" i="8"/>
  <c r="O100" i="8"/>
  <c r="P100" i="8"/>
  <c r="Q100" i="8"/>
  <c r="R100" i="8"/>
  <c r="S100" i="8"/>
  <c r="T100" i="8"/>
  <c r="U100" i="8"/>
  <c r="V100" i="8"/>
  <c r="W100" i="8"/>
  <c r="X100" i="8"/>
  <c r="Y100" i="8"/>
  <c r="Z100" i="8"/>
  <c r="AA100" i="8"/>
  <c r="AB100" i="8"/>
  <c r="AC100" i="8"/>
  <c r="AD100" i="8"/>
  <c r="AE100" i="8"/>
  <c r="F85" i="8"/>
  <c r="G85" i="8"/>
  <c r="H85" i="8"/>
  <c r="I85" i="8"/>
  <c r="J85" i="8"/>
  <c r="K85" i="8"/>
  <c r="L85" i="8"/>
  <c r="M85" i="8"/>
  <c r="N85" i="8"/>
  <c r="O85" i="8"/>
  <c r="P85" i="8"/>
  <c r="Q85" i="8"/>
  <c r="R85" i="8"/>
  <c r="S85" i="8"/>
  <c r="T85" i="8"/>
  <c r="U85" i="8"/>
  <c r="V85" i="8"/>
  <c r="W85" i="8"/>
  <c r="X85" i="8"/>
  <c r="Y85" i="8"/>
  <c r="Z85" i="8"/>
  <c r="AA85" i="8"/>
  <c r="AB85" i="8"/>
  <c r="AC85" i="8"/>
  <c r="AD85" i="8"/>
  <c r="AE85" i="8"/>
  <c r="F464" i="8"/>
  <c r="G464" i="8"/>
  <c r="H464" i="8"/>
  <c r="I464" i="8"/>
  <c r="J464" i="8"/>
  <c r="K464" i="8"/>
  <c r="L464" i="8"/>
  <c r="M464" i="8"/>
  <c r="N464" i="8"/>
  <c r="O464" i="8"/>
  <c r="P464" i="8"/>
  <c r="Q464" i="8"/>
  <c r="R464" i="8"/>
  <c r="S464" i="8"/>
  <c r="T464" i="8"/>
  <c r="U464" i="8"/>
  <c r="V464" i="8"/>
  <c r="W464" i="8"/>
  <c r="X464" i="8"/>
  <c r="Y464" i="8"/>
  <c r="Z464" i="8"/>
  <c r="AA464" i="8"/>
  <c r="AB464" i="8"/>
  <c r="AC464" i="8"/>
  <c r="AD464" i="8"/>
  <c r="AE464" i="8"/>
  <c r="F264" i="8"/>
  <c r="G264" i="8"/>
  <c r="H264" i="8"/>
  <c r="I264" i="8"/>
  <c r="J264" i="8"/>
  <c r="K264" i="8"/>
  <c r="L264" i="8"/>
  <c r="M264" i="8"/>
  <c r="N264" i="8"/>
  <c r="O264" i="8"/>
  <c r="P264" i="8"/>
  <c r="Q264" i="8"/>
  <c r="R264" i="8"/>
  <c r="S264" i="8"/>
  <c r="T264" i="8"/>
  <c r="U264" i="8"/>
  <c r="V264" i="8"/>
  <c r="W264" i="8"/>
  <c r="X264" i="8"/>
  <c r="Y264" i="8"/>
  <c r="Z264" i="8"/>
  <c r="AA264" i="8"/>
  <c r="AB264" i="8"/>
  <c r="AC264" i="8"/>
  <c r="AD264" i="8"/>
  <c r="AE264" i="8"/>
  <c r="F344" i="8"/>
  <c r="G344" i="8"/>
  <c r="H344" i="8"/>
  <c r="I344" i="8"/>
  <c r="J344" i="8"/>
  <c r="K344" i="8"/>
  <c r="L344" i="8"/>
  <c r="M344" i="8"/>
  <c r="N344" i="8"/>
  <c r="O344" i="8"/>
  <c r="P344" i="8"/>
  <c r="Q344" i="8"/>
  <c r="R344" i="8"/>
  <c r="S344" i="8"/>
  <c r="T344" i="8"/>
  <c r="U344" i="8"/>
  <c r="V344" i="8"/>
  <c r="W344" i="8"/>
  <c r="X344" i="8"/>
  <c r="Y344" i="8"/>
  <c r="Z344" i="8"/>
  <c r="AA344" i="8"/>
  <c r="AB344" i="8"/>
  <c r="AC344" i="8"/>
  <c r="AD344" i="8"/>
  <c r="AE344" i="8"/>
  <c r="F208" i="8"/>
  <c r="G208" i="8"/>
  <c r="H208" i="8"/>
  <c r="I208" i="8"/>
  <c r="J208" i="8"/>
  <c r="K208" i="8"/>
  <c r="L208" i="8"/>
  <c r="M208" i="8"/>
  <c r="N208" i="8"/>
  <c r="O208" i="8"/>
  <c r="P208" i="8"/>
  <c r="Q208" i="8"/>
  <c r="R208" i="8"/>
  <c r="S208" i="8"/>
  <c r="T208" i="8"/>
  <c r="U208" i="8"/>
  <c r="V208" i="8"/>
  <c r="W208" i="8"/>
  <c r="X208" i="8"/>
  <c r="Y208" i="8"/>
  <c r="Z208" i="8"/>
  <c r="AA208" i="8"/>
  <c r="AB208" i="8"/>
  <c r="AC208" i="8"/>
  <c r="AD208" i="8"/>
  <c r="AE208" i="8"/>
  <c r="F227" i="8"/>
  <c r="G227" i="8"/>
  <c r="H227" i="8"/>
  <c r="I227" i="8"/>
  <c r="J227" i="8"/>
  <c r="K227" i="8"/>
  <c r="L227" i="8"/>
  <c r="M227" i="8"/>
  <c r="N227" i="8"/>
  <c r="O227" i="8"/>
  <c r="P227" i="8"/>
  <c r="Q227" i="8"/>
  <c r="R227" i="8"/>
  <c r="S227" i="8"/>
  <c r="T227" i="8"/>
  <c r="U227" i="8"/>
  <c r="V227" i="8"/>
  <c r="W227" i="8"/>
  <c r="X227" i="8"/>
  <c r="Y227" i="8"/>
  <c r="Z227" i="8"/>
  <c r="AA227" i="8"/>
  <c r="AB227" i="8"/>
  <c r="AC227" i="8"/>
  <c r="AD227" i="8"/>
  <c r="AE227" i="8"/>
  <c r="F134" i="8"/>
  <c r="G134" i="8"/>
  <c r="H134" i="8"/>
  <c r="I134" i="8"/>
  <c r="J134" i="8"/>
  <c r="K134" i="8"/>
  <c r="L134" i="8"/>
  <c r="M134" i="8"/>
  <c r="N134" i="8"/>
  <c r="O134" i="8"/>
  <c r="P134" i="8"/>
  <c r="Q134" i="8"/>
  <c r="R134" i="8"/>
  <c r="S134" i="8"/>
  <c r="T134" i="8"/>
  <c r="U134" i="8"/>
  <c r="V134" i="8"/>
  <c r="W134" i="8"/>
  <c r="X134" i="8"/>
  <c r="Y134" i="8"/>
  <c r="Z134" i="8"/>
  <c r="AA134" i="8"/>
  <c r="AB134" i="8"/>
  <c r="AC134" i="8"/>
  <c r="AD134" i="8"/>
  <c r="AE134" i="8"/>
  <c r="F438" i="8"/>
  <c r="G438" i="8"/>
  <c r="H438" i="8"/>
  <c r="I438" i="8"/>
  <c r="J438" i="8"/>
  <c r="K438" i="8"/>
  <c r="L438" i="8"/>
  <c r="M438" i="8"/>
  <c r="N438" i="8"/>
  <c r="O438" i="8"/>
  <c r="P438" i="8"/>
  <c r="Q438" i="8"/>
  <c r="R438" i="8"/>
  <c r="S438" i="8"/>
  <c r="T438" i="8"/>
  <c r="U438" i="8"/>
  <c r="V438" i="8"/>
  <c r="W438" i="8"/>
  <c r="X438" i="8"/>
  <c r="Y438" i="8"/>
  <c r="Z438" i="8"/>
  <c r="AA438" i="8"/>
  <c r="AB438" i="8"/>
  <c r="AC438" i="8"/>
  <c r="AD438" i="8"/>
  <c r="AE438" i="8"/>
  <c r="F488" i="8"/>
  <c r="G488" i="8"/>
  <c r="H488" i="8"/>
  <c r="I488" i="8"/>
  <c r="J488" i="8"/>
  <c r="K488" i="8"/>
  <c r="L488" i="8"/>
  <c r="M488" i="8"/>
  <c r="N488" i="8"/>
  <c r="O488" i="8"/>
  <c r="P488" i="8"/>
  <c r="Q488" i="8"/>
  <c r="R488" i="8"/>
  <c r="S488" i="8"/>
  <c r="T488" i="8"/>
  <c r="U488" i="8"/>
  <c r="V488" i="8"/>
  <c r="W488" i="8"/>
  <c r="X488" i="8"/>
  <c r="Y488" i="8"/>
  <c r="Z488" i="8"/>
  <c r="AA488" i="8"/>
  <c r="AB488" i="8"/>
  <c r="AC488" i="8"/>
  <c r="AD488" i="8"/>
  <c r="AE488" i="8"/>
  <c r="F138" i="8"/>
  <c r="G138" i="8"/>
  <c r="H138" i="8"/>
  <c r="I138" i="8"/>
  <c r="J138" i="8"/>
  <c r="K138" i="8"/>
  <c r="L138" i="8"/>
  <c r="M138" i="8"/>
  <c r="N138" i="8"/>
  <c r="O138" i="8"/>
  <c r="P138" i="8"/>
  <c r="Q138" i="8"/>
  <c r="R138" i="8"/>
  <c r="S138" i="8"/>
  <c r="T138" i="8"/>
  <c r="U138" i="8"/>
  <c r="V138" i="8"/>
  <c r="W138" i="8"/>
  <c r="X138" i="8"/>
  <c r="Y138" i="8"/>
  <c r="Z138" i="8"/>
  <c r="AA138" i="8"/>
  <c r="AB138" i="8"/>
  <c r="AC138" i="8"/>
  <c r="AD138" i="8"/>
  <c r="AE138" i="8"/>
  <c r="F125" i="8"/>
  <c r="G125" i="8"/>
  <c r="H125" i="8"/>
  <c r="I125" i="8"/>
  <c r="J125" i="8"/>
  <c r="K125" i="8"/>
  <c r="L125" i="8"/>
  <c r="M125" i="8"/>
  <c r="N125" i="8"/>
  <c r="O125" i="8"/>
  <c r="P125" i="8"/>
  <c r="Q125" i="8"/>
  <c r="R125" i="8"/>
  <c r="S125" i="8"/>
  <c r="T125" i="8"/>
  <c r="U125" i="8"/>
  <c r="V125" i="8"/>
  <c r="W125" i="8"/>
  <c r="X125" i="8"/>
  <c r="Y125" i="8"/>
  <c r="Z125" i="8"/>
  <c r="AA125" i="8"/>
  <c r="AB125" i="8"/>
  <c r="AC125" i="8"/>
  <c r="AD125" i="8"/>
  <c r="AE125" i="8"/>
  <c r="F117" i="8"/>
  <c r="G117" i="8"/>
  <c r="H117" i="8"/>
  <c r="I117" i="8"/>
  <c r="J117" i="8"/>
  <c r="K117" i="8"/>
  <c r="L117" i="8"/>
  <c r="M117" i="8"/>
  <c r="N117" i="8"/>
  <c r="O117" i="8"/>
  <c r="P117" i="8"/>
  <c r="Q117" i="8"/>
  <c r="R117" i="8"/>
  <c r="S117" i="8"/>
  <c r="T117" i="8"/>
  <c r="U117" i="8"/>
  <c r="V117" i="8"/>
  <c r="W117" i="8"/>
  <c r="X117" i="8"/>
  <c r="Y117" i="8"/>
  <c r="Z117" i="8"/>
  <c r="AA117" i="8"/>
  <c r="AB117" i="8"/>
  <c r="AC117" i="8"/>
  <c r="AD117" i="8"/>
  <c r="AE117" i="8"/>
  <c r="F305" i="8"/>
  <c r="G305" i="8"/>
  <c r="H305" i="8"/>
  <c r="I305" i="8"/>
  <c r="J305" i="8"/>
  <c r="K305" i="8"/>
  <c r="L305" i="8"/>
  <c r="M305" i="8"/>
  <c r="N305" i="8"/>
  <c r="O305" i="8"/>
  <c r="P305" i="8"/>
  <c r="Q305" i="8"/>
  <c r="R305" i="8"/>
  <c r="S305" i="8"/>
  <c r="T305" i="8"/>
  <c r="U305" i="8"/>
  <c r="V305" i="8"/>
  <c r="W305" i="8"/>
  <c r="X305" i="8"/>
  <c r="Y305" i="8"/>
  <c r="Z305" i="8"/>
  <c r="AA305" i="8"/>
  <c r="AB305" i="8"/>
  <c r="AC305" i="8"/>
  <c r="AD305" i="8"/>
  <c r="AE305" i="8"/>
  <c r="F99" i="8"/>
  <c r="G99" i="8"/>
  <c r="H99" i="8"/>
  <c r="I99" i="8"/>
  <c r="J99" i="8"/>
  <c r="K99" i="8"/>
  <c r="L99" i="8"/>
  <c r="M99" i="8"/>
  <c r="N99" i="8"/>
  <c r="O99" i="8"/>
  <c r="P99" i="8"/>
  <c r="Q99" i="8"/>
  <c r="R99" i="8"/>
  <c r="S99" i="8"/>
  <c r="T99" i="8"/>
  <c r="U99" i="8"/>
  <c r="V99" i="8"/>
  <c r="W99" i="8"/>
  <c r="X99" i="8"/>
  <c r="Y99" i="8"/>
  <c r="Z99" i="8"/>
  <c r="AA99" i="8"/>
  <c r="AB99" i="8"/>
  <c r="AC99" i="8"/>
  <c r="AD99" i="8"/>
  <c r="AE99" i="8"/>
  <c r="F216" i="8"/>
  <c r="G216" i="8"/>
  <c r="H216" i="8"/>
  <c r="I216" i="8"/>
  <c r="J216" i="8"/>
  <c r="K216" i="8"/>
  <c r="L216" i="8"/>
  <c r="M216" i="8"/>
  <c r="N216" i="8"/>
  <c r="O216" i="8"/>
  <c r="P216" i="8"/>
  <c r="Q216" i="8"/>
  <c r="R216" i="8"/>
  <c r="S216" i="8"/>
  <c r="T216" i="8"/>
  <c r="U216" i="8"/>
  <c r="V216" i="8"/>
  <c r="W216" i="8"/>
  <c r="X216" i="8"/>
  <c r="Y216" i="8"/>
  <c r="Z216" i="8"/>
  <c r="AA216" i="8"/>
  <c r="AB216" i="8"/>
  <c r="AC216" i="8"/>
  <c r="AD216" i="8"/>
  <c r="AE216" i="8"/>
  <c r="F253" i="8"/>
  <c r="G253" i="8"/>
  <c r="H253" i="8"/>
  <c r="I253" i="8"/>
  <c r="J253" i="8"/>
  <c r="K253" i="8"/>
  <c r="L253" i="8"/>
  <c r="M253" i="8"/>
  <c r="N253" i="8"/>
  <c r="O253" i="8"/>
  <c r="P253" i="8"/>
  <c r="Q253" i="8"/>
  <c r="R253" i="8"/>
  <c r="S253" i="8"/>
  <c r="T253" i="8"/>
  <c r="U253" i="8"/>
  <c r="V253" i="8"/>
  <c r="W253" i="8"/>
  <c r="X253" i="8"/>
  <c r="Y253" i="8"/>
  <c r="Z253" i="8"/>
  <c r="AA253" i="8"/>
  <c r="AB253" i="8"/>
  <c r="AC253" i="8"/>
  <c r="AD253" i="8"/>
  <c r="AE253" i="8"/>
  <c r="F290" i="8"/>
  <c r="G290" i="8"/>
  <c r="H290" i="8"/>
  <c r="I290" i="8"/>
  <c r="J290" i="8"/>
  <c r="K290" i="8"/>
  <c r="L290" i="8"/>
  <c r="M290" i="8"/>
  <c r="N290" i="8"/>
  <c r="O290" i="8"/>
  <c r="P290" i="8"/>
  <c r="Q290" i="8"/>
  <c r="R290" i="8"/>
  <c r="S290" i="8"/>
  <c r="T290" i="8"/>
  <c r="U290" i="8"/>
  <c r="V290" i="8"/>
  <c r="W290" i="8"/>
  <c r="X290" i="8"/>
  <c r="Y290" i="8"/>
  <c r="Z290" i="8"/>
  <c r="AA290" i="8"/>
  <c r="AB290" i="8"/>
  <c r="AC290" i="8"/>
  <c r="AD290" i="8"/>
  <c r="AE290" i="8"/>
  <c r="F78" i="8"/>
  <c r="G78" i="8"/>
  <c r="H78" i="8"/>
  <c r="I78" i="8"/>
  <c r="J78" i="8"/>
  <c r="K78" i="8"/>
  <c r="L78" i="8"/>
  <c r="M78" i="8"/>
  <c r="N78" i="8"/>
  <c r="O78" i="8"/>
  <c r="P78" i="8"/>
  <c r="Q78" i="8"/>
  <c r="R78" i="8"/>
  <c r="S78" i="8"/>
  <c r="T78" i="8"/>
  <c r="U78" i="8"/>
  <c r="V78" i="8"/>
  <c r="W78" i="8"/>
  <c r="X78" i="8"/>
  <c r="Y78" i="8"/>
  <c r="Z78" i="8"/>
  <c r="AA78" i="8"/>
  <c r="AB78" i="8"/>
  <c r="AC78" i="8"/>
  <c r="AD78" i="8"/>
  <c r="AE78" i="8"/>
  <c r="F334" i="8"/>
  <c r="G334" i="8"/>
  <c r="H334" i="8"/>
  <c r="I334" i="8"/>
  <c r="J334" i="8"/>
  <c r="K334" i="8"/>
  <c r="L334" i="8"/>
  <c r="M334" i="8"/>
  <c r="N334" i="8"/>
  <c r="O334" i="8"/>
  <c r="P334" i="8"/>
  <c r="Q334" i="8"/>
  <c r="R334" i="8"/>
  <c r="S334" i="8"/>
  <c r="T334" i="8"/>
  <c r="U334" i="8"/>
  <c r="V334" i="8"/>
  <c r="W334" i="8"/>
  <c r="X334" i="8"/>
  <c r="Y334" i="8"/>
  <c r="Z334" i="8"/>
  <c r="AA334" i="8"/>
  <c r="AB334" i="8"/>
  <c r="AC334" i="8"/>
  <c r="AD334" i="8"/>
  <c r="AE334" i="8"/>
  <c r="F391" i="8"/>
  <c r="G391" i="8"/>
  <c r="H391" i="8"/>
  <c r="I391" i="8"/>
  <c r="J391" i="8"/>
  <c r="K391" i="8"/>
  <c r="L391" i="8"/>
  <c r="M391" i="8"/>
  <c r="N391" i="8"/>
  <c r="O391" i="8"/>
  <c r="P391" i="8"/>
  <c r="Q391" i="8"/>
  <c r="R391" i="8"/>
  <c r="S391" i="8"/>
  <c r="T391" i="8"/>
  <c r="U391" i="8"/>
  <c r="V391" i="8"/>
  <c r="W391" i="8"/>
  <c r="X391" i="8"/>
  <c r="Y391" i="8"/>
  <c r="Z391" i="8"/>
  <c r="AA391" i="8"/>
  <c r="AB391" i="8"/>
  <c r="AC391" i="8"/>
  <c r="AD391" i="8"/>
  <c r="AE391" i="8"/>
  <c r="F185" i="8"/>
  <c r="G185" i="8"/>
  <c r="H185" i="8"/>
  <c r="I185" i="8"/>
  <c r="J185" i="8"/>
  <c r="K185" i="8"/>
  <c r="L185" i="8"/>
  <c r="M185" i="8"/>
  <c r="N185" i="8"/>
  <c r="O185" i="8"/>
  <c r="P185" i="8"/>
  <c r="Q185" i="8"/>
  <c r="R185" i="8"/>
  <c r="S185" i="8"/>
  <c r="T185" i="8"/>
  <c r="U185" i="8"/>
  <c r="V185" i="8"/>
  <c r="W185" i="8"/>
  <c r="X185" i="8"/>
  <c r="Y185" i="8"/>
  <c r="Z185" i="8"/>
  <c r="AA185" i="8"/>
  <c r="AB185" i="8"/>
  <c r="AC185" i="8"/>
  <c r="AD185" i="8"/>
  <c r="AE185" i="8"/>
  <c r="F154" i="8"/>
  <c r="G154" i="8"/>
  <c r="H154" i="8"/>
  <c r="I154" i="8"/>
  <c r="J154" i="8"/>
  <c r="K154" i="8"/>
  <c r="L154" i="8"/>
  <c r="M154" i="8"/>
  <c r="N154" i="8"/>
  <c r="O154" i="8"/>
  <c r="P154" i="8"/>
  <c r="Q154" i="8"/>
  <c r="R154" i="8"/>
  <c r="S154" i="8"/>
  <c r="T154" i="8"/>
  <c r="U154" i="8"/>
  <c r="V154" i="8"/>
  <c r="W154" i="8"/>
  <c r="X154" i="8"/>
  <c r="Y154" i="8"/>
  <c r="Z154" i="8"/>
  <c r="AA154" i="8"/>
  <c r="AB154" i="8"/>
  <c r="AC154" i="8"/>
  <c r="AD154" i="8"/>
  <c r="AE154" i="8"/>
  <c r="F406" i="8"/>
  <c r="G406" i="8"/>
  <c r="H406" i="8"/>
  <c r="I406" i="8"/>
  <c r="J406" i="8"/>
  <c r="K406" i="8"/>
  <c r="L406" i="8"/>
  <c r="M406" i="8"/>
  <c r="N406" i="8"/>
  <c r="O406" i="8"/>
  <c r="P406" i="8"/>
  <c r="Q406" i="8"/>
  <c r="R406" i="8"/>
  <c r="S406" i="8"/>
  <c r="T406" i="8"/>
  <c r="U406" i="8"/>
  <c r="V406" i="8"/>
  <c r="W406" i="8"/>
  <c r="X406" i="8"/>
  <c r="Y406" i="8"/>
  <c r="Z406" i="8"/>
  <c r="AA406" i="8"/>
  <c r="AB406" i="8"/>
  <c r="AC406" i="8"/>
  <c r="AD406" i="8"/>
  <c r="AE406" i="8"/>
  <c r="F353" i="8"/>
  <c r="G353" i="8"/>
  <c r="H353" i="8"/>
  <c r="I353" i="8"/>
  <c r="J353" i="8"/>
  <c r="K353" i="8"/>
  <c r="L353" i="8"/>
  <c r="M353" i="8"/>
  <c r="N353" i="8"/>
  <c r="O353" i="8"/>
  <c r="P353" i="8"/>
  <c r="Q353" i="8"/>
  <c r="R353" i="8"/>
  <c r="S353" i="8"/>
  <c r="T353" i="8"/>
  <c r="U353" i="8"/>
  <c r="V353" i="8"/>
  <c r="W353" i="8"/>
  <c r="X353" i="8"/>
  <c r="Y353" i="8"/>
  <c r="Z353" i="8"/>
  <c r="AA353" i="8"/>
  <c r="AB353" i="8"/>
  <c r="AC353" i="8"/>
  <c r="AD353" i="8"/>
  <c r="AE353" i="8"/>
  <c r="F38" i="8"/>
  <c r="G38" i="8"/>
  <c r="H38" i="8"/>
  <c r="I38" i="8"/>
  <c r="J38" i="8"/>
  <c r="K38" i="8"/>
  <c r="L38" i="8"/>
  <c r="M38" i="8"/>
  <c r="N38" i="8"/>
  <c r="O38" i="8"/>
  <c r="P38" i="8"/>
  <c r="Q38" i="8"/>
  <c r="R38" i="8"/>
  <c r="S38" i="8"/>
  <c r="T38" i="8"/>
  <c r="U38" i="8"/>
  <c r="V38" i="8"/>
  <c r="W38" i="8"/>
  <c r="X38" i="8"/>
  <c r="Y38" i="8"/>
  <c r="Z38" i="8"/>
  <c r="AA38" i="8"/>
  <c r="AB38" i="8"/>
  <c r="AC38" i="8"/>
  <c r="AD38" i="8"/>
  <c r="AE38" i="8"/>
  <c r="F469" i="8"/>
  <c r="G469" i="8"/>
  <c r="H469" i="8"/>
  <c r="I469" i="8"/>
  <c r="J469" i="8"/>
  <c r="K469" i="8"/>
  <c r="L469" i="8"/>
  <c r="M469" i="8"/>
  <c r="N469" i="8"/>
  <c r="O469" i="8"/>
  <c r="P469" i="8"/>
  <c r="Q469" i="8"/>
  <c r="R469" i="8"/>
  <c r="S469" i="8"/>
  <c r="T469" i="8"/>
  <c r="U469" i="8"/>
  <c r="V469" i="8"/>
  <c r="W469" i="8"/>
  <c r="X469" i="8"/>
  <c r="Y469" i="8"/>
  <c r="Z469" i="8"/>
  <c r="AA469" i="8"/>
  <c r="AB469" i="8"/>
  <c r="AC469" i="8"/>
  <c r="AD469" i="8"/>
  <c r="AE469" i="8"/>
  <c r="F483" i="8"/>
  <c r="G483" i="8"/>
  <c r="H483" i="8"/>
  <c r="I483" i="8"/>
  <c r="J483" i="8"/>
  <c r="K483" i="8"/>
  <c r="L483" i="8"/>
  <c r="M483" i="8"/>
  <c r="N483" i="8"/>
  <c r="O483" i="8"/>
  <c r="P483" i="8"/>
  <c r="Q483" i="8"/>
  <c r="R483" i="8"/>
  <c r="S483" i="8"/>
  <c r="T483" i="8"/>
  <c r="U483" i="8"/>
  <c r="V483" i="8"/>
  <c r="W483" i="8"/>
  <c r="X483" i="8"/>
  <c r="Y483" i="8"/>
  <c r="Z483" i="8"/>
  <c r="AA483" i="8"/>
  <c r="AB483" i="8"/>
  <c r="AC483" i="8"/>
  <c r="AD483" i="8"/>
  <c r="AE483" i="8"/>
  <c r="F148" i="8"/>
  <c r="G148" i="8"/>
  <c r="H148" i="8"/>
  <c r="I148" i="8"/>
  <c r="J148" i="8"/>
  <c r="K148" i="8"/>
  <c r="L148" i="8"/>
  <c r="M148" i="8"/>
  <c r="N148" i="8"/>
  <c r="O148" i="8"/>
  <c r="P148" i="8"/>
  <c r="Q148" i="8"/>
  <c r="R148" i="8"/>
  <c r="S148" i="8"/>
  <c r="T148" i="8"/>
  <c r="U148" i="8"/>
  <c r="V148" i="8"/>
  <c r="W148" i="8"/>
  <c r="X148" i="8"/>
  <c r="Y148" i="8"/>
  <c r="Z148" i="8"/>
  <c r="AA148" i="8"/>
  <c r="AB148" i="8"/>
  <c r="AC148" i="8"/>
  <c r="AD148" i="8"/>
  <c r="AE148" i="8"/>
  <c r="F16" i="8"/>
  <c r="G16" i="8"/>
  <c r="H16" i="8"/>
  <c r="I16" i="8"/>
  <c r="J16" i="8"/>
  <c r="K16" i="8"/>
  <c r="L16" i="8"/>
  <c r="M16" i="8"/>
  <c r="N16" i="8"/>
  <c r="O16" i="8"/>
  <c r="P16" i="8"/>
  <c r="Q16" i="8"/>
  <c r="R16" i="8"/>
  <c r="S16" i="8"/>
  <c r="T16" i="8"/>
  <c r="U16" i="8"/>
  <c r="V16" i="8"/>
  <c r="W16" i="8"/>
  <c r="X16" i="8"/>
  <c r="Y16" i="8"/>
  <c r="Z16" i="8"/>
  <c r="AA16" i="8"/>
  <c r="AB16" i="8"/>
  <c r="AC16" i="8"/>
  <c r="AD16" i="8"/>
  <c r="AE16" i="8"/>
  <c r="F194" i="8"/>
  <c r="G194" i="8"/>
  <c r="H194" i="8"/>
  <c r="I194" i="8"/>
  <c r="J194" i="8"/>
  <c r="K194" i="8"/>
  <c r="L194" i="8"/>
  <c r="M194" i="8"/>
  <c r="N194" i="8"/>
  <c r="O194" i="8"/>
  <c r="P194" i="8"/>
  <c r="Q194" i="8"/>
  <c r="R194" i="8"/>
  <c r="S194" i="8"/>
  <c r="T194" i="8"/>
  <c r="U194" i="8"/>
  <c r="V194" i="8"/>
  <c r="W194" i="8"/>
  <c r="X194" i="8"/>
  <c r="Y194" i="8"/>
  <c r="Z194" i="8"/>
  <c r="AA194" i="8"/>
  <c r="AB194" i="8"/>
  <c r="AC194" i="8"/>
  <c r="AD194" i="8"/>
  <c r="AE194" i="8"/>
  <c r="F149" i="8"/>
  <c r="G149" i="8"/>
  <c r="H149" i="8"/>
  <c r="I149" i="8"/>
  <c r="J149" i="8"/>
  <c r="K149" i="8"/>
  <c r="L149" i="8"/>
  <c r="M149" i="8"/>
  <c r="N149" i="8"/>
  <c r="O149" i="8"/>
  <c r="P149" i="8"/>
  <c r="Q149" i="8"/>
  <c r="R149" i="8"/>
  <c r="S149" i="8"/>
  <c r="T149" i="8"/>
  <c r="U149" i="8"/>
  <c r="V149" i="8"/>
  <c r="W149" i="8"/>
  <c r="X149" i="8"/>
  <c r="Y149" i="8"/>
  <c r="Z149" i="8"/>
  <c r="AA149" i="8"/>
  <c r="AB149" i="8"/>
  <c r="AC149" i="8"/>
  <c r="AD149" i="8"/>
  <c r="AE149" i="8"/>
  <c r="F31" i="8"/>
  <c r="G31" i="8"/>
  <c r="H31" i="8"/>
  <c r="I31" i="8"/>
  <c r="J31" i="8"/>
  <c r="K31" i="8"/>
  <c r="L31" i="8"/>
  <c r="M31" i="8"/>
  <c r="N31" i="8"/>
  <c r="O31" i="8"/>
  <c r="P31" i="8"/>
  <c r="Q31" i="8"/>
  <c r="R31" i="8"/>
  <c r="S31" i="8"/>
  <c r="T31" i="8"/>
  <c r="U31" i="8"/>
  <c r="V31" i="8"/>
  <c r="W31" i="8"/>
  <c r="X31" i="8"/>
  <c r="Y31" i="8"/>
  <c r="Z31" i="8"/>
  <c r="AA31" i="8"/>
  <c r="AB31" i="8"/>
  <c r="AC31" i="8"/>
  <c r="AD31" i="8"/>
  <c r="AE31" i="8"/>
  <c r="F120" i="8"/>
  <c r="G120" i="8"/>
  <c r="H120" i="8"/>
  <c r="I120" i="8"/>
  <c r="J120" i="8"/>
  <c r="K120" i="8"/>
  <c r="L120" i="8"/>
  <c r="M120" i="8"/>
  <c r="N120" i="8"/>
  <c r="O120" i="8"/>
  <c r="P120" i="8"/>
  <c r="Q120" i="8"/>
  <c r="R120" i="8"/>
  <c r="S120" i="8"/>
  <c r="T120" i="8"/>
  <c r="U120" i="8"/>
  <c r="V120" i="8"/>
  <c r="W120" i="8"/>
  <c r="X120" i="8"/>
  <c r="Y120" i="8"/>
  <c r="Z120" i="8"/>
  <c r="AA120" i="8"/>
  <c r="AB120" i="8"/>
  <c r="AC120" i="8"/>
  <c r="AD120" i="8"/>
  <c r="AE120" i="8"/>
  <c r="F188" i="8"/>
  <c r="G188" i="8"/>
  <c r="H188" i="8"/>
  <c r="I188" i="8"/>
  <c r="J188" i="8"/>
  <c r="K188" i="8"/>
  <c r="L188" i="8"/>
  <c r="M188" i="8"/>
  <c r="N188" i="8"/>
  <c r="O188" i="8"/>
  <c r="P188" i="8"/>
  <c r="Q188" i="8"/>
  <c r="R188" i="8"/>
  <c r="S188" i="8"/>
  <c r="T188" i="8"/>
  <c r="U188" i="8"/>
  <c r="V188" i="8"/>
  <c r="W188" i="8"/>
  <c r="X188" i="8"/>
  <c r="Y188" i="8"/>
  <c r="Z188" i="8"/>
  <c r="AA188" i="8"/>
  <c r="AB188" i="8"/>
  <c r="AC188" i="8"/>
  <c r="AD188" i="8"/>
  <c r="AE188" i="8"/>
  <c r="F25" i="8"/>
  <c r="G25" i="8"/>
  <c r="H25" i="8"/>
  <c r="I25" i="8"/>
  <c r="J25" i="8"/>
  <c r="K25" i="8"/>
  <c r="L25" i="8"/>
  <c r="M25" i="8"/>
  <c r="N25" i="8"/>
  <c r="O25" i="8"/>
  <c r="P25" i="8"/>
  <c r="Q25" i="8"/>
  <c r="R25" i="8"/>
  <c r="S25" i="8"/>
  <c r="T25" i="8"/>
  <c r="U25" i="8"/>
  <c r="V25" i="8"/>
  <c r="W25" i="8"/>
  <c r="X25" i="8"/>
  <c r="Y25" i="8"/>
  <c r="Z25" i="8"/>
  <c r="AA25" i="8"/>
  <c r="AB25" i="8"/>
  <c r="AC25" i="8"/>
  <c r="AD25" i="8"/>
  <c r="AE25" i="8"/>
  <c r="F61" i="8"/>
  <c r="G61" i="8"/>
  <c r="H61" i="8"/>
  <c r="I61" i="8"/>
  <c r="J61" i="8"/>
  <c r="K61" i="8"/>
  <c r="L61" i="8"/>
  <c r="M61" i="8"/>
  <c r="N61" i="8"/>
  <c r="O61" i="8"/>
  <c r="P61" i="8"/>
  <c r="Q61" i="8"/>
  <c r="R61" i="8"/>
  <c r="S61" i="8"/>
  <c r="T61" i="8"/>
  <c r="U61" i="8"/>
  <c r="V61" i="8"/>
  <c r="W61" i="8"/>
  <c r="X61" i="8"/>
  <c r="Y61" i="8"/>
  <c r="Z61" i="8"/>
  <c r="AA61" i="8"/>
  <c r="AB61" i="8"/>
  <c r="AC61" i="8"/>
  <c r="AD61" i="8"/>
  <c r="AE61" i="8"/>
  <c r="F480" i="8"/>
  <c r="G480" i="8"/>
  <c r="H480" i="8"/>
  <c r="I480" i="8"/>
  <c r="J480" i="8"/>
  <c r="K480" i="8"/>
  <c r="L480" i="8"/>
  <c r="M480" i="8"/>
  <c r="N480" i="8"/>
  <c r="O480" i="8"/>
  <c r="P480" i="8"/>
  <c r="Q480" i="8"/>
  <c r="R480" i="8"/>
  <c r="S480" i="8"/>
  <c r="T480" i="8"/>
  <c r="U480" i="8"/>
  <c r="V480" i="8"/>
  <c r="W480" i="8"/>
  <c r="X480" i="8"/>
  <c r="Y480" i="8"/>
  <c r="Z480" i="8"/>
  <c r="AA480" i="8"/>
  <c r="AB480" i="8"/>
  <c r="AC480" i="8"/>
  <c r="AD480" i="8"/>
  <c r="AE480" i="8"/>
  <c r="F195" i="8"/>
  <c r="G195" i="8"/>
  <c r="H195" i="8"/>
  <c r="I195" i="8"/>
  <c r="J195" i="8"/>
  <c r="K195" i="8"/>
  <c r="L195" i="8"/>
  <c r="M195" i="8"/>
  <c r="N195" i="8"/>
  <c r="O195" i="8"/>
  <c r="P195" i="8"/>
  <c r="Q195" i="8"/>
  <c r="R195" i="8"/>
  <c r="S195" i="8"/>
  <c r="T195" i="8"/>
  <c r="U195" i="8"/>
  <c r="V195" i="8"/>
  <c r="W195" i="8"/>
  <c r="X195" i="8"/>
  <c r="Y195" i="8"/>
  <c r="Z195" i="8"/>
  <c r="AA195" i="8"/>
  <c r="AB195" i="8"/>
  <c r="AC195" i="8"/>
  <c r="AD195" i="8"/>
  <c r="AE195" i="8"/>
  <c r="F172" i="8"/>
  <c r="G172" i="8"/>
  <c r="H172" i="8"/>
  <c r="I172" i="8"/>
  <c r="J172" i="8"/>
  <c r="K172" i="8"/>
  <c r="L172" i="8"/>
  <c r="M172" i="8"/>
  <c r="N172" i="8"/>
  <c r="O172" i="8"/>
  <c r="P172" i="8"/>
  <c r="Q172" i="8"/>
  <c r="R172" i="8"/>
  <c r="S172" i="8"/>
  <c r="T172" i="8"/>
  <c r="U172" i="8"/>
  <c r="V172" i="8"/>
  <c r="W172" i="8"/>
  <c r="X172" i="8"/>
  <c r="Y172" i="8"/>
  <c r="Z172" i="8"/>
  <c r="AA172" i="8"/>
  <c r="AB172" i="8"/>
  <c r="AC172" i="8"/>
  <c r="AD172" i="8"/>
  <c r="AE172" i="8"/>
  <c r="F269" i="8"/>
  <c r="G269" i="8"/>
  <c r="H269" i="8"/>
  <c r="I269" i="8"/>
  <c r="J269" i="8"/>
  <c r="K269" i="8"/>
  <c r="L269" i="8"/>
  <c r="M269" i="8"/>
  <c r="N269" i="8"/>
  <c r="O269" i="8"/>
  <c r="P269" i="8"/>
  <c r="Q269" i="8"/>
  <c r="R269" i="8"/>
  <c r="S269" i="8"/>
  <c r="T269" i="8"/>
  <c r="U269" i="8"/>
  <c r="V269" i="8"/>
  <c r="W269" i="8"/>
  <c r="X269" i="8"/>
  <c r="Y269" i="8"/>
  <c r="Z269" i="8"/>
  <c r="AA269" i="8"/>
  <c r="AB269" i="8"/>
  <c r="AC269" i="8"/>
  <c r="AD269" i="8"/>
  <c r="AE269" i="8"/>
  <c r="F76" i="8"/>
  <c r="G76" i="8"/>
  <c r="H76" i="8"/>
  <c r="I76" i="8"/>
  <c r="J76" i="8"/>
  <c r="K76" i="8"/>
  <c r="L76" i="8"/>
  <c r="M76" i="8"/>
  <c r="N76" i="8"/>
  <c r="O76" i="8"/>
  <c r="P76" i="8"/>
  <c r="Q76" i="8"/>
  <c r="R76" i="8"/>
  <c r="S76" i="8"/>
  <c r="T76" i="8"/>
  <c r="U76" i="8"/>
  <c r="V76" i="8"/>
  <c r="W76" i="8"/>
  <c r="X76" i="8"/>
  <c r="Y76" i="8"/>
  <c r="Z76" i="8"/>
  <c r="AA76" i="8"/>
  <c r="AB76" i="8"/>
  <c r="AC76" i="8"/>
  <c r="AD76" i="8"/>
  <c r="AE76" i="8"/>
  <c r="F77" i="8"/>
  <c r="G77" i="8"/>
  <c r="H77" i="8"/>
  <c r="I77" i="8"/>
  <c r="J77" i="8"/>
  <c r="K77" i="8"/>
  <c r="L77" i="8"/>
  <c r="M77" i="8"/>
  <c r="N77" i="8"/>
  <c r="O77" i="8"/>
  <c r="P77" i="8"/>
  <c r="Q77" i="8"/>
  <c r="R77" i="8"/>
  <c r="S77" i="8"/>
  <c r="T77" i="8"/>
  <c r="U77" i="8"/>
  <c r="V77" i="8"/>
  <c r="W77" i="8"/>
  <c r="X77" i="8"/>
  <c r="Y77" i="8"/>
  <c r="Z77" i="8"/>
  <c r="AA77" i="8"/>
  <c r="AB77" i="8"/>
  <c r="AC77" i="8"/>
  <c r="AD77" i="8"/>
  <c r="AE77" i="8"/>
  <c r="F407" i="8"/>
  <c r="G407" i="8"/>
  <c r="H407" i="8"/>
  <c r="I407" i="8"/>
  <c r="J407" i="8"/>
  <c r="K407" i="8"/>
  <c r="L407" i="8"/>
  <c r="M407" i="8"/>
  <c r="N407" i="8"/>
  <c r="O407" i="8"/>
  <c r="P407" i="8"/>
  <c r="Q407" i="8"/>
  <c r="R407" i="8"/>
  <c r="S407" i="8"/>
  <c r="T407" i="8"/>
  <c r="U407" i="8"/>
  <c r="V407" i="8"/>
  <c r="W407" i="8"/>
  <c r="X407" i="8"/>
  <c r="Y407" i="8"/>
  <c r="Z407" i="8"/>
  <c r="AA407" i="8"/>
  <c r="AB407" i="8"/>
  <c r="AC407" i="8"/>
  <c r="AD407" i="8"/>
  <c r="AE407" i="8"/>
  <c r="F280" i="8"/>
  <c r="G280" i="8"/>
  <c r="H280" i="8"/>
  <c r="I280" i="8"/>
  <c r="J280" i="8"/>
  <c r="K280" i="8"/>
  <c r="L280" i="8"/>
  <c r="M280" i="8"/>
  <c r="N280" i="8"/>
  <c r="O280" i="8"/>
  <c r="P280" i="8"/>
  <c r="Q280" i="8"/>
  <c r="R280" i="8"/>
  <c r="S280" i="8"/>
  <c r="T280" i="8"/>
  <c r="U280" i="8"/>
  <c r="V280" i="8"/>
  <c r="W280" i="8"/>
  <c r="X280" i="8"/>
  <c r="Y280" i="8"/>
  <c r="Z280" i="8"/>
  <c r="AA280" i="8"/>
  <c r="AB280" i="8"/>
  <c r="AC280" i="8"/>
  <c r="AD280" i="8"/>
  <c r="AE280" i="8"/>
  <c r="F103" i="8"/>
  <c r="G103" i="8"/>
  <c r="H103" i="8"/>
  <c r="I103" i="8"/>
  <c r="J103" i="8"/>
  <c r="K103" i="8"/>
  <c r="L103" i="8"/>
  <c r="M103" i="8"/>
  <c r="N103" i="8"/>
  <c r="O103" i="8"/>
  <c r="P103" i="8"/>
  <c r="Q103" i="8"/>
  <c r="R103" i="8"/>
  <c r="S103" i="8"/>
  <c r="T103" i="8"/>
  <c r="U103" i="8"/>
  <c r="V103" i="8"/>
  <c r="W103" i="8"/>
  <c r="X103" i="8"/>
  <c r="Y103" i="8"/>
  <c r="Z103" i="8"/>
  <c r="AA103" i="8"/>
  <c r="AB103" i="8"/>
  <c r="AC103" i="8"/>
  <c r="AD103" i="8"/>
  <c r="AE103" i="8"/>
  <c r="F169" i="8"/>
  <c r="G169" i="8"/>
  <c r="H169" i="8"/>
  <c r="I169" i="8"/>
  <c r="J169" i="8"/>
  <c r="K169" i="8"/>
  <c r="L169" i="8"/>
  <c r="M169" i="8"/>
  <c r="N169" i="8"/>
  <c r="O169" i="8"/>
  <c r="P169" i="8"/>
  <c r="Q169" i="8"/>
  <c r="R169" i="8"/>
  <c r="S169" i="8"/>
  <c r="T169" i="8"/>
  <c r="U169" i="8"/>
  <c r="V169" i="8"/>
  <c r="W169" i="8"/>
  <c r="X169" i="8"/>
  <c r="Y169" i="8"/>
  <c r="Z169" i="8"/>
  <c r="AA169" i="8"/>
  <c r="AB169" i="8"/>
  <c r="AC169" i="8"/>
  <c r="AD169" i="8"/>
  <c r="AE169" i="8"/>
  <c r="F573" i="8"/>
  <c r="G573" i="8"/>
  <c r="H573" i="8"/>
  <c r="I573" i="8"/>
  <c r="J573" i="8"/>
  <c r="K573" i="8"/>
  <c r="L573" i="8"/>
  <c r="M573" i="8"/>
  <c r="N573" i="8"/>
  <c r="O573" i="8"/>
  <c r="P573" i="8"/>
  <c r="Q573" i="8"/>
  <c r="R573" i="8"/>
  <c r="S573" i="8"/>
  <c r="T573" i="8"/>
  <c r="U573" i="8"/>
  <c r="V573" i="8"/>
  <c r="W573" i="8"/>
  <c r="X573" i="8"/>
  <c r="Y573" i="8"/>
  <c r="Z573" i="8"/>
  <c r="AA573" i="8"/>
  <c r="AB573" i="8"/>
  <c r="AC573" i="8"/>
  <c r="AD573" i="8"/>
  <c r="AE573" i="8"/>
  <c r="F298" i="8"/>
  <c r="G298" i="8"/>
  <c r="H298" i="8"/>
  <c r="I298" i="8"/>
  <c r="J298" i="8"/>
  <c r="K298" i="8"/>
  <c r="L298" i="8"/>
  <c r="M298" i="8"/>
  <c r="N298" i="8"/>
  <c r="O298" i="8"/>
  <c r="P298" i="8"/>
  <c r="Q298" i="8"/>
  <c r="R298" i="8"/>
  <c r="S298" i="8"/>
  <c r="T298" i="8"/>
  <c r="U298" i="8"/>
  <c r="V298" i="8"/>
  <c r="W298" i="8"/>
  <c r="X298" i="8"/>
  <c r="Y298" i="8"/>
  <c r="Z298" i="8"/>
  <c r="AA298" i="8"/>
  <c r="AB298" i="8"/>
  <c r="AC298" i="8"/>
  <c r="AD298" i="8"/>
  <c r="AE298" i="8"/>
  <c r="F66" i="8"/>
  <c r="G66" i="8"/>
  <c r="H66" i="8"/>
  <c r="I66" i="8"/>
  <c r="J66" i="8"/>
  <c r="K66" i="8"/>
  <c r="L66" i="8"/>
  <c r="M66" i="8"/>
  <c r="N66" i="8"/>
  <c r="O66" i="8"/>
  <c r="P66" i="8"/>
  <c r="Q66" i="8"/>
  <c r="R66" i="8"/>
  <c r="S66" i="8"/>
  <c r="T66" i="8"/>
  <c r="U66" i="8"/>
  <c r="V66" i="8"/>
  <c r="W66" i="8"/>
  <c r="X66" i="8"/>
  <c r="Y66" i="8"/>
  <c r="Z66" i="8"/>
  <c r="AA66" i="8"/>
  <c r="AB66" i="8"/>
  <c r="AC66" i="8"/>
  <c r="AD66" i="8"/>
  <c r="AE66" i="8"/>
  <c r="F589" i="8"/>
  <c r="G589" i="8"/>
  <c r="H589" i="8"/>
  <c r="I589" i="8"/>
  <c r="J589" i="8"/>
  <c r="K589" i="8"/>
  <c r="L589" i="8"/>
  <c r="M589" i="8"/>
  <c r="N589" i="8"/>
  <c r="O589" i="8"/>
  <c r="P589" i="8"/>
  <c r="Q589" i="8"/>
  <c r="R589" i="8"/>
  <c r="S589" i="8"/>
  <c r="T589" i="8"/>
  <c r="U589" i="8"/>
  <c r="V589" i="8"/>
  <c r="W589" i="8"/>
  <c r="X589" i="8"/>
  <c r="Y589" i="8"/>
  <c r="Z589" i="8"/>
  <c r="AA589" i="8"/>
  <c r="AB589" i="8"/>
  <c r="AC589" i="8"/>
  <c r="AD589" i="8"/>
  <c r="AE589" i="8"/>
  <c r="F184" i="8"/>
  <c r="G184" i="8"/>
  <c r="H184" i="8"/>
  <c r="I184" i="8"/>
  <c r="J184" i="8"/>
  <c r="K184" i="8"/>
  <c r="L184" i="8"/>
  <c r="M184" i="8"/>
  <c r="N184" i="8"/>
  <c r="O184" i="8"/>
  <c r="P184" i="8"/>
  <c r="Q184" i="8"/>
  <c r="R184" i="8"/>
  <c r="S184" i="8"/>
  <c r="T184" i="8"/>
  <c r="U184" i="8"/>
  <c r="V184" i="8"/>
  <c r="W184" i="8"/>
  <c r="X184" i="8"/>
  <c r="Y184" i="8"/>
  <c r="Z184" i="8"/>
  <c r="AA184" i="8"/>
  <c r="AB184" i="8"/>
  <c r="AC184" i="8"/>
  <c r="AD184" i="8"/>
  <c r="AE184" i="8"/>
  <c r="F487" i="8"/>
  <c r="G487" i="8"/>
  <c r="H487" i="8"/>
  <c r="I487" i="8"/>
  <c r="J487" i="8"/>
  <c r="K487" i="8"/>
  <c r="L487" i="8"/>
  <c r="M487" i="8"/>
  <c r="N487" i="8"/>
  <c r="O487" i="8"/>
  <c r="P487" i="8"/>
  <c r="Q487" i="8"/>
  <c r="R487" i="8"/>
  <c r="S487" i="8"/>
  <c r="T487" i="8"/>
  <c r="U487" i="8"/>
  <c r="V487" i="8"/>
  <c r="W487" i="8"/>
  <c r="X487" i="8"/>
  <c r="Y487" i="8"/>
  <c r="Z487" i="8"/>
  <c r="AA487" i="8"/>
  <c r="AB487" i="8"/>
  <c r="AC487" i="8"/>
  <c r="AD487" i="8"/>
  <c r="AE487" i="8"/>
  <c r="F542" i="8"/>
  <c r="G542" i="8"/>
  <c r="H542" i="8"/>
  <c r="I542" i="8"/>
  <c r="J542" i="8"/>
  <c r="K542" i="8"/>
  <c r="L542" i="8"/>
  <c r="M542" i="8"/>
  <c r="N542" i="8"/>
  <c r="O542" i="8"/>
  <c r="P542" i="8"/>
  <c r="Q542" i="8"/>
  <c r="R542" i="8"/>
  <c r="S542" i="8"/>
  <c r="T542" i="8"/>
  <c r="U542" i="8"/>
  <c r="V542" i="8"/>
  <c r="W542" i="8"/>
  <c r="X542" i="8"/>
  <c r="Y542" i="8"/>
  <c r="Z542" i="8"/>
  <c r="AA542" i="8"/>
  <c r="AB542" i="8"/>
  <c r="AC542" i="8"/>
  <c r="AD542" i="8"/>
  <c r="AE542" i="8"/>
  <c r="F514" i="8"/>
  <c r="G514" i="8"/>
  <c r="H514" i="8"/>
  <c r="I514" i="8"/>
  <c r="J514" i="8"/>
  <c r="K514" i="8"/>
  <c r="L514" i="8"/>
  <c r="M514" i="8"/>
  <c r="N514" i="8"/>
  <c r="O514" i="8"/>
  <c r="P514" i="8"/>
  <c r="Q514" i="8"/>
  <c r="R514" i="8"/>
  <c r="S514" i="8"/>
  <c r="T514" i="8"/>
  <c r="U514" i="8"/>
  <c r="V514" i="8"/>
  <c r="W514" i="8"/>
  <c r="X514" i="8"/>
  <c r="Y514" i="8"/>
  <c r="Z514" i="8"/>
  <c r="AA514" i="8"/>
  <c r="AB514" i="8"/>
  <c r="AC514" i="8"/>
  <c r="AD514" i="8"/>
  <c r="AE514" i="8"/>
  <c r="F43" i="8"/>
  <c r="G43" i="8"/>
  <c r="H43" i="8"/>
  <c r="I43" i="8"/>
  <c r="J43" i="8"/>
  <c r="K43" i="8"/>
  <c r="L43" i="8"/>
  <c r="M43" i="8"/>
  <c r="N43" i="8"/>
  <c r="O43" i="8"/>
  <c r="P43" i="8"/>
  <c r="Q43" i="8"/>
  <c r="R43" i="8"/>
  <c r="S43" i="8"/>
  <c r="T43" i="8"/>
  <c r="U43" i="8"/>
  <c r="V43" i="8"/>
  <c r="W43" i="8"/>
  <c r="X43" i="8"/>
  <c r="Y43" i="8"/>
  <c r="Z43" i="8"/>
  <c r="AA43" i="8"/>
  <c r="AB43" i="8"/>
  <c r="AC43" i="8"/>
  <c r="AD43" i="8"/>
  <c r="AE43" i="8"/>
  <c r="F18" i="8"/>
  <c r="G18" i="8"/>
  <c r="H18" i="8"/>
  <c r="I18" i="8"/>
  <c r="J18" i="8"/>
  <c r="K18" i="8"/>
  <c r="L18" i="8"/>
  <c r="M18" i="8"/>
  <c r="N18" i="8"/>
  <c r="O18" i="8"/>
  <c r="P18" i="8"/>
  <c r="Q18" i="8"/>
  <c r="R18" i="8"/>
  <c r="S18" i="8"/>
  <c r="T18" i="8"/>
  <c r="U18" i="8"/>
  <c r="V18" i="8"/>
  <c r="W18" i="8"/>
  <c r="X18" i="8"/>
  <c r="Y18" i="8"/>
  <c r="Z18" i="8"/>
  <c r="AA18" i="8"/>
  <c r="AB18" i="8"/>
  <c r="AC18" i="8"/>
  <c r="AD18" i="8"/>
  <c r="AE18" i="8"/>
  <c r="F251" i="8"/>
  <c r="G251" i="8"/>
  <c r="H251" i="8"/>
  <c r="I251" i="8"/>
  <c r="J251" i="8"/>
  <c r="K251" i="8"/>
  <c r="L251" i="8"/>
  <c r="M251" i="8"/>
  <c r="N251" i="8"/>
  <c r="O251" i="8"/>
  <c r="P251" i="8"/>
  <c r="Q251" i="8"/>
  <c r="R251" i="8"/>
  <c r="S251" i="8"/>
  <c r="T251" i="8"/>
  <c r="U251" i="8"/>
  <c r="V251" i="8"/>
  <c r="W251" i="8"/>
  <c r="X251" i="8"/>
  <c r="Y251" i="8"/>
  <c r="Z251" i="8"/>
  <c r="AA251" i="8"/>
  <c r="AB251" i="8"/>
  <c r="AC251" i="8"/>
  <c r="AD251" i="8"/>
  <c r="AE251" i="8"/>
  <c r="F310" i="8"/>
  <c r="G310" i="8"/>
  <c r="H310" i="8"/>
  <c r="I310" i="8"/>
  <c r="J310" i="8"/>
  <c r="K310" i="8"/>
  <c r="L310" i="8"/>
  <c r="M310" i="8"/>
  <c r="N310" i="8"/>
  <c r="O310" i="8"/>
  <c r="P310" i="8"/>
  <c r="Q310" i="8"/>
  <c r="R310" i="8"/>
  <c r="S310" i="8"/>
  <c r="T310" i="8"/>
  <c r="U310" i="8"/>
  <c r="V310" i="8"/>
  <c r="W310" i="8"/>
  <c r="X310" i="8"/>
  <c r="Y310" i="8"/>
  <c r="Z310" i="8"/>
  <c r="AA310" i="8"/>
  <c r="AB310" i="8"/>
  <c r="AC310" i="8"/>
  <c r="AD310" i="8"/>
  <c r="AE310" i="8"/>
  <c r="F151" i="8"/>
  <c r="G151" i="8"/>
  <c r="H151" i="8"/>
  <c r="I151" i="8"/>
  <c r="J151" i="8"/>
  <c r="K151" i="8"/>
  <c r="L151" i="8"/>
  <c r="M151" i="8"/>
  <c r="N151" i="8"/>
  <c r="O151" i="8"/>
  <c r="P151" i="8"/>
  <c r="Q151" i="8"/>
  <c r="R151" i="8"/>
  <c r="S151" i="8"/>
  <c r="T151" i="8"/>
  <c r="U151" i="8"/>
  <c r="V151" i="8"/>
  <c r="W151" i="8"/>
  <c r="X151" i="8"/>
  <c r="Y151" i="8"/>
  <c r="Z151" i="8"/>
  <c r="AA151" i="8"/>
  <c r="AB151" i="8"/>
  <c r="AC151" i="8"/>
  <c r="AD151" i="8"/>
  <c r="AE151" i="8"/>
  <c r="F476" i="8"/>
  <c r="G476" i="8"/>
  <c r="H476" i="8"/>
  <c r="I476" i="8"/>
  <c r="J476" i="8"/>
  <c r="K476" i="8"/>
  <c r="L476" i="8"/>
  <c r="M476" i="8"/>
  <c r="N476" i="8"/>
  <c r="O476" i="8"/>
  <c r="P476" i="8"/>
  <c r="Q476" i="8"/>
  <c r="R476" i="8"/>
  <c r="S476" i="8"/>
  <c r="T476" i="8"/>
  <c r="U476" i="8"/>
  <c r="V476" i="8"/>
  <c r="W476" i="8"/>
  <c r="X476" i="8"/>
  <c r="Y476" i="8"/>
  <c r="Z476" i="8"/>
  <c r="AA476" i="8"/>
  <c r="AB476" i="8"/>
  <c r="AC476" i="8"/>
  <c r="AD476" i="8"/>
  <c r="AE476" i="8"/>
  <c r="F243" i="8"/>
  <c r="G243" i="8"/>
  <c r="H243" i="8"/>
  <c r="I243" i="8"/>
  <c r="J243" i="8"/>
  <c r="K243" i="8"/>
  <c r="L243" i="8"/>
  <c r="M243" i="8"/>
  <c r="N243" i="8"/>
  <c r="O243" i="8"/>
  <c r="P243" i="8"/>
  <c r="Q243" i="8"/>
  <c r="R243" i="8"/>
  <c r="S243" i="8"/>
  <c r="T243" i="8"/>
  <c r="U243" i="8"/>
  <c r="V243" i="8"/>
  <c r="W243" i="8"/>
  <c r="X243" i="8"/>
  <c r="Y243" i="8"/>
  <c r="Z243" i="8"/>
  <c r="AA243" i="8"/>
  <c r="AB243" i="8"/>
  <c r="AC243" i="8"/>
  <c r="AD243" i="8"/>
  <c r="AE243" i="8"/>
  <c r="F51" i="8"/>
  <c r="G51" i="8"/>
  <c r="H51" i="8"/>
  <c r="I51" i="8"/>
  <c r="J51" i="8"/>
  <c r="K51" i="8"/>
  <c r="L51" i="8"/>
  <c r="M51" i="8"/>
  <c r="N51" i="8"/>
  <c r="O51" i="8"/>
  <c r="P51" i="8"/>
  <c r="Q51" i="8"/>
  <c r="R51" i="8"/>
  <c r="S51" i="8"/>
  <c r="T51" i="8"/>
  <c r="U51" i="8"/>
  <c r="V51" i="8"/>
  <c r="W51" i="8"/>
  <c r="X51" i="8"/>
  <c r="Y51" i="8"/>
  <c r="Z51" i="8"/>
  <c r="AA51" i="8"/>
  <c r="AB51" i="8"/>
  <c r="AC51" i="8"/>
  <c r="AD51" i="8"/>
  <c r="AE51" i="8"/>
  <c r="F379" i="8"/>
  <c r="G379" i="8"/>
  <c r="H379" i="8"/>
  <c r="I379" i="8"/>
  <c r="J379" i="8"/>
  <c r="K379" i="8"/>
  <c r="L379" i="8"/>
  <c r="M379" i="8"/>
  <c r="N379" i="8"/>
  <c r="O379" i="8"/>
  <c r="P379" i="8"/>
  <c r="Q379" i="8"/>
  <c r="R379" i="8"/>
  <c r="S379" i="8"/>
  <c r="T379" i="8"/>
  <c r="U379" i="8"/>
  <c r="V379" i="8"/>
  <c r="W379" i="8"/>
  <c r="X379" i="8"/>
  <c r="Y379" i="8"/>
  <c r="Z379" i="8"/>
  <c r="AA379" i="8"/>
  <c r="AB379" i="8"/>
  <c r="AC379" i="8"/>
  <c r="AD379" i="8"/>
  <c r="AE379" i="8"/>
  <c r="F450" i="8"/>
  <c r="G450" i="8"/>
  <c r="H450" i="8"/>
  <c r="I450" i="8"/>
  <c r="J450" i="8"/>
  <c r="K450" i="8"/>
  <c r="L450" i="8"/>
  <c r="M450" i="8"/>
  <c r="N450" i="8"/>
  <c r="O450" i="8"/>
  <c r="P450" i="8"/>
  <c r="Q450" i="8"/>
  <c r="R450" i="8"/>
  <c r="S450" i="8"/>
  <c r="T450" i="8"/>
  <c r="U450" i="8"/>
  <c r="V450" i="8"/>
  <c r="W450" i="8"/>
  <c r="X450" i="8"/>
  <c r="Y450" i="8"/>
  <c r="Z450" i="8"/>
  <c r="AA450" i="8"/>
  <c r="AB450" i="8"/>
  <c r="AC450" i="8"/>
  <c r="AD450" i="8"/>
  <c r="AE450" i="8"/>
  <c r="F370" i="8"/>
  <c r="G370" i="8"/>
  <c r="H370" i="8"/>
  <c r="I370" i="8"/>
  <c r="J370" i="8"/>
  <c r="K370" i="8"/>
  <c r="L370" i="8"/>
  <c r="M370" i="8"/>
  <c r="N370" i="8"/>
  <c r="O370" i="8"/>
  <c r="P370" i="8"/>
  <c r="Q370" i="8"/>
  <c r="R370" i="8"/>
  <c r="S370" i="8"/>
  <c r="T370" i="8"/>
  <c r="U370" i="8"/>
  <c r="V370" i="8"/>
  <c r="W370" i="8"/>
  <c r="X370" i="8"/>
  <c r="Y370" i="8"/>
  <c r="Z370" i="8"/>
  <c r="AA370" i="8"/>
  <c r="AB370" i="8"/>
  <c r="AC370" i="8"/>
  <c r="AD370" i="8"/>
  <c r="AE370" i="8"/>
  <c r="F559" i="8"/>
  <c r="G559" i="8"/>
  <c r="H559" i="8"/>
  <c r="I559" i="8"/>
  <c r="J559" i="8"/>
  <c r="K559" i="8"/>
  <c r="L559" i="8"/>
  <c r="M559" i="8"/>
  <c r="N559" i="8"/>
  <c r="O559" i="8"/>
  <c r="P559" i="8"/>
  <c r="Q559" i="8"/>
  <c r="R559" i="8"/>
  <c r="S559" i="8"/>
  <c r="T559" i="8"/>
  <c r="U559" i="8"/>
  <c r="V559" i="8"/>
  <c r="W559" i="8"/>
  <c r="X559" i="8"/>
  <c r="Y559" i="8"/>
  <c r="Z559" i="8"/>
  <c r="AA559" i="8"/>
  <c r="AB559" i="8"/>
  <c r="AC559" i="8"/>
  <c r="AD559" i="8"/>
  <c r="AE559" i="8"/>
  <c r="F381" i="8"/>
  <c r="G381" i="8"/>
  <c r="H381" i="8"/>
  <c r="I381" i="8"/>
  <c r="J381" i="8"/>
  <c r="K381" i="8"/>
  <c r="L381" i="8"/>
  <c r="M381" i="8"/>
  <c r="N381" i="8"/>
  <c r="O381" i="8"/>
  <c r="P381" i="8"/>
  <c r="Q381" i="8"/>
  <c r="R381" i="8"/>
  <c r="S381" i="8"/>
  <c r="T381" i="8"/>
  <c r="U381" i="8"/>
  <c r="V381" i="8"/>
  <c r="W381" i="8"/>
  <c r="X381" i="8"/>
  <c r="Y381" i="8"/>
  <c r="Z381" i="8"/>
  <c r="AA381" i="8"/>
  <c r="AB381" i="8"/>
  <c r="AC381" i="8"/>
  <c r="AD381" i="8"/>
  <c r="AE381" i="8"/>
  <c r="F343" i="8"/>
  <c r="G343" i="8"/>
  <c r="H343" i="8"/>
  <c r="I343" i="8"/>
  <c r="J343" i="8"/>
  <c r="K343" i="8"/>
  <c r="L343" i="8"/>
  <c r="M343" i="8"/>
  <c r="N343" i="8"/>
  <c r="O343" i="8"/>
  <c r="P343" i="8"/>
  <c r="Q343" i="8"/>
  <c r="R343" i="8"/>
  <c r="S343" i="8"/>
  <c r="T343" i="8"/>
  <c r="U343" i="8"/>
  <c r="V343" i="8"/>
  <c r="W343" i="8"/>
  <c r="X343" i="8"/>
  <c r="Y343" i="8"/>
  <c r="Z343" i="8"/>
  <c r="AA343" i="8"/>
  <c r="AB343" i="8"/>
  <c r="AC343" i="8"/>
  <c r="AD343" i="8"/>
  <c r="AE343" i="8"/>
  <c r="F81" i="8"/>
  <c r="G81" i="8"/>
  <c r="H81" i="8"/>
  <c r="I81" i="8"/>
  <c r="J81" i="8"/>
  <c r="K81" i="8"/>
  <c r="L81" i="8"/>
  <c r="M81" i="8"/>
  <c r="N81" i="8"/>
  <c r="O81" i="8"/>
  <c r="P81" i="8"/>
  <c r="Q81" i="8"/>
  <c r="R81" i="8"/>
  <c r="S81" i="8"/>
  <c r="T81" i="8"/>
  <c r="U81" i="8"/>
  <c r="V81" i="8"/>
  <c r="W81" i="8"/>
  <c r="X81" i="8"/>
  <c r="Y81" i="8"/>
  <c r="Z81" i="8"/>
  <c r="AA81" i="8"/>
  <c r="AB81" i="8"/>
  <c r="AC81" i="8"/>
  <c r="AD81" i="8"/>
  <c r="AE81" i="8"/>
  <c r="F34" i="8"/>
  <c r="G34" i="8"/>
  <c r="H34" i="8"/>
  <c r="I34" i="8"/>
  <c r="J34" i="8"/>
  <c r="K34" i="8"/>
  <c r="L34" i="8"/>
  <c r="M34" i="8"/>
  <c r="N34" i="8"/>
  <c r="O34" i="8"/>
  <c r="P34" i="8"/>
  <c r="Q34" i="8"/>
  <c r="R34" i="8"/>
  <c r="S34" i="8"/>
  <c r="T34" i="8"/>
  <c r="U34" i="8"/>
  <c r="V34" i="8"/>
  <c r="W34" i="8"/>
  <c r="X34" i="8"/>
  <c r="Y34" i="8"/>
  <c r="Z34" i="8"/>
  <c r="AA34" i="8"/>
  <c r="AB34" i="8"/>
  <c r="AC34" i="8"/>
  <c r="AD34" i="8"/>
  <c r="AE34" i="8"/>
  <c r="F65" i="8"/>
  <c r="G65" i="8"/>
  <c r="H65" i="8"/>
  <c r="I65" i="8"/>
  <c r="J65" i="8"/>
  <c r="K65" i="8"/>
  <c r="L65" i="8"/>
  <c r="M65" i="8"/>
  <c r="N65" i="8"/>
  <c r="O65" i="8"/>
  <c r="P65" i="8"/>
  <c r="Q65" i="8"/>
  <c r="R65" i="8"/>
  <c r="S65" i="8"/>
  <c r="T65" i="8"/>
  <c r="U65" i="8"/>
  <c r="V65" i="8"/>
  <c r="W65" i="8"/>
  <c r="X65" i="8"/>
  <c r="Y65" i="8"/>
  <c r="Z65" i="8"/>
  <c r="AA65" i="8"/>
  <c r="AB65" i="8"/>
  <c r="AC65" i="8"/>
  <c r="AD65" i="8"/>
  <c r="AE65" i="8"/>
  <c r="F84" i="8"/>
  <c r="G84" i="8"/>
  <c r="H84" i="8"/>
  <c r="I84" i="8"/>
  <c r="J84" i="8"/>
  <c r="K84" i="8"/>
  <c r="L84" i="8"/>
  <c r="M84" i="8"/>
  <c r="N84" i="8"/>
  <c r="O84" i="8"/>
  <c r="P84" i="8"/>
  <c r="Q84" i="8"/>
  <c r="R84" i="8"/>
  <c r="S84" i="8"/>
  <c r="T84" i="8"/>
  <c r="U84" i="8"/>
  <c r="V84" i="8"/>
  <c r="W84" i="8"/>
  <c r="X84" i="8"/>
  <c r="Y84" i="8"/>
  <c r="Z84" i="8"/>
  <c r="AA84" i="8"/>
  <c r="AB84" i="8"/>
  <c r="AC84" i="8"/>
  <c r="AD84" i="8"/>
  <c r="AE84" i="8"/>
  <c r="F224" i="8"/>
  <c r="G224" i="8"/>
  <c r="H224" i="8"/>
  <c r="I224" i="8"/>
  <c r="J224" i="8"/>
  <c r="K224" i="8"/>
  <c r="L224" i="8"/>
  <c r="M224" i="8"/>
  <c r="N224" i="8"/>
  <c r="O224" i="8"/>
  <c r="P224" i="8"/>
  <c r="Q224" i="8"/>
  <c r="R224" i="8"/>
  <c r="S224" i="8"/>
  <c r="T224" i="8"/>
  <c r="U224" i="8"/>
  <c r="V224" i="8"/>
  <c r="W224" i="8"/>
  <c r="X224" i="8"/>
  <c r="Y224" i="8"/>
  <c r="Z224" i="8"/>
  <c r="AA224" i="8"/>
  <c r="AB224" i="8"/>
  <c r="AC224" i="8"/>
  <c r="AD224" i="8"/>
  <c r="AE224" i="8"/>
  <c r="F153" i="8"/>
  <c r="G153" i="8"/>
  <c r="H153" i="8"/>
  <c r="I153" i="8"/>
  <c r="J153" i="8"/>
  <c r="K153" i="8"/>
  <c r="L153" i="8"/>
  <c r="M153" i="8"/>
  <c r="N153" i="8"/>
  <c r="O153" i="8"/>
  <c r="P153" i="8"/>
  <c r="Q153" i="8"/>
  <c r="R153" i="8"/>
  <c r="S153" i="8"/>
  <c r="T153" i="8"/>
  <c r="U153" i="8"/>
  <c r="V153" i="8"/>
  <c r="W153" i="8"/>
  <c r="X153" i="8"/>
  <c r="Y153" i="8"/>
  <c r="Z153" i="8"/>
  <c r="AA153" i="8"/>
  <c r="AB153" i="8"/>
  <c r="AC153" i="8"/>
  <c r="AD153" i="8"/>
  <c r="AE153" i="8"/>
  <c r="F497" i="8"/>
  <c r="G497" i="8"/>
  <c r="H497" i="8"/>
  <c r="I497" i="8"/>
  <c r="J497" i="8"/>
  <c r="K497" i="8"/>
  <c r="L497" i="8"/>
  <c r="M497" i="8"/>
  <c r="N497" i="8"/>
  <c r="O497" i="8"/>
  <c r="P497" i="8"/>
  <c r="Q497" i="8"/>
  <c r="R497" i="8"/>
  <c r="S497" i="8"/>
  <c r="T497" i="8"/>
  <c r="U497" i="8"/>
  <c r="V497" i="8"/>
  <c r="W497" i="8"/>
  <c r="X497" i="8"/>
  <c r="Y497" i="8"/>
  <c r="Z497" i="8"/>
  <c r="AA497" i="8"/>
  <c r="AB497" i="8"/>
  <c r="AC497" i="8"/>
  <c r="AD497" i="8"/>
  <c r="AE497" i="8"/>
  <c r="F302" i="8"/>
  <c r="G302" i="8"/>
  <c r="H302" i="8"/>
  <c r="I302" i="8"/>
  <c r="J302" i="8"/>
  <c r="K302" i="8"/>
  <c r="L302" i="8"/>
  <c r="M302" i="8"/>
  <c r="N302" i="8"/>
  <c r="O302" i="8"/>
  <c r="P302" i="8"/>
  <c r="Q302" i="8"/>
  <c r="R302" i="8"/>
  <c r="S302" i="8"/>
  <c r="T302" i="8"/>
  <c r="U302" i="8"/>
  <c r="V302" i="8"/>
  <c r="W302" i="8"/>
  <c r="X302" i="8"/>
  <c r="Y302" i="8"/>
  <c r="Z302" i="8"/>
  <c r="AA302" i="8"/>
  <c r="AB302" i="8"/>
  <c r="AC302" i="8"/>
  <c r="AD302" i="8"/>
  <c r="AE302" i="8"/>
  <c r="F163" i="8"/>
  <c r="G163" i="8"/>
  <c r="H163" i="8"/>
  <c r="I163" i="8"/>
  <c r="J163" i="8"/>
  <c r="K163" i="8"/>
  <c r="L163" i="8"/>
  <c r="M163" i="8"/>
  <c r="N163" i="8"/>
  <c r="O163" i="8"/>
  <c r="P163" i="8"/>
  <c r="Q163" i="8"/>
  <c r="R163" i="8"/>
  <c r="S163" i="8"/>
  <c r="T163" i="8"/>
  <c r="U163" i="8"/>
  <c r="V163" i="8"/>
  <c r="W163" i="8"/>
  <c r="X163" i="8"/>
  <c r="Y163" i="8"/>
  <c r="Z163" i="8"/>
  <c r="AA163" i="8"/>
  <c r="AB163" i="8"/>
  <c r="AC163" i="8"/>
  <c r="AD163" i="8"/>
  <c r="AE163" i="8"/>
  <c r="F223" i="8"/>
  <c r="G223" i="8"/>
  <c r="H223" i="8"/>
  <c r="I223" i="8"/>
  <c r="J223" i="8"/>
  <c r="K223" i="8"/>
  <c r="L223" i="8"/>
  <c r="M223" i="8"/>
  <c r="N223" i="8"/>
  <c r="O223" i="8"/>
  <c r="P223" i="8"/>
  <c r="Q223" i="8"/>
  <c r="R223" i="8"/>
  <c r="S223" i="8"/>
  <c r="T223" i="8"/>
  <c r="U223" i="8"/>
  <c r="V223" i="8"/>
  <c r="W223" i="8"/>
  <c r="X223" i="8"/>
  <c r="Y223" i="8"/>
  <c r="Z223" i="8"/>
  <c r="AA223" i="8"/>
  <c r="AB223" i="8"/>
  <c r="AC223" i="8"/>
  <c r="AD223" i="8"/>
  <c r="AE223" i="8"/>
  <c r="F74" i="8"/>
  <c r="G74" i="8"/>
  <c r="H74" i="8"/>
  <c r="I74" i="8"/>
  <c r="J74" i="8"/>
  <c r="K74" i="8"/>
  <c r="L74" i="8"/>
  <c r="M74" i="8"/>
  <c r="N74" i="8"/>
  <c r="O74" i="8"/>
  <c r="P74" i="8"/>
  <c r="Q74" i="8"/>
  <c r="R74" i="8"/>
  <c r="S74" i="8"/>
  <c r="T74" i="8"/>
  <c r="U74" i="8"/>
  <c r="V74" i="8"/>
  <c r="W74" i="8"/>
  <c r="X74" i="8"/>
  <c r="Y74" i="8"/>
  <c r="Z74" i="8"/>
  <c r="AA74" i="8"/>
  <c r="AB74" i="8"/>
  <c r="AC74" i="8"/>
  <c r="AD74" i="8"/>
  <c r="AE74" i="8"/>
  <c r="F109" i="8"/>
  <c r="G109" i="8"/>
  <c r="H109" i="8"/>
  <c r="I109" i="8"/>
  <c r="J109" i="8"/>
  <c r="K109" i="8"/>
  <c r="L109" i="8"/>
  <c r="M109" i="8"/>
  <c r="N109" i="8"/>
  <c r="O109" i="8"/>
  <c r="P109" i="8"/>
  <c r="Q109" i="8"/>
  <c r="R109" i="8"/>
  <c r="S109" i="8"/>
  <c r="T109" i="8"/>
  <c r="U109" i="8"/>
  <c r="V109" i="8"/>
  <c r="W109" i="8"/>
  <c r="X109" i="8"/>
  <c r="Y109" i="8"/>
  <c r="Z109" i="8"/>
  <c r="AA109" i="8"/>
  <c r="AB109" i="8"/>
  <c r="AC109" i="8"/>
  <c r="AD109" i="8"/>
  <c r="AE109" i="8"/>
  <c r="F168" i="8"/>
  <c r="G168" i="8"/>
  <c r="H168" i="8"/>
  <c r="I168" i="8"/>
  <c r="J168" i="8"/>
  <c r="K168" i="8"/>
  <c r="L168" i="8"/>
  <c r="M168" i="8"/>
  <c r="N168" i="8"/>
  <c r="O168" i="8"/>
  <c r="P168" i="8"/>
  <c r="Q168" i="8"/>
  <c r="R168" i="8"/>
  <c r="S168" i="8"/>
  <c r="T168" i="8"/>
  <c r="U168" i="8"/>
  <c r="V168" i="8"/>
  <c r="W168" i="8"/>
  <c r="X168" i="8"/>
  <c r="Y168" i="8"/>
  <c r="Z168" i="8"/>
  <c r="AA168" i="8"/>
  <c r="AB168" i="8"/>
  <c r="AC168" i="8"/>
  <c r="AD168" i="8"/>
  <c r="AE168" i="8"/>
  <c r="F263" i="8"/>
  <c r="G263" i="8"/>
  <c r="H263" i="8"/>
  <c r="I263" i="8"/>
  <c r="J263" i="8"/>
  <c r="K263" i="8"/>
  <c r="L263" i="8"/>
  <c r="M263" i="8"/>
  <c r="N263" i="8"/>
  <c r="O263" i="8"/>
  <c r="P263" i="8"/>
  <c r="Q263" i="8"/>
  <c r="R263" i="8"/>
  <c r="S263" i="8"/>
  <c r="T263" i="8"/>
  <c r="U263" i="8"/>
  <c r="V263" i="8"/>
  <c r="W263" i="8"/>
  <c r="X263" i="8"/>
  <c r="Y263" i="8"/>
  <c r="Z263" i="8"/>
  <c r="AA263" i="8"/>
  <c r="AB263" i="8"/>
  <c r="AC263" i="8"/>
  <c r="AD263" i="8"/>
  <c r="AE263" i="8"/>
  <c r="F454" i="8"/>
  <c r="G454" i="8"/>
  <c r="H454" i="8"/>
  <c r="I454" i="8"/>
  <c r="J454" i="8"/>
  <c r="K454" i="8"/>
  <c r="L454" i="8"/>
  <c r="M454" i="8"/>
  <c r="N454" i="8"/>
  <c r="O454" i="8"/>
  <c r="P454" i="8"/>
  <c r="Q454" i="8"/>
  <c r="R454" i="8"/>
  <c r="S454" i="8"/>
  <c r="T454" i="8"/>
  <c r="U454" i="8"/>
  <c r="V454" i="8"/>
  <c r="W454" i="8"/>
  <c r="X454" i="8"/>
  <c r="Y454" i="8"/>
  <c r="Z454" i="8"/>
  <c r="AA454" i="8"/>
  <c r="AB454" i="8"/>
  <c r="AC454" i="8"/>
  <c r="AD454" i="8"/>
  <c r="AE454" i="8"/>
  <c r="F158" i="8"/>
  <c r="G158" i="8"/>
  <c r="H158" i="8"/>
  <c r="I158" i="8"/>
  <c r="J158" i="8"/>
  <c r="K158" i="8"/>
  <c r="L158" i="8"/>
  <c r="M158" i="8"/>
  <c r="N158" i="8"/>
  <c r="O158" i="8"/>
  <c r="P158" i="8"/>
  <c r="Q158" i="8"/>
  <c r="R158" i="8"/>
  <c r="S158" i="8"/>
  <c r="T158" i="8"/>
  <c r="U158" i="8"/>
  <c r="V158" i="8"/>
  <c r="W158" i="8"/>
  <c r="X158" i="8"/>
  <c r="Y158" i="8"/>
  <c r="Z158" i="8"/>
  <c r="AA158" i="8"/>
  <c r="AB158" i="8"/>
  <c r="AC158" i="8"/>
  <c r="AD158" i="8"/>
  <c r="AE158" i="8"/>
  <c r="F230" i="8"/>
  <c r="G230" i="8"/>
  <c r="H230" i="8"/>
  <c r="I230" i="8"/>
  <c r="J230" i="8"/>
  <c r="K230" i="8"/>
  <c r="L230" i="8"/>
  <c r="M230" i="8"/>
  <c r="N230" i="8"/>
  <c r="O230" i="8"/>
  <c r="P230" i="8"/>
  <c r="Q230" i="8"/>
  <c r="R230" i="8"/>
  <c r="S230" i="8"/>
  <c r="T230" i="8"/>
  <c r="U230" i="8"/>
  <c r="V230" i="8"/>
  <c r="W230" i="8"/>
  <c r="X230" i="8"/>
  <c r="Y230" i="8"/>
  <c r="Z230" i="8"/>
  <c r="AA230" i="8"/>
  <c r="AB230" i="8"/>
  <c r="AC230" i="8"/>
  <c r="AD230" i="8"/>
  <c r="AE230" i="8"/>
  <c r="F95" i="8"/>
  <c r="G95" i="8"/>
  <c r="H95" i="8"/>
  <c r="I95" i="8"/>
  <c r="J95" i="8"/>
  <c r="K95" i="8"/>
  <c r="L95" i="8"/>
  <c r="M95" i="8"/>
  <c r="N95" i="8"/>
  <c r="O95" i="8"/>
  <c r="P95" i="8"/>
  <c r="Q95" i="8"/>
  <c r="R95" i="8"/>
  <c r="S95" i="8"/>
  <c r="T95" i="8"/>
  <c r="U95" i="8"/>
  <c r="V95" i="8"/>
  <c r="W95" i="8"/>
  <c r="X95" i="8"/>
  <c r="Y95" i="8"/>
  <c r="Z95" i="8"/>
  <c r="AA95" i="8"/>
  <c r="AB95" i="8"/>
  <c r="AC95" i="8"/>
  <c r="AD95" i="8"/>
  <c r="AE95" i="8"/>
  <c r="F191" i="8"/>
  <c r="G191" i="8"/>
  <c r="H191" i="8"/>
  <c r="I191" i="8"/>
  <c r="J191" i="8"/>
  <c r="K191" i="8"/>
  <c r="L191" i="8"/>
  <c r="M191" i="8"/>
  <c r="N191" i="8"/>
  <c r="O191" i="8"/>
  <c r="P191" i="8"/>
  <c r="Q191" i="8"/>
  <c r="R191" i="8"/>
  <c r="S191" i="8"/>
  <c r="T191" i="8"/>
  <c r="U191" i="8"/>
  <c r="V191" i="8"/>
  <c r="W191" i="8"/>
  <c r="X191" i="8"/>
  <c r="Y191" i="8"/>
  <c r="Z191" i="8"/>
  <c r="AA191" i="8"/>
  <c r="AB191" i="8"/>
  <c r="AC191" i="8"/>
  <c r="AD191" i="8"/>
  <c r="AE191" i="8"/>
  <c r="F171" i="8"/>
  <c r="G171" i="8"/>
  <c r="H171" i="8"/>
  <c r="I171" i="8"/>
  <c r="J171" i="8"/>
  <c r="K171" i="8"/>
  <c r="L171" i="8"/>
  <c r="M171" i="8"/>
  <c r="N171" i="8"/>
  <c r="O171" i="8"/>
  <c r="P171" i="8"/>
  <c r="Q171" i="8"/>
  <c r="R171" i="8"/>
  <c r="S171" i="8"/>
  <c r="T171" i="8"/>
  <c r="U171" i="8"/>
  <c r="V171" i="8"/>
  <c r="W171" i="8"/>
  <c r="X171" i="8"/>
  <c r="Y171" i="8"/>
  <c r="Z171" i="8"/>
  <c r="AA171" i="8"/>
  <c r="AB171" i="8"/>
  <c r="AC171" i="8"/>
  <c r="AD171" i="8"/>
  <c r="AE171" i="8"/>
  <c r="F236" i="8"/>
  <c r="G236" i="8"/>
  <c r="H236" i="8"/>
  <c r="I236" i="8"/>
  <c r="J236" i="8"/>
  <c r="K236" i="8"/>
  <c r="L236" i="8"/>
  <c r="M236" i="8"/>
  <c r="N236" i="8"/>
  <c r="O236" i="8"/>
  <c r="P236" i="8"/>
  <c r="Q236" i="8"/>
  <c r="R236" i="8"/>
  <c r="S236" i="8"/>
  <c r="T236" i="8"/>
  <c r="U236" i="8"/>
  <c r="V236" i="8"/>
  <c r="W236" i="8"/>
  <c r="X236" i="8"/>
  <c r="Y236" i="8"/>
  <c r="Z236" i="8"/>
  <c r="AA236" i="8"/>
  <c r="AB236" i="8"/>
  <c r="AC236" i="8"/>
  <c r="AD236" i="8"/>
  <c r="AE236" i="8"/>
  <c r="F238" i="8"/>
  <c r="G238" i="8"/>
  <c r="H238" i="8"/>
  <c r="I238" i="8"/>
  <c r="J238" i="8"/>
  <c r="K238" i="8"/>
  <c r="L238" i="8"/>
  <c r="M238" i="8"/>
  <c r="N238" i="8"/>
  <c r="O238" i="8"/>
  <c r="P238" i="8"/>
  <c r="Q238" i="8"/>
  <c r="R238" i="8"/>
  <c r="S238" i="8"/>
  <c r="T238" i="8"/>
  <c r="U238" i="8"/>
  <c r="V238" i="8"/>
  <c r="W238" i="8"/>
  <c r="X238" i="8"/>
  <c r="Y238" i="8"/>
  <c r="Z238" i="8"/>
  <c r="AA238" i="8"/>
  <c r="AB238" i="8"/>
  <c r="AC238" i="8"/>
  <c r="AD238" i="8"/>
  <c r="AE238" i="8"/>
  <c r="F64" i="8"/>
  <c r="G64" i="8"/>
  <c r="H64" i="8"/>
  <c r="I64" i="8"/>
  <c r="J64" i="8"/>
  <c r="K64" i="8"/>
  <c r="L64" i="8"/>
  <c r="M64" i="8"/>
  <c r="N64" i="8"/>
  <c r="O64" i="8"/>
  <c r="P64" i="8"/>
  <c r="Q64" i="8"/>
  <c r="R64" i="8"/>
  <c r="S64" i="8"/>
  <c r="T64" i="8"/>
  <c r="U64" i="8"/>
  <c r="V64" i="8"/>
  <c r="W64" i="8"/>
  <c r="X64" i="8"/>
  <c r="Y64" i="8"/>
  <c r="Z64" i="8"/>
  <c r="AA64" i="8"/>
  <c r="AB64" i="8"/>
  <c r="AC64" i="8"/>
  <c r="AD64" i="8"/>
  <c r="AE64" i="8"/>
  <c r="F205" i="8"/>
  <c r="G205" i="8"/>
  <c r="H205" i="8"/>
  <c r="I205" i="8"/>
  <c r="J205" i="8"/>
  <c r="K205" i="8"/>
  <c r="L205" i="8"/>
  <c r="M205" i="8"/>
  <c r="N205" i="8"/>
  <c r="O205" i="8"/>
  <c r="P205" i="8"/>
  <c r="Q205" i="8"/>
  <c r="R205" i="8"/>
  <c r="S205" i="8"/>
  <c r="T205" i="8"/>
  <c r="U205" i="8"/>
  <c r="V205" i="8"/>
  <c r="W205" i="8"/>
  <c r="X205" i="8"/>
  <c r="Y205" i="8"/>
  <c r="Z205" i="8"/>
  <c r="AA205" i="8"/>
  <c r="AB205" i="8"/>
  <c r="AC205" i="8"/>
  <c r="AD205" i="8"/>
  <c r="AE205" i="8"/>
  <c r="F175" i="8"/>
  <c r="G175" i="8"/>
  <c r="H175" i="8"/>
  <c r="I175" i="8"/>
  <c r="J175" i="8"/>
  <c r="K175" i="8"/>
  <c r="L175" i="8"/>
  <c r="M175" i="8"/>
  <c r="N175" i="8"/>
  <c r="O175" i="8"/>
  <c r="P175" i="8"/>
  <c r="Q175" i="8"/>
  <c r="R175" i="8"/>
  <c r="S175" i="8"/>
  <c r="T175" i="8"/>
  <c r="U175" i="8"/>
  <c r="V175" i="8"/>
  <c r="W175" i="8"/>
  <c r="X175" i="8"/>
  <c r="Y175" i="8"/>
  <c r="Z175" i="8"/>
  <c r="AA175" i="8"/>
  <c r="AB175" i="8"/>
  <c r="AC175" i="8"/>
  <c r="AD175" i="8"/>
  <c r="AE175" i="8"/>
  <c r="F516" i="8"/>
  <c r="G516" i="8"/>
  <c r="H516" i="8"/>
  <c r="I516" i="8"/>
  <c r="J516" i="8"/>
  <c r="K516" i="8"/>
  <c r="L516" i="8"/>
  <c r="M516" i="8"/>
  <c r="N516" i="8"/>
  <c r="O516" i="8"/>
  <c r="P516" i="8"/>
  <c r="Q516" i="8"/>
  <c r="R516" i="8"/>
  <c r="S516" i="8"/>
  <c r="T516" i="8"/>
  <c r="U516" i="8"/>
  <c r="V516" i="8"/>
  <c r="W516" i="8"/>
  <c r="X516" i="8"/>
  <c r="Y516" i="8"/>
  <c r="Z516" i="8"/>
  <c r="AA516" i="8"/>
  <c r="AB516" i="8"/>
  <c r="AC516" i="8"/>
  <c r="AD516" i="8"/>
  <c r="AE516" i="8"/>
  <c r="F142" i="8"/>
  <c r="G142" i="8"/>
  <c r="H142" i="8"/>
  <c r="I142" i="8"/>
  <c r="J142" i="8"/>
  <c r="K142" i="8"/>
  <c r="L142" i="8"/>
  <c r="M142" i="8"/>
  <c r="N142" i="8"/>
  <c r="O142" i="8"/>
  <c r="P142" i="8"/>
  <c r="Q142" i="8"/>
  <c r="R142" i="8"/>
  <c r="S142" i="8"/>
  <c r="T142" i="8"/>
  <c r="U142" i="8"/>
  <c r="V142" i="8"/>
  <c r="W142" i="8"/>
  <c r="X142" i="8"/>
  <c r="Y142" i="8"/>
  <c r="Z142" i="8"/>
  <c r="AA142" i="8"/>
  <c r="AB142" i="8"/>
  <c r="AC142" i="8"/>
  <c r="AD142" i="8"/>
  <c r="AE142" i="8"/>
  <c r="F229" i="8"/>
  <c r="G229" i="8"/>
  <c r="H229" i="8"/>
  <c r="I229" i="8"/>
  <c r="J229" i="8"/>
  <c r="K229" i="8"/>
  <c r="L229" i="8"/>
  <c r="M229" i="8"/>
  <c r="N229" i="8"/>
  <c r="O229" i="8"/>
  <c r="P229" i="8"/>
  <c r="Q229" i="8"/>
  <c r="R229" i="8"/>
  <c r="S229" i="8"/>
  <c r="T229" i="8"/>
  <c r="U229" i="8"/>
  <c r="V229" i="8"/>
  <c r="W229" i="8"/>
  <c r="X229" i="8"/>
  <c r="Y229" i="8"/>
  <c r="Z229" i="8"/>
  <c r="AA229" i="8"/>
  <c r="AB229" i="8"/>
  <c r="AC229" i="8"/>
  <c r="AD229" i="8"/>
  <c r="AE229" i="8"/>
  <c r="F304" i="8"/>
  <c r="G304" i="8"/>
  <c r="H304" i="8"/>
  <c r="I304" i="8"/>
  <c r="J304" i="8"/>
  <c r="K304" i="8"/>
  <c r="L304" i="8"/>
  <c r="M304" i="8"/>
  <c r="N304" i="8"/>
  <c r="O304" i="8"/>
  <c r="P304" i="8"/>
  <c r="Q304" i="8"/>
  <c r="R304" i="8"/>
  <c r="S304" i="8"/>
  <c r="T304" i="8"/>
  <c r="U304" i="8"/>
  <c r="V304" i="8"/>
  <c r="W304" i="8"/>
  <c r="X304" i="8"/>
  <c r="Y304" i="8"/>
  <c r="Z304" i="8"/>
  <c r="AA304" i="8"/>
  <c r="AB304" i="8"/>
  <c r="AC304" i="8"/>
  <c r="AD304" i="8"/>
  <c r="AE304" i="8"/>
  <c r="F102" i="8"/>
  <c r="G102" i="8"/>
  <c r="H102" i="8"/>
  <c r="I102" i="8"/>
  <c r="J102" i="8"/>
  <c r="K102" i="8"/>
  <c r="L102" i="8"/>
  <c r="M102" i="8"/>
  <c r="N102" i="8"/>
  <c r="O102" i="8"/>
  <c r="P102" i="8"/>
  <c r="Q102" i="8"/>
  <c r="R102" i="8"/>
  <c r="S102" i="8"/>
  <c r="T102" i="8"/>
  <c r="U102" i="8"/>
  <c r="V102" i="8"/>
  <c r="W102" i="8"/>
  <c r="X102" i="8"/>
  <c r="Y102" i="8"/>
  <c r="Z102" i="8"/>
  <c r="AA102" i="8"/>
  <c r="AB102" i="8"/>
  <c r="AC102" i="8"/>
  <c r="AD102" i="8"/>
  <c r="AE102" i="8"/>
  <c r="F46" i="8"/>
  <c r="G46" i="8"/>
  <c r="H46" i="8"/>
  <c r="I46" i="8"/>
  <c r="J46" i="8"/>
  <c r="K46" i="8"/>
  <c r="L46" i="8"/>
  <c r="M46" i="8"/>
  <c r="N46" i="8"/>
  <c r="O46" i="8"/>
  <c r="P46" i="8"/>
  <c r="Q46" i="8"/>
  <c r="R46" i="8"/>
  <c r="S46" i="8"/>
  <c r="T46" i="8"/>
  <c r="U46" i="8"/>
  <c r="V46" i="8"/>
  <c r="W46" i="8"/>
  <c r="X46" i="8"/>
  <c r="Y46" i="8"/>
  <c r="Z46" i="8"/>
  <c r="AA46" i="8"/>
  <c r="AB46" i="8"/>
  <c r="AC46" i="8"/>
  <c r="AD46" i="8"/>
  <c r="AE46" i="8"/>
  <c r="F484" i="8"/>
  <c r="G484" i="8"/>
  <c r="H484" i="8"/>
  <c r="I484" i="8"/>
  <c r="J484" i="8"/>
  <c r="K484" i="8"/>
  <c r="L484" i="8"/>
  <c r="M484" i="8"/>
  <c r="N484" i="8"/>
  <c r="O484" i="8"/>
  <c r="P484" i="8"/>
  <c r="Q484" i="8"/>
  <c r="R484" i="8"/>
  <c r="S484" i="8"/>
  <c r="T484" i="8"/>
  <c r="U484" i="8"/>
  <c r="V484" i="8"/>
  <c r="W484" i="8"/>
  <c r="X484" i="8"/>
  <c r="Y484" i="8"/>
  <c r="Z484" i="8"/>
  <c r="AA484" i="8"/>
  <c r="AB484" i="8"/>
  <c r="AC484" i="8"/>
  <c r="AD484" i="8"/>
  <c r="AE484" i="8"/>
  <c r="F178" i="8"/>
  <c r="G178" i="8"/>
  <c r="H178" i="8"/>
  <c r="I178" i="8"/>
  <c r="J178" i="8"/>
  <c r="K178" i="8"/>
  <c r="L178" i="8"/>
  <c r="M178" i="8"/>
  <c r="N178" i="8"/>
  <c r="O178" i="8"/>
  <c r="P178" i="8"/>
  <c r="Q178" i="8"/>
  <c r="R178" i="8"/>
  <c r="S178" i="8"/>
  <c r="T178" i="8"/>
  <c r="U178" i="8"/>
  <c r="V178" i="8"/>
  <c r="W178" i="8"/>
  <c r="X178" i="8"/>
  <c r="Y178" i="8"/>
  <c r="Z178" i="8"/>
  <c r="AA178" i="8"/>
  <c r="AB178" i="8"/>
  <c r="AC178" i="8"/>
  <c r="AD178" i="8"/>
  <c r="AE178" i="8"/>
  <c r="F207" i="8"/>
  <c r="G207" i="8"/>
  <c r="H207" i="8"/>
  <c r="I207" i="8"/>
  <c r="J207" i="8"/>
  <c r="K207" i="8"/>
  <c r="L207" i="8"/>
  <c r="M207" i="8"/>
  <c r="N207" i="8"/>
  <c r="O207" i="8"/>
  <c r="P207" i="8"/>
  <c r="Q207" i="8"/>
  <c r="R207" i="8"/>
  <c r="S207" i="8"/>
  <c r="T207" i="8"/>
  <c r="U207" i="8"/>
  <c r="V207" i="8"/>
  <c r="W207" i="8"/>
  <c r="X207" i="8"/>
  <c r="Y207" i="8"/>
  <c r="Z207" i="8"/>
  <c r="AA207" i="8"/>
  <c r="AB207" i="8"/>
  <c r="AC207" i="8"/>
  <c r="AD207" i="8"/>
  <c r="AE207" i="8"/>
  <c r="F41" i="8"/>
  <c r="G41" i="8"/>
  <c r="H41" i="8"/>
  <c r="I41" i="8"/>
  <c r="J41" i="8"/>
  <c r="K41" i="8"/>
  <c r="L41" i="8"/>
  <c r="M41" i="8"/>
  <c r="N41" i="8"/>
  <c r="O41" i="8"/>
  <c r="P41" i="8"/>
  <c r="Q41" i="8"/>
  <c r="R41" i="8"/>
  <c r="S41" i="8"/>
  <c r="T41" i="8"/>
  <c r="U41" i="8"/>
  <c r="V41" i="8"/>
  <c r="W41" i="8"/>
  <c r="X41" i="8"/>
  <c r="Y41" i="8"/>
  <c r="Z41" i="8"/>
  <c r="AA41" i="8"/>
  <c r="AB41" i="8"/>
  <c r="AC41" i="8"/>
  <c r="AD41" i="8"/>
  <c r="AE41" i="8"/>
  <c r="F29" i="8"/>
  <c r="G29" i="8"/>
  <c r="H29" i="8"/>
  <c r="I29" i="8"/>
  <c r="J29" i="8"/>
  <c r="K29" i="8"/>
  <c r="L29" i="8"/>
  <c r="M29" i="8"/>
  <c r="N29" i="8"/>
  <c r="O29" i="8"/>
  <c r="P29" i="8"/>
  <c r="Q29" i="8"/>
  <c r="R29" i="8"/>
  <c r="S29" i="8"/>
  <c r="T29" i="8"/>
  <c r="U29" i="8"/>
  <c r="V29" i="8"/>
  <c r="W29" i="8"/>
  <c r="X29" i="8"/>
  <c r="Y29" i="8"/>
  <c r="Z29" i="8"/>
  <c r="AA29" i="8"/>
  <c r="AB29" i="8"/>
  <c r="AC29" i="8"/>
  <c r="AD29" i="8"/>
  <c r="AE29" i="8"/>
  <c r="F20" i="8"/>
  <c r="G20" i="8"/>
  <c r="H20" i="8"/>
  <c r="I20" i="8"/>
  <c r="J20" i="8"/>
  <c r="K20" i="8"/>
  <c r="L20" i="8"/>
  <c r="M20" i="8"/>
  <c r="N20" i="8"/>
  <c r="O20" i="8"/>
  <c r="P20" i="8"/>
  <c r="Q20" i="8"/>
  <c r="R20" i="8"/>
  <c r="S20" i="8"/>
  <c r="T20" i="8"/>
  <c r="U20" i="8"/>
  <c r="V20" i="8"/>
  <c r="W20" i="8"/>
  <c r="X20" i="8"/>
  <c r="Y20" i="8"/>
  <c r="Z20" i="8"/>
  <c r="AA20" i="8"/>
  <c r="AB20" i="8"/>
  <c r="AC20" i="8"/>
  <c r="AD20" i="8"/>
  <c r="AE20" i="8"/>
  <c r="F23" i="8"/>
  <c r="G23" i="8"/>
  <c r="H23" i="8"/>
  <c r="I23" i="8"/>
  <c r="J23" i="8"/>
  <c r="K23" i="8"/>
  <c r="L23" i="8"/>
  <c r="M23" i="8"/>
  <c r="N23" i="8"/>
  <c r="O23" i="8"/>
  <c r="P23" i="8"/>
  <c r="Q23" i="8"/>
  <c r="R23" i="8"/>
  <c r="S23" i="8"/>
  <c r="T23" i="8"/>
  <c r="U23" i="8"/>
  <c r="V23" i="8"/>
  <c r="W23" i="8"/>
  <c r="X23" i="8"/>
  <c r="Y23" i="8"/>
  <c r="Z23" i="8"/>
  <c r="AA23" i="8"/>
  <c r="AB23" i="8"/>
  <c r="AC23" i="8"/>
  <c r="AD23" i="8"/>
  <c r="AE23" i="8"/>
  <c r="F49" i="8"/>
  <c r="G49" i="8"/>
  <c r="H49" i="8"/>
  <c r="I49" i="8"/>
  <c r="J49" i="8"/>
  <c r="K49" i="8"/>
  <c r="L49" i="8"/>
  <c r="M49" i="8"/>
  <c r="N49" i="8"/>
  <c r="O49" i="8"/>
  <c r="P49" i="8"/>
  <c r="Q49" i="8"/>
  <c r="R49" i="8"/>
  <c r="S49" i="8"/>
  <c r="T49" i="8"/>
  <c r="U49" i="8"/>
  <c r="V49" i="8"/>
  <c r="W49" i="8"/>
  <c r="X49" i="8"/>
  <c r="Y49" i="8"/>
  <c r="Z49" i="8"/>
  <c r="AA49" i="8"/>
  <c r="AB49" i="8"/>
  <c r="AC49" i="8"/>
  <c r="AD49" i="8"/>
  <c r="AE49" i="8"/>
  <c r="F13" i="8"/>
  <c r="G13" i="8"/>
  <c r="H13" i="8"/>
  <c r="I13" i="8"/>
  <c r="J13" i="8"/>
  <c r="K13" i="8"/>
  <c r="L13" i="8"/>
  <c r="M13" i="8"/>
  <c r="N13" i="8"/>
  <c r="O13" i="8"/>
  <c r="P13" i="8"/>
  <c r="Q13" i="8"/>
  <c r="R13" i="8"/>
  <c r="S13" i="8"/>
  <c r="T13" i="8"/>
  <c r="U13" i="8"/>
  <c r="V13" i="8"/>
  <c r="W13" i="8"/>
  <c r="X13" i="8"/>
  <c r="Y13" i="8"/>
  <c r="Z13" i="8"/>
  <c r="AA13" i="8"/>
  <c r="AB13" i="8"/>
  <c r="AC13" i="8"/>
  <c r="AD13" i="8"/>
  <c r="AE13" i="8"/>
  <c r="F170" i="8"/>
  <c r="G170" i="8"/>
  <c r="H170" i="8"/>
  <c r="I170" i="8"/>
  <c r="J170" i="8"/>
  <c r="K170" i="8"/>
  <c r="L170" i="8"/>
  <c r="M170" i="8"/>
  <c r="N170" i="8"/>
  <c r="O170" i="8"/>
  <c r="P170" i="8"/>
  <c r="Q170" i="8"/>
  <c r="R170" i="8"/>
  <c r="S170" i="8"/>
  <c r="T170" i="8"/>
  <c r="U170" i="8"/>
  <c r="V170" i="8"/>
  <c r="W170" i="8"/>
  <c r="X170" i="8"/>
  <c r="Y170" i="8"/>
  <c r="Z170" i="8"/>
  <c r="AA170" i="8"/>
  <c r="AB170" i="8"/>
  <c r="AC170" i="8"/>
  <c r="AD170" i="8"/>
  <c r="AE170" i="8"/>
  <c r="F339" i="8"/>
  <c r="G339" i="8"/>
  <c r="H339" i="8"/>
  <c r="I339" i="8"/>
  <c r="J339" i="8"/>
  <c r="K339" i="8"/>
  <c r="L339" i="8"/>
  <c r="M339" i="8"/>
  <c r="N339" i="8"/>
  <c r="O339" i="8"/>
  <c r="P339" i="8"/>
  <c r="Q339" i="8"/>
  <c r="R339" i="8"/>
  <c r="S339" i="8"/>
  <c r="T339" i="8"/>
  <c r="U339" i="8"/>
  <c r="V339" i="8"/>
  <c r="W339" i="8"/>
  <c r="X339" i="8"/>
  <c r="Y339" i="8"/>
  <c r="Z339" i="8"/>
  <c r="AA339" i="8"/>
  <c r="AB339" i="8"/>
  <c r="AC339" i="8"/>
  <c r="AD339" i="8"/>
  <c r="AE339" i="8"/>
  <c r="F32" i="8"/>
  <c r="G32" i="8"/>
  <c r="H32" i="8"/>
  <c r="I32" i="8"/>
  <c r="J32" i="8"/>
  <c r="K32" i="8"/>
  <c r="L32" i="8"/>
  <c r="M32" i="8"/>
  <c r="N32" i="8"/>
  <c r="O32" i="8"/>
  <c r="P32" i="8"/>
  <c r="Q32" i="8"/>
  <c r="R32" i="8"/>
  <c r="S32" i="8"/>
  <c r="T32" i="8"/>
  <c r="U32" i="8"/>
  <c r="V32" i="8"/>
  <c r="W32" i="8"/>
  <c r="X32" i="8"/>
  <c r="Y32" i="8"/>
  <c r="Z32" i="8"/>
  <c r="AA32" i="8"/>
  <c r="AB32" i="8"/>
  <c r="AC32" i="8"/>
  <c r="AD32" i="8"/>
  <c r="AE32" i="8"/>
  <c r="F187" i="8"/>
  <c r="G187" i="8"/>
  <c r="H187" i="8"/>
  <c r="I187" i="8"/>
  <c r="J187" i="8"/>
  <c r="K187" i="8"/>
  <c r="L187" i="8"/>
  <c r="M187" i="8"/>
  <c r="N187" i="8"/>
  <c r="O187" i="8"/>
  <c r="P187" i="8"/>
  <c r="Q187" i="8"/>
  <c r="R187" i="8"/>
  <c r="S187" i="8"/>
  <c r="T187" i="8"/>
  <c r="U187" i="8"/>
  <c r="V187" i="8"/>
  <c r="W187" i="8"/>
  <c r="X187" i="8"/>
  <c r="Y187" i="8"/>
  <c r="Z187" i="8"/>
  <c r="AA187" i="8"/>
  <c r="AB187" i="8"/>
  <c r="AC187" i="8"/>
  <c r="AD187" i="8"/>
  <c r="AE187" i="8"/>
  <c r="F56" i="8"/>
  <c r="G56" i="8"/>
  <c r="H56" i="8"/>
  <c r="I56" i="8"/>
  <c r="J56" i="8"/>
  <c r="K56" i="8"/>
  <c r="L56" i="8"/>
  <c r="M56" i="8"/>
  <c r="N56" i="8"/>
  <c r="O56" i="8"/>
  <c r="P56" i="8"/>
  <c r="Q56" i="8"/>
  <c r="R56" i="8"/>
  <c r="S56" i="8"/>
  <c r="T56" i="8"/>
  <c r="U56" i="8"/>
  <c r="V56" i="8"/>
  <c r="W56" i="8"/>
  <c r="X56" i="8"/>
  <c r="Y56" i="8"/>
  <c r="Z56" i="8"/>
  <c r="AA56" i="8"/>
  <c r="AB56" i="8"/>
  <c r="AC56" i="8"/>
  <c r="AD56" i="8"/>
  <c r="AE56" i="8"/>
  <c r="F33" i="8"/>
  <c r="G33" i="8"/>
  <c r="H33" i="8"/>
  <c r="I33" i="8"/>
  <c r="J33" i="8"/>
  <c r="K33" i="8"/>
  <c r="L33" i="8"/>
  <c r="M33" i="8"/>
  <c r="N33" i="8"/>
  <c r="O33" i="8"/>
  <c r="P33" i="8"/>
  <c r="Q33" i="8"/>
  <c r="R33" i="8"/>
  <c r="S33" i="8"/>
  <c r="T33" i="8"/>
  <c r="U33" i="8"/>
  <c r="V33" i="8"/>
  <c r="W33" i="8"/>
  <c r="X33" i="8"/>
  <c r="Y33" i="8"/>
  <c r="Z33" i="8"/>
  <c r="AA33" i="8"/>
  <c r="AB33" i="8"/>
  <c r="AC33" i="8"/>
  <c r="AD33" i="8"/>
  <c r="AE33" i="8"/>
  <c r="F107" i="8"/>
  <c r="G107" i="8"/>
  <c r="H107" i="8"/>
  <c r="I107" i="8"/>
  <c r="J107" i="8"/>
  <c r="K107" i="8"/>
  <c r="L107" i="8"/>
  <c r="M107" i="8"/>
  <c r="N107" i="8"/>
  <c r="O107" i="8"/>
  <c r="P107" i="8"/>
  <c r="Q107" i="8"/>
  <c r="R107" i="8"/>
  <c r="S107" i="8"/>
  <c r="T107" i="8"/>
  <c r="U107" i="8"/>
  <c r="V107" i="8"/>
  <c r="W107" i="8"/>
  <c r="X107" i="8"/>
  <c r="Y107" i="8"/>
  <c r="Z107" i="8"/>
  <c r="AA107" i="8"/>
  <c r="AB107" i="8"/>
  <c r="AC107" i="8"/>
  <c r="AD107" i="8"/>
  <c r="AE107" i="8"/>
  <c r="F315" i="8"/>
  <c r="G315" i="8"/>
  <c r="H315" i="8"/>
  <c r="I315" i="8"/>
  <c r="J315" i="8"/>
  <c r="K315" i="8"/>
  <c r="L315" i="8"/>
  <c r="M315" i="8"/>
  <c r="N315" i="8"/>
  <c r="O315" i="8"/>
  <c r="P315" i="8"/>
  <c r="Q315" i="8"/>
  <c r="R315" i="8"/>
  <c r="S315" i="8"/>
  <c r="T315" i="8"/>
  <c r="U315" i="8"/>
  <c r="V315" i="8"/>
  <c r="W315" i="8"/>
  <c r="X315" i="8"/>
  <c r="Y315" i="8"/>
  <c r="Z315" i="8"/>
  <c r="AA315" i="8"/>
  <c r="AB315" i="8"/>
  <c r="AC315" i="8"/>
  <c r="AD315" i="8"/>
  <c r="AE315" i="8"/>
  <c r="F63" i="8"/>
  <c r="G63" i="8"/>
  <c r="H63" i="8"/>
  <c r="I63" i="8"/>
  <c r="J63" i="8"/>
  <c r="K63" i="8"/>
  <c r="L63" i="8"/>
  <c r="M63" i="8"/>
  <c r="N63" i="8"/>
  <c r="O63" i="8"/>
  <c r="P63" i="8"/>
  <c r="Q63" i="8"/>
  <c r="R63" i="8"/>
  <c r="S63" i="8"/>
  <c r="T63" i="8"/>
  <c r="U63" i="8"/>
  <c r="V63" i="8"/>
  <c r="W63" i="8"/>
  <c r="X63" i="8"/>
  <c r="Y63" i="8"/>
  <c r="Z63" i="8"/>
  <c r="AA63" i="8"/>
  <c r="AB63" i="8"/>
  <c r="AC63" i="8"/>
  <c r="AD63" i="8"/>
  <c r="AE63" i="8"/>
  <c r="F201" i="8"/>
  <c r="G201" i="8"/>
  <c r="H201" i="8"/>
  <c r="I201" i="8"/>
  <c r="J201" i="8"/>
  <c r="K201" i="8"/>
  <c r="L201" i="8"/>
  <c r="M201" i="8"/>
  <c r="N201" i="8"/>
  <c r="O201" i="8"/>
  <c r="P201" i="8"/>
  <c r="Q201" i="8"/>
  <c r="R201" i="8"/>
  <c r="S201" i="8"/>
  <c r="T201" i="8"/>
  <c r="U201" i="8"/>
  <c r="V201" i="8"/>
  <c r="W201" i="8"/>
  <c r="X201" i="8"/>
  <c r="Y201" i="8"/>
  <c r="Z201" i="8"/>
  <c r="AA201" i="8"/>
  <c r="AB201" i="8"/>
  <c r="AC201" i="8"/>
  <c r="AD201" i="8"/>
  <c r="AE201" i="8"/>
  <c r="F162" i="8"/>
  <c r="G162" i="8"/>
  <c r="H162" i="8"/>
  <c r="I162" i="8"/>
  <c r="J162" i="8"/>
  <c r="K162" i="8"/>
  <c r="L162" i="8"/>
  <c r="M162" i="8"/>
  <c r="N162" i="8"/>
  <c r="O162" i="8"/>
  <c r="P162" i="8"/>
  <c r="Q162" i="8"/>
  <c r="R162" i="8"/>
  <c r="S162" i="8"/>
  <c r="T162" i="8"/>
  <c r="U162" i="8"/>
  <c r="V162" i="8"/>
  <c r="W162" i="8"/>
  <c r="X162" i="8"/>
  <c r="Y162" i="8"/>
  <c r="Z162" i="8"/>
  <c r="AA162" i="8"/>
  <c r="AB162" i="8"/>
  <c r="AC162" i="8"/>
  <c r="AD162" i="8"/>
  <c r="AE162" i="8"/>
  <c r="F89" i="8"/>
  <c r="G89" i="8"/>
  <c r="H89" i="8"/>
  <c r="I89" i="8"/>
  <c r="J89" i="8"/>
  <c r="K89" i="8"/>
  <c r="L89" i="8"/>
  <c r="M89" i="8"/>
  <c r="N89" i="8"/>
  <c r="O89" i="8"/>
  <c r="P89" i="8"/>
  <c r="Q89" i="8"/>
  <c r="R89" i="8"/>
  <c r="S89" i="8"/>
  <c r="T89" i="8"/>
  <c r="U89" i="8"/>
  <c r="V89" i="8"/>
  <c r="W89" i="8"/>
  <c r="X89" i="8"/>
  <c r="Y89" i="8"/>
  <c r="Z89" i="8"/>
  <c r="AA89" i="8"/>
  <c r="AB89" i="8"/>
  <c r="AC89" i="8"/>
  <c r="AD89" i="8"/>
  <c r="AE89" i="8"/>
  <c r="F255" i="8"/>
  <c r="G255" i="8"/>
  <c r="H255" i="8"/>
  <c r="I255" i="8"/>
  <c r="J255" i="8"/>
  <c r="K255" i="8"/>
  <c r="L255" i="8"/>
  <c r="M255" i="8"/>
  <c r="N255" i="8"/>
  <c r="O255" i="8"/>
  <c r="P255" i="8"/>
  <c r="Q255" i="8"/>
  <c r="R255" i="8"/>
  <c r="S255" i="8"/>
  <c r="T255" i="8"/>
  <c r="U255" i="8"/>
  <c r="V255" i="8"/>
  <c r="W255" i="8"/>
  <c r="X255" i="8"/>
  <c r="Y255" i="8"/>
  <c r="Z255" i="8"/>
  <c r="AA255" i="8"/>
  <c r="AB255" i="8"/>
  <c r="AC255" i="8"/>
  <c r="AD255" i="8"/>
  <c r="AE255" i="8"/>
  <c r="F122" i="8"/>
  <c r="G122" i="8"/>
  <c r="H122" i="8"/>
  <c r="I122" i="8"/>
  <c r="J122" i="8"/>
  <c r="K122" i="8"/>
  <c r="L122" i="8"/>
  <c r="M122" i="8"/>
  <c r="N122" i="8"/>
  <c r="O122" i="8"/>
  <c r="P122" i="8"/>
  <c r="Q122" i="8"/>
  <c r="R122" i="8"/>
  <c r="S122" i="8"/>
  <c r="T122" i="8"/>
  <c r="U122" i="8"/>
  <c r="V122" i="8"/>
  <c r="W122" i="8"/>
  <c r="X122" i="8"/>
  <c r="Y122" i="8"/>
  <c r="Z122" i="8"/>
  <c r="AA122" i="8"/>
  <c r="AB122" i="8"/>
  <c r="AC122" i="8"/>
  <c r="AD122" i="8"/>
  <c r="AE122" i="8"/>
  <c r="F140" i="8"/>
  <c r="G140" i="8"/>
  <c r="H140" i="8"/>
  <c r="I140" i="8"/>
  <c r="J140" i="8"/>
  <c r="K140" i="8"/>
  <c r="L140" i="8"/>
  <c r="M140" i="8"/>
  <c r="N140" i="8"/>
  <c r="O140" i="8"/>
  <c r="P140" i="8"/>
  <c r="Q140" i="8"/>
  <c r="R140" i="8"/>
  <c r="S140" i="8"/>
  <c r="T140" i="8"/>
  <c r="U140" i="8"/>
  <c r="V140" i="8"/>
  <c r="W140" i="8"/>
  <c r="X140" i="8"/>
  <c r="Y140" i="8"/>
  <c r="Z140" i="8"/>
  <c r="AA140" i="8"/>
  <c r="AB140" i="8"/>
  <c r="AC140" i="8"/>
  <c r="AD140" i="8"/>
  <c r="AE140" i="8"/>
  <c r="F119" i="8"/>
  <c r="G119" i="8"/>
  <c r="H119" i="8"/>
  <c r="I119" i="8"/>
  <c r="J119" i="8"/>
  <c r="K119" i="8"/>
  <c r="L119" i="8"/>
  <c r="M119" i="8"/>
  <c r="N119" i="8"/>
  <c r="O119" i="8"/>
  <c r="P119" i="8"/>
  <c r="Q119" i="8"/>
  <c r="R119" i="8"/>
  <c r="S119" i="8"/>
  <c r="T119" i="8"/>
  <c r="U119" i="8"/>
  <c r="V119" i="8"/>
  <c r="W119" i="8"/>
  <c r="X119" i="8"/>
  <c r="Y119" i="8"/>
  <c r="Z119" i="8"/>
  <c r="AA119" i="8"/>
  <c r="AB119" i="8"/>
  <c r="AC119" i="8"/>
  <c r="AD119" i="8"/>
  <c r="AE119" i="8"/>
  <c r="F394" i="8"/>
  <c r="G394" i="8"/>
  <c r="H394" i="8"/>
  <c r="I394" i="8"/>
  <c r="J394" i="8"/>
  <c r="K394" i="8"/>
  <c r="L394" i="8"/>
  <c r="M394" i="8"/>
  <c r="N394" i="8"/>
  <c r="O394" i="8"/>
  <c r="P394" i="8"/>
  <c r="Q394" i="8"/>
  <c r="R394" i="8"/>
  <c r="S394" i="8"/>
  <c r="T394" i="8"/>
  <c r="U394" i="8"/>
  <c r="V394" i="8"/>
  <c r="W394" i="8"/>
  <c r="X394" i="8"/>
  <c r="Y394" i="8"/>
  <c r="Z394" i="8"/>
  <c r="AA394" i="8"/>
  <c r="AB394" i="8"/>
  <c r="AC394" i="8"/>
  <c r="AD394" i="8"/>
  <c r="AE394" i="8"/>
  <c r="F309" i="8"/>
  <c r="G309" i="8"/>
  <c r="H309" i="8"/>
  <c r="I309" i="8"/>
  <c r="J309" i="8"/>
  <c r="K309" i="8"/>
  <c r="L309" i="8"/>
  <c r="M309" i="8"/>
  <c r="N309" i="8"/>
  <c r="O309" i="8"/>
  <c r="P309" i="8"/>
  <c r="Q309" i="8"/>
  <c r="R309" i="8"/>
  <c r="S309" i="8"/>
  <c r="T309" i="8"/>
  <c r="U309" i="8"/>
  <c r="V309" i="8"/>
  <c r="W309" i="8"/>
  <c r="X309" i="8"/>
  <c r="Y309" i="8"/>
  <c r="Z309" i="8"/>
  <c r="AA309" i="8"/>
  <c r="AB309" i="8"/>
  <c r="AC309" i="8"/>
  <c r="AD309" i="8"/>
  <c r="AE309" i="8"/>
  <c r="F510" i="8"/>
  <c r="G510" i="8"/>
  <c r="H510" i="8"/>
  <c r="I510" i="8"/>
  <c r="J510" i="8"/>
  <c r="K510" i="8"/>
  <c r="L510" i="8"/>
  <c r="M510" i="8"/>
  <c r="N510" i="8"/>
  <c r="O510" i="8"/>
  <c r="P510" i="8"/>
  <c r="Q510" i="8"/>
  <c r="R510" i="8"/>
  <c r="S510" i="8"/>
  <c r="T510" i="8"/>
  <c r="U510" i="8"/>
  <c r="V510" i="8"/>
  <c r="W510" i="8"/>
  <c r="X510" i="8"/>
  <c r="Y510" i="8"/>
  <c r="Z510" i="8"/>
  <c r="AA510" i="8"/>
  <c r="AB510" i="8"/>
  <c r="AC510" i="8"/>
  <c r="AD510" i="8"/>
  <c r="AE510" i="8"/>
  <c r="F322" i="8"/>
  <c r="G322" i="8"/>
  <c r="H322" i="8"/>
  <c r="I322" i="8"/>
  <c r="J322" i="8"/>
  <c r="K322" i="8"/>
  <c r="L322" i="8"/>
  <c r="M322" i="8"/>
  <c r="N322" i="8"/>
  <c r="O322" i="8"/>
  <c r="P322" i="8"/>
  <c r="Q322" i="8"/>
  <c r="R322" i="8"/>
  <c r="S322" i="8"/>
  <c r="T322" i="8"/>
  <c r="U322" i="8"/>
  <c r="V322" i="8"/>
  <c r="W322" i="8"/>
  <c r="X322" i="8"/>
  <c r="Y322" i="8"/>
  <c r="Z322" i="8"/>
  <c r="AA322" i="8"/>
  <c r="AB322" i="8"/>
  <c r="AC322" i="8"/>
  <c r="AD322" i="8"/>
  <c r="AE322" i="8"/>
  <c r="F279" i="8"/>
  <c r="G279" i="8"/>
  <c r="H279" i="8"/>
  <c r="I279" i="8"/>
  <c r="J279" i="8"/>
  <c r="K279" i="8"/>
  <c r="L279" i="8"/>
  <c r="M279" i="8"/>
  <c r="N279" i="8"/>
  <c r="O279" i="8"/>
  <c r="P279" i="8"/>
  <c r="Q279" i="8"/>
  <c r="R279" i="8"/>
  <c r="S279" i="8"/>
  <c r="T279" i="8"/>
  <c r="U279" i="8"/>
  <c r="V279" i="8"/>
  <c r="W279" i="8"/>
  <c r="X279" i="8"/>
  <c r="Y279" i="8"/>
  <c r="Z279" i="8"/>
  <c r="AA279" i="8"/>
  <c r="AB279" i="8"/>
  <c r="AC279" i="8"/>
  <c r="AD279" i="8"/>
  <c r="AE279" i="8"/>
  <c r="F190" i="8"/>
  <c r="G190" i="8"/>
  <c r="H190" i="8"/>
  <c r="I190" i="8"/>
  <c r="J190" i="8"/>
  <c r="K190" i="8"/>
  <c r="L190" i="8"/>
  <c r="M190" i="8"/>
  <c r="N190" i="8"/>
  <c r="O190" i="8"/>
  <c r="P190" i="8"/>
  <c r="Q190" i="8"/>
  <c r="R190" i="8"/>
  <c r="S190" i="8"/>
  <c r="T190" i="8"/>
  <c r="U190" i="8"/>
  <c r="V190" i="8"/>
  <c r="W190" i="8"/>
  <c r="X190" i="8"/>
  <c r="Y190" i="8"/>
  <c r="Z190" i="8"/>
  <c r="AA190" i="8"/>
  <c r="AB190" i="8"/>
  <c r="AC190" i="8"/>
  <c r="AD190" i="8"/>
  <c r="AE190" i="8"/>
  <c r="F58" i="8"/>
  <c r="G58" i="8"/>
  <c r="H58" i="8"/>
  <c r="I58" i="8"/>
  <c r="J58" i="8"/>
  <c r="K58" i="8"/>
  <c r="L58" i="8"/>
  <c r="M58" i="8"/>
  <c r="N58" i="8"/>
  <c r="O58" i="8"/>
  <c r="P58" i="8"/>
  <c r="Q58" i="8"/>
  <c r="R58" i="8"/>
  <c r="S58" i="8"/>
  <c r="T58" i="8"/>
  <c r="U58" i="8"/>
  <c r="V58" i="8"/>
  <c r="W58" i="8"/>
  <c r="X58" i="8"/>
  <c r="Y58" i="8"/>
  <c r="Z58" i="8"/>
  <c r="AA58" i="8"/>
  <c r="AB58" i="8"/>
  <c r="AC58" i="8"/>
  <c r="AD58" i="8"/>
  <c r="AE58" i="8"/>
  <c r="F165" i="8"/>
  <c r="G165" i="8"/>
  <c r="H165" i="8"/>
  <c r="I165" i="8"/>
  <c r="J165" i="8"/>
  <c r="K165" i="8"/>
  <c r="L165" i="8"/>
  <c r="M165" i="8"/>
  <c r="N165" i="8"/>
  <c r="O165" i="8"/>
  <c r="P165" i="8"/>
  <c r="Q165" i="8"/>
  <c r="R165" i="8"/>
  <c r="S165" i="8"/>
  <c r="T165" i="8"/>
  <c r="U165" i="8"/>
  <c r="V165" i="8"/>
  <c r="W165" i="8"/>
  <c r="X165" i="8"/>
  <c r="Y165" i="8"/>
  <c r="Z165" i="8"/>
  <c r="AA165" i="8"/>
  <c r="AB165" i="8"/>
  <c r="AC165" i="8"/>
  <c r="AD165" i="8"/>
  <c r="AE165" i="8"/>
  <c r="F212" i="8"/>
  <c r="G212" i="8"/>
  <c r="H212" i="8"/>
  <c r="I212" i="8"/>
  <c r="J212" i="8"/>
  <c r="K212" i="8"/>
  <c r="L212" i="8"/>
  <c r="M212" i="8"/>
  <c r="N212" i="8"/>
  <c r="O212" i="8"/>
  <c r="P212" i="8"/>
  <c r="Q212" i="8"/>
  <c r="R212" i="8"/>
  <c r="S212" i="8"/>
  <c r="T212" i="8"/>
  <c r="U212" i="8"/>
  <c r="V212" i="8"/>
  <c r="W212" i="8"/>
  <c r="X212" i="8"/>
  <c r="Y212" i="8"/>
  <c r="Z212" i="8"/>
  <c r="AA212" i="8"/>
  <c r="AB212" i="8"/>
  <c r="AC212" i="8"/>
  <c r="AD212" i="8"/>
  <c r="AE212" i="8"/>
  <c r="F27" i="8"/>
  <c r="G27" i="8"/>
  <c r="H27" i="8"/>
  <c r="I27" i="8"/>
  <c r="J27" i="8"/>
  <c r="K27" i="8"/>
  <c r="L27" i="8"/>
  <c r="M27" i="8"/>
  <c r="N27" i="8"/>
  <c r="O27" i="8"/>
  <c r="P27" i="8"/>
  <c r="Q27" i="8"/>
  <c r="R27" i="8"/>
  <c r="S27" i="8"/>
  <c r="T27" i="8"/>
  <c r="U27" i="8"/>
  <c r="V27" i="8"/>
  <c r="W27" i="8"/>
  <c r="X27" i="8"/>
  <c r="Y27" i="8"/>
  <c r="Z27" i="8"/>
  <c r="AA27" i="8"/>
  <c r="AB27" i="8"/>
  <c r="AC27" i="8"/>
  <c r="AD27" i="8"/>
  <c r="AE27" i="8"/>
  <c r="F189" i="8"/>
  <c r="G189" i="8"/>
  <c r="H189" i="8"/>
  <c r="I189" i="8"/>
  <c r="J189" i="8"/>
  <c r="K189" i="8"/>
  <c r="L189" i="8"/>
  <c r="M189" i="8"/>
  <c r="N189" i="8"/>
  <c r="O189" i="8"/>
  <c r="P189" i="8"/>
  <c r="Q189" i="8"/>
  <c r="R189" i="8"/>
  <c r="S189" i="8"/>
  <c r="T189" i="8"/>
  <c r="U189" i="8"/>
  <c r="V189" i="8"/>
  <c r="W189" i="8"/>
  <c r="X189" i="8"/>
  <c r="Y189" i="8"/>
  <c r="Z189" i="8"/>
  <c r="AA189" i="8"/>
  <c r="AB189" i="8"/>
  <c r="AC189" i="8"/>
  <c r="AD189" i="8"/>
  <c r="AE189" i="8"/>
  <c r="F73" i="8"/>
  <c r="G73" i="8"/>
  <c r="H73" i="8"/>
  <c r="I73" i="8"/>
  <c r="J73" i="8"/>
  <c r="K73" i="8"/>
  <c r="L73" i="8"/>
  <c r="M73" i="8"/>
  <c r="N73" i="8"/>
  <c r="O73" i="8"/>
  <c r="P73" i="8"/>
  <c r="Q73" i="8"/>
  <c r="R73" i="8"/>
  <c r="S73" i="8"/>
  <c r="T73" i="8"/>
  <c r="U73" i="8"/>
  <c r="V73" i="8"/>
  <c r="W73" i="8"/>
  <c r="X73" i="8"/>
  <c r="Y73" i="8"/>
  <c r="Z73" i="8"/>
  <c r="AA73" i="8"/>
  <c r="AB73" i="8"/>
  <c r="AC73" i="8"/>
  <c r="AD73" i="8"/>
  <c r="AE73" i="8"/>
  <c r="F221" i="8"/>
  <c r="G221" i="8"/>
  <c r="H221" i="8"/>
  <c r="I221" i="8"/>
  <c r="J221" i="8"/>
  <c r="K221" i="8"/>
  <c r="L221" i="8"/>
  <c r="M221" i="8"/>
  <c r="N221" i="8"/>
  <c r="O221" i="8"/>
  <c r="P221" i="8"/>
  <c r="Q221" i="8"/>
  <c r="R221" i="8"/>
  <c r="S221" i="8"/>
  <c r="T221" i="8"/>
  <c r="U221" i="8"/>
  <c r="V221" i="8"/>
  <c r="W221" i="8"/>
  <c r="X221" i="8"/>
  <c r="Y221" i="8"/>
  <c r="Z221" i="8"/>
  <c r="AA221" i="8"/>
  <c r="AB221" i="8"/>
  <c r="AC221" i="8"/>
  <c r="AD221" i="8"/>
  <c r="AE221" i="8"/>
  <c r="F88" i="8"/>
  <c r="G88" i="8"/>
  <c r="H88" i="8"/>
  <c r="I88" i="8"/>
  <c r="J88" i="8"/>
  <c r="K88" i="8"/>
  <c r="L88" i="8"/>
  <c r="M88" i="8"/>
  <c r="N88" i="8"/>
  <c r="O88" i="8"/>
  <c r="P88" i="8"/>
  <c r="Q88" i="8"/>
  <c r="R88" i="8"/>
  <c r="S88" i="8"/>
  <c r="T88" i="8"/>
  <c r="U88" i="8"/>
  <c r="V88" i="8"/>
  <c r="W88" i="8"/>
  <c r="X88" i="8"/>
  <c r="Y88" i="8"/>
  <c r="Z88" i="8"/>
  <c r="AA88" i="8"/>
  <c r="AB88" i="8"/>
  <c r="AC88" i="8"/>
  <c r="AD88" i="8"/>
  <c r="AE88" i="8"/>
  <c r="F45" i="8"/>
  <c r="G45" i="8"/>
  <c r="H45" i="8"/>
  <c r="I45" i="8"/>
  <c r="J45" i="8"/>
  <c r="K45" i="8"/>
  <c r="L45" i="8"/>
  <c r="M45" i="8"/>
  <c r="N45" i="8"/>
  <c r="O45" i="8"/>
  <c r="P45" i="8"/>
  <c r="Q45" i="8"/>
  <c r="R45" i="8"/>
  <c r="S45" i="8"/>
  <c r="T45" i="8"/>
  <c r="U45" i="8"/>
  <c r="V45" i="8"/>
  <c r="W45" i="8"/>
  <c r="X45" i="8"/>
  <c r="Y45" i="8"/>
  <c r="Z45" i="8"/>
  <c r="AA45" i="8"/>
  <c r="AB45" i="8"/>
  <c r="AC45" i="8"/>
  <c r="AD45" i="8"/>
  <c r="AE45" i="8"/>
  <c r="F258" i="8"/>
  <c r="G258" i="8"/>
  <c r="H258" i="8"/>
  <c r="I258" i="8"/>
  <c r="J258" i="8"/>
  <c r="K258" i="8"/>
  <c r="L258" i="8"/>
  <c r="M258" i="8"/>
  <c r="N258" i="8"/>
  <c r="O258" i="8"/>
  <c r="P258" i="8"/>
  <c r="Q258" i="8"/>
  <c r="R258" i="8"/>
  <c r="S258" i="8"/>
  <c r="T258" i="8"/>
  <c r="U258" i="8"/>
  <c r="V258" i="8"/>
  <c r="W258" i="8"/>
  <c r="X258" i="8"/>
  <c r="Y258" i="8"/>
  <c r="Z258" i="8"/>
  <c r="AA258" i="8"/>
  <c r="AB258" i="8"/>
  <c r="AC258" i="8"/>
  <c r="AD258" i="8"/>
  <c r="AE258" i="8"/>
  <c r="F301" i="8"/>
  <c r="G301" i="8"/>
  <c r="H301" i="8"/>
  <c r="I301" i="8"/>
  <c r="J301" i="8"/>
  <c r="K301" i="8"/>
  <c r="L301" i="8"/>
  <c r="M301" i="8"/>
  <c r="N301" i="8"/>
  <c r="O301" i="8"/>
  <c r="P301" i="8"/>
  <c r="Q301" i="8"/>
  <c r="R301" i="8"/>
  <c r="S301" i="8"/>
  <c r="T301" i="8"/>
  <c r="U301" i="8"/>
  <c r="V301" i="8"/>
  <c r="W301" i="8"/>
  <c r="X301" i="8"/>
  <c r="Y301" i="8"/>
  <c r="Z301" i="8"/>
  <c r="AA301" i="8"/>
  <c r="AB301" i="8"/>
  <c r="AC301" i="8"/>
  <c r="AD301" i="8"/>
  <c r="AE301" i="8"/>
  <c r="F472" i="8"/>
  <c r="G472" i="8"/>
  <c r="H472" i="8"/>
  <c r="I472" i="8"/>
  <c r="J472" i="8"/>
  <c r="K472" i="8"/>
  <c r="L472" i="8"/>
  <c r="M472" i="8"/>
  <c r="N472" i="8"/>
  <c r="O472" i="8"/>
  <c r="P472" i="8"/>
  <c r="Q472" i="8"/>
  <c r="R472" i="8"/>
  <c r="S472" i="8"/>
  <c r="T472" i="8"/>
  <c r="U472" i="8"/>
  <c r="V472" i="8"/>
  <c r="W472" i="8"/>
  <c r="X472" i="8"/>
  <c r="Y472" i="8"/>
  <c r="Z472" i="8"/>
  <c r="AA472" i="8"/>
  <c r="AB472" i="8"/>
  <c r="AC472" i="8"/>
  <c r="AD472" i="8"/>
  <c r="AE472" i="8"/>
  <c r="F374" i="8"/>
  <c r="G374" i="8"/>
  <c r="H374" i="8"/>
  <c r="I374" i="8"/>
  <c r="J374" i="8"/>
  <c r="K374" i="8"/>
  <c r="L374" i="8"/>
  <c r="M374" i="8"/>
  <c r="N374" i="8"/>
  <c r="O374" i="8"/>
  <c r="P374" i="8"/>
  <c r="Q374" i="8"/>
  <c r="R374" i="8"/>
  <c r="S374" i="8"/>
  <c r="T374" i="8"/>
  <c r="U374" i="8"/>
  <c r="V374" i="8"/>
  <c r="W374" i="8"/>
  <c r="X374" i="8"/>
  <c r="Y374" i="8"/>
  <c r="Z374" i="8"/>
  <c r="AA374" i="8"/>
  <c r="AB374" i="8"/>
  <c r="AC374" i="8"/>
  <c r="AD374" i="8"/>
  <c r="AE374" i="8"/>
  <c r="F82" i="8"/>
  <c r="G82" i="8"/>
  <c r="H82" i="8"/>
  <c r="I82" i="8"/>
  <c r="J82" i="8"/>
  <c r="K82" i="8"/>
  <c r="L82" i="8"/>
  <c r="M82" i="8"/>
  <c r="N82" i="8"/>
  <c r="O82" i="8"/>
  <c r="P82" i="8"/>
  <c r="Q82" i="8"/>
  <c r="R82" i="8"/>
  <c r="S82" i="8"/>
  <c r="T82" i="8"/>
  <c r="U82" i="8"/>
  <c r="V82" i="8"/>
  <c r="W82" i="8"/>
  <c r="X82" i="8"/>
  <c r="Y82" i="8"/>
  <c r="Z82" i="8"/>
  <c r="AA82" i="8"/>
  <c r="AB82" i="8"/>
  <c r="AC82" i="8"/>
  <c r="AD82" i="8"/>
  <c r="AE82" i="8"/>
  <c r="F278" i="8"/>
  <c r="G278" i="8"/>
  <c r="H278" i="8"/>
  <c r="I278" i="8"/>
  <c r="J278" i="8"/>
  <c r="K278" i="8"/>
  <c r="L278" i="8"/>
  <c r="M278" i="8"/>
  <c r="N278" i="8"/>
  <c r="O278" i="8"/>
  <c r="P278" i="8"/>
  <c r="Q278" i="8"/>
  <c r="R278" i="8"/>
  <c r="S278" i="8"/>
  <c r="T278" i="8"/>
  <c r="U278" i="8"/>
  <c r="V278" i="8"/>
  <c r="W278" i="8"/>
  <c r="X278" i="8"/>
  <c r="Y278" i="8"/>
  <c r="Z278" i="8"/>
  <c r="AA278" i="8"/>
  <c r="AB278" i="8"/>
  <c r="AC278" i="8"/>
  <c r="AD278" i="8"/>
  <c r="AE278" i="8"/>
  <c r="F101" i="8"/>
  <c r="G101" i="8"/>
  <c r="H101" i="8"/>
  <c r="I101" i="8"/>
  <c r="J101" i="8"/>
  <c r="K101" i="8"/>
  <c r="L101" i="8"/>
  <c r="M101" i="8"/>
  <c r="N101" i="8"/>
  <c r="O101" i="8"/>
  <c r="P101" i="8"/>
  <c r="Q101" i="8"/>
  <c r="R101" i="8"/>
  <c r="S101" i="8"/>
  <c r="T101" i="8"/>
  <c r="U101" i="8"/>
  <c r="V101" i="8"/>
  <c r="W101" i="8"/>
  <c r="X101" i="8"/>
  <c r="Y101" i="8"/>
  <c r="Z101" i="8"/>
  <c r="AA101" i="8"/>
  <c r="AB101" i="8"/>
  <c r="AC101" i="8"/>
  <c r="AD101" i="8"/>
  <c r="AE101" i="8"/>
  <c r="F372" i="8"/>
  <c r="G372" i="8"/>
  <c r="H372" i="8"/>
  <c r="I372" i="8"/>
  <c r="J372" i="8"/>
  <c r="K372" i="8"/>
  <c r="L372" i="8"/>
  <c r="M372" i="8"/>
  <c r="N372" i="8"/>
  <c r="O372" i="8"/>
  <c r="P372" i="8"/>
  <c r="Q372" i="8"/>
  <c r="R372" i="8"/>
  <c r="S372" i="8"/>
  <c r="T372" i="8"/>
  <c r="U372" i="8"/>
  <c r="V372" i="8"/>
  <c r="W372" i="8"/>
  <c r="X372" i="8"/>
  <c r="Y372" i="8"/>
  <c r="Z372" i="8"/>
  <c r="AA372" i="8"/>
  <c r="AB372" i="8"/>
  <c r="AC372" i="8"/>
  <c r="AD372" i="8"/>
  <c r="AE372" i="8"/>
  <c r="F429" i="8"/>
  <c r="G429" i="8"/>
  <c r="H429" i="8"/>
  <c r="I429" i="8"/>
  <c r="J429" i="8"/>
  <c r="K429" i="8"/>
  <c r="L429" i="8"/>
  <c r="M429" i="8"/>
  <c r="N429" i="8"/>
  <c r="O429" i="8"/>
  <c r="P429" i="8"/>
  <c r="Q429" i="8"/>
  <c r="R429" i="8"/>
  <c r="S429" i="8"/>
  <c r="T429" i="8"/>
  <c r="U429" i="8"/>
  <c r="V429" i="8"/>
  <c r="W429" i="8"/>
  <c r="X429" i="8"/>
  <c r="Y429" i="8"/>
  <c r="Z429" i="8"/>
  <c r="AA429" i="8"/>
  <c r="AB429" i="8"/>
  <c r="AC429" i="8"/>
  <c r="AD429" i="8"/>
  <c r="AE429" i="8"/>
  <c r="F416" i="8"/>
  <c r="G416" i="8"/>
  <c r="H416" i="8"/>
  <c r="I416" i="8"/>
  <c r="J416" i="8"/>
  <c r="K416" i="8"/>
  <c r="L416" i="8"/>
  <c r="M416" i="8"/>
  <c r="N416" i="8"/>
  <c r="O416" i="8"/>
  <c r="P416" i="8"/>
  <c r="Q416" i="8"/>
  <c r="R416" i="8"/>
  <c r="S416" i="8"/>
  <c r="T416" i="8"/>
  <c r="U416" i="8"/>
  <c r="V416" i="8"/>
  <c r="W416" i="8"/>
  <c r="X416" i="8"/>
  <c r="Y416" i="8"/>
  <c r="Z416" i="8"/>
  <c r="AA416" i="8"/>
  <c r="AB416" i="8"/>
  <c r="AC416" i="8"/>
  <c r="AD416" i="8"/>
  <c r="AE416" i="8"/>
  <c r="F447" i="8"/>
  <c r="G447" i="8"/>
  <c r="H447" i="8"/>
  <c r="I447" i="8"/>
  <c r="J447" i="8"/>
  <c r="K447" i="8"/>
  <c r="L447" i="8"/>
  <c r="M447" i="8"/>
  <c r="N447" i="8"/>
  <c r="O447" i="8"/>
  <c r="P447" i="8"/>
  <c r="Q447" i="8"/>
  <c r="R447" i="8"/>
  <c r="S447" i="8"/>
  <c r="T447" i="8"/>
  <c r="U447" i="8"/>
  <c r="V447" i="8"/>
  <c r="W447" i="8"/>
  <c r="X447" i="8"/>
  <c r="Y447" i="8"/>
  <c r="Z447" i="8"/>
  <c r="AA447" i="8"/>
  <c r="AB447" i="8"/>
  <c r="AC447" i="8"/>
  <c r="AD447" i="8"/>
  <c r="AE447" i="8"/>
  <c r="F507" i="8"/>
  <c r="G507" i="8"/>
  <c r="H507" i="8"/>
  <c r="I507" i="8"/>
  <c r="J507" i="8"/>
  <c r="K507" i="8"/>
  <c r="L507" i="8"/>
  <c r="M507" i="8"/>
  <c r="N507" i="8"/>
  <c r="O507" i="8"/>
  <c r="P507" i="8"/>
  <c r="Q507" i="8"/>
  <c r="R507" i="8"/>
  <c r="S507" i="8"/>
  <c r="T507" i="8"/>
  <c r="U507" i="8"/>
  <c r="V507" i="8"/>
  <c r="W507" i="8"/>
  <c r="X507" i="8"/>
  <c r="Y507" i="8"/>
  <c r="Z507" i="8"/>
  <c r="AA507" i="8"/>
  <c r="AB507" i="8"/>
  <c r="AC507" i="8"/>
  <c r="AD507" i="8"/>
  <c r="AE507" i="8"/>
  <c r="F486" i="8"/>
  <c r="G486" i="8"/>
  <c r="H486" i="8"/>
  <c r="I486" i="8"/>
  <c r="J486" i="8"/>
  <c r="K486" i="8"/>
  <c r="L486" i="8"/>
  <c r="M486" i="8"/>
  <c r="N486" i="8"/>
  <c r="O486" i="8"/>
  <c r="P486" i="8"/>
  <c r="Q486" i="8"/>
  <c r="R486" i="8"/>
  <c r="S486" i="8"/>
  <c r="T486" i="8"/>
  <c r="U486" i="8"/>
  <c r="V486" i="8"/>
  <c r="W486" i="8"/>
  <c r="X486" i="8"/>
  <c r="Y486" i="8"/>
  <c r="Z486" i="8"/>
  <c r="AA486" i="8"/>
  <c r="AB486" i="8"/>
  <c r="AC486" i="8"/>
  <c r="AD486" i="8"/>
  <c r="AE486" i="8"/>
  <c r="F182" i="8"/>
  <c r="G182" i="8"/>
  <c r="H182" i="8"/>
  <c r="I182" i="8"/>
  <c r="J182" i="8"/>
  <c r="K182" i="8"/>
  <c r="L182" i="8"/>
  <c r="M182" i="8"/>
  <c r="N182" i="8"/>
  <c r="O182" i="8"/>
  <c r="P182" i="8"/>
  <c r="Q182" i="8"/>
  <c r="R182" i="8"/>
  <c r="S182" i="8"/>
  <c r="T182" i="8"/>
  <c r="U182" i="8"/>
  <c r="V182" i="8"/>
  <c r="W182" i="8"/>
  <c r="X182" i="8"/>
  <c r="Y182" i="8"/>
  <c r="Z182" i="8"/>
  <c r="AA182" i="8"/>
  <c r="AB182" i="8"/>
  <c r="AC182" i="8"/>
  <c r="AD182" i="8"/>
  <c r="AE182" i="8"/>
  <c r="F286" i="8"/>
  <c r="G286" i="8"/>
  <c r="H286" i="8"/>
  <c r="I286" i="8"/>
  <c r="J286" i="8"/>
  <c r="K286" i="8"/>
  <c r="L286" i="8"/>
  <c r="M286" i="8"/>
  <c r="N286" i="8"/>
  <c r="O286" i="8"/>
  <c r="P286" i="8"/>
  <c r="Q286" i="8"/>
  <c r="R286" i="8"/>
  <c r="S286" i="8"/>
  <c r="T286" i="8"/>
  <c r="U286" i="8"/>
  <c r="V286" i="8"/>
  <c r="W286" i="8"/>
  <c r="X286" i="8"/>
  <c r="Y286" i="8"/>
  <c r="Z286" i="8"/>
  <c r="AA286" i="8"/>
  <c r="AB286" i="8"/>
  <c r="AC286" i="8"/>
  <c r="AD286" i="8"/>
  <c r="AE286" i="8"/>
  <c r="F357" i="8"/>
  <c r="G357" i="8"/>
  <c r="H357" i="8"/>
  <c r="I357" i="8"/>
  <c r="J357" i="8"/>
  <c r="K357" i="8"/>
  <c r="L357" i="8"/>
  <c r="M357" i="8"/>
  <c r="N357" i="8"/>
  <c r="O357" i="8"/>
  <c r="P357" i="8"/>
  <c r="Q357" i="8"/>
  <c r="R357" i="8"/>
  <c r="S357" i="8"/>
  <c r="T357" i="8"/>
  <c r="U357" i="8"/>
  <c r="V357" i="8"/>
  <c r="W357" i="8"/>
  <c r="X357" i="8"/>
  <c r="Y357" i="8"/>
  <c r="Z357" i="8"/>
  <c r="AA357" i="8"/>
  <c r="AB357" i="8"/>
  <c r="AC357" i="8"/>
  <c r="AD357" i="8"/>
  <c r="AE357" i="8"/>
  <c r="F493" i="8"/>
  <c r="G493" i="8"/>
  <c r="H493" i="8"/>
  <c r="I493" i="8"/>
  <c r="J493" i="8"/>
  <c r="K493" i="8"/>
  <c r="L493" i="8"/>
  <c r="M493" i="8"/>
  <c r="N493" i="8"/>
  <c r="O493" i="8"/>
  <c r="P493" i="8"/>
  <c r="Q493" i="8"/>
  <c r="R493" i="8"/>
  <c r="S493" i="8"/>
  <c r="T493" i="8"/>
  <c r="U493" i="8"/>
  <c r="V493" i="8"/>
  <c r="W493" i="8"/>
  <c r="X493" i="8"/>
  <c r="Y493" i="8"/>
  <c r="Z493" i="8"/>
  <c r="AA493" i="8"/>
  <c r="AB493" i="8"/>
  <c r="AC493" i="8"/>
  <c r="AD493" i="8"/>
  <c r="AE493" i="8"/>
  <c r="F254" i="8"/>
  <c r="G254" i="8"/>
  <c r="H254" i="8"/>
  <c r="I254" i="8"/>
  <c r="J254" i="8"/>
  <c r="K254" i="8"/>
  <c r="L254" i="8"/>
  <c r="M254" i="8"/>
  <c r="N254" i="8"/>
  <c r="O254" i="8"/>
  <c r="P254" i="8"/>
  <c r="Q254" i="8"/>
  <c r="R254" i="8"/>
  <c r="S254" i="8"/>
  <c r="T254" i="8"/>
  <c r="U254" i="8"/>
  <c r="V254" i="8"/>
  <c r="W254" i="8"/>
  <c r="X254" i="8"/>
  <c r="Y254" i="8"/>
  <c r="Z254" i="8"/>
  <c r="AA254" i="8"/>
  <c r="AB254" i="8"/>
  <c r="AC254" i="8"/>
  <c r="AD254" i="8"/>
  <c r="AE254" i="8"/>
  <c r="F320" i="8"/>
  <c r="G320" i="8"/>
  <c r="H320" i="8"/>
  <c r="I320" i="8"/>
  <c r="J320" i="8"/>
  <c r="K320" i="8"/>
  <c r="L320" i="8"/>
  <c r="M320" i="8"/>
  <c r="N320" i="8"/>
  <c r="O320" i="8"/>
  <c r="P320" i="8"/>
  <c r="Q320" i="8"/>
  <c r="R320" i="8"/>
  <c r="S320" i="8"/>
  <c r="T320" i="8"/>
  <c r="U320" i="8"/>
  <c r="V320" i="8"/>
  <c r="W320" i="8"/>
  <c r="X320" i="8"/>
  <c r="Y320" i="8"/>
  <c r="Z320" i="8"/>
  <c r="AA320" i="8"/>
  <c r="AB320" i="8"/>
  <c r="AC320" i="8"/>
  <c r="AD320" i="8"/>
  <c r="AE320" i="8"/>
  <c r="F397" i="8"/>
  <c r="G397" i="8"/>
  <c r="H397" i="8"/>
  <c r="I397" i="8"/>
  <c r="J397" i="8"/>
  <c r="K397" i="8"/>
  <c r="L397" i="8"/>
  <c r="M397" i="8"/>
  <c r="N397" i="8"/>
  <c r="O397" i="8"/>
  <c r="P397" i="8"/>
  <c r="Q397" i="8"/>
  <c r="R397" i="8"/>
  <c r="S397" i="8"/>
  <c r="T397" i="8"/>
  <c r="U397" i="8"/>
  <c r="V397" i="8"/>
  <c r="W397" i="8"/>
  <c r="X397" i="8"/>
  <c r="Y397" i="8"/>
  <c r="Z397" i="8"/>
  <c r="AA397" i="8"/>
  <c r="AB397" i="8"/>
  <c r="AC397" i="8"/>
  <c r="AD397" i="8"/>
  <c r="AE397" i="8"/>
  <c r="F132" i="8"/>
  <c r="G132" i="8"/>
  <c r="H132" i="8"/>
  <c r="I132" i="8"/>
  <c r="J132" i="8"/>
  <c r="K132" i="8"/>
  <c r="L132" i="8"/>
  <c r="M132" i="8"/>
  <c r="N132" i="8"/>
  <c r="O132" i="8"/>
  <c r="P132" i="8"/>
  <c r="Q132" i="8"/>
  <c r="R132" i="8"/>
  <c r="S132" i="8"/>
  <c r="T132" i="8"/>
  <c r="U132" i="8"/>
  <c r="V132" i="8"/>
  <c r="W132" i="8"/>
  <c r="X132" i="8"/>
  <c r="Y132" i="8"/>
  <c r="Z132" i="8"/>
  <c r="AA132" i="8"/>
  <c r="AB132" i="8"/>
  <c r="AC132" i="8"/>
  <c r="AD132" i="8"/>
  <c r="AE132" i="8"/>
  <c r="F8" i="8"/>
  <c r="G8" i="8"/>
  <c r="H8" i="8"/>
  <c r="I8" i="8"/>
  <c r="J8" i="8"/>
  <c r="K8" i="8"/>
  <c r="L8" i="8"/>
  <c r="M8" i="8"/>
  <c r="N8" i="8"/>
  <c r="O8" i="8"/>
  <c r="P8" i="8"/>
  <c r="Q8" i="8"/>
  <c r="R8" i="8"/>
  <c r="S8" i="8"/>
  <c r="T8" i="8"/>
  <c r="U8" i="8"/>
  <c r="V8" i="8"/>
  <c r="W8" i="8"/>
  <c r="X8" i="8"/>
  <c r="Y8" i="8"/>
  <c r="Z8" i="8"/>
  <c r="AA8" i="8"/>
  <c r="AB8" i="8"/>
  <c r="AC8" i="8"/>
  <c r="AD8" i="8"/>
  <c r="AE8" i="8"/>
  <c r="F329" i="8"/>
  <c r="G329" i="8"/>
  <c r="H329" i="8"/>
  <c r="I329" i="8"/>
  <c r="J329" i="8"/>
  <c r="K329" i="8"/>
  <c r="L329" i="8"/>
  <c r="M329" i="8"/>
  <c r="N329" i="8"/>
  <c r="O329" i="8"/>
  <c r="P329" i="8"/>
  <c r="Q329" i="8"/>
  <c r="R329" i="8"/>
  <c r="S329" i="8"/>
  <c r="T329" i="8"/>
  <c r="U329" i="8"/>
  <c r="V329" i="8"/>
  <c r="W329" i="8"/>
  <c r="X329" i="8"/>
  <c r="Y329" i="8"/>
  <c r="Z329" i="8"/>
  <c r="AA329" i="8"/>
  <c r="AB329" i="8"/>
  <c r="AC329" i="8"/>
  <c r="AD329" i="8"/>
  <c r="AE329" i="8"/>
  <c r="F70" i="8"/>
  <c r="G70" i="8"/>
  <c r="H70" i="8"/>
  <c r="I70" i="8"/>
  <c r="J70" i="8"/>
  <c r="K70" i="8"/>
  <c r="L70" i="8"/>
  <c r="M70" i="8"/>
  <c r="N70" i="8"/>
  <c r="O70" i="8"/>
  <c r="P70" i="8"/>
  <c r="Q70" i="8"/>
  <c r="R70" i="8"/>
  <c r="S70" i="8"/>
  <c r="T70" i="8"/>
  <c r="U70" i="8"/>
  <c r="V70" i="8"/>
  <c r="W70" i="8"/>
  <c r="X70" i="8"/>
  <c r="Y70" i="8"/>
  <c r="Z70" i="8"/>
  <c r="AA70" i="8"/>
  <c r="AB70" i="8"/>
  <c r="AC70" i="8"/>
  <c r="AD70" i="8"/>
  <c r="AE70" i="8"/>
  <c r="F291" i="8"/>
  <c r="G291" i="8"/>
  <c r="H291" i="8"/>
  <c r="I291" i="8"/>
  <c r="J291" i="8"/>
  <c r="K291" i="8"/>
  <c r="L291" i="8"/>
  <c r="M291" i="8"/>
  <c r="N291" i="8"/>
  <c r="O291" i="8"/>
  <c r="P291" i="8"/>
  <c r="Q291" i="8"/>
  <c r="R291" i="8"/>
  <c r="S291" i="8"/>
  <c r="T291" i="8"/>
  <c r="U291" i="8"/>
  <c r="V291" i="8"/>
  <c r="W291" i="8"/>
  <c r="X291" i="8"/>
  <c r="Y291" i="8"/>
  <c r="Z291" i="8"/>
  <c r="AA291" i="8"/>
  <c r="AB291" i="8"/>
  <c r="AC291" i="8"/>
  <c r="AD291" i="8"/>
  <c r="AE291" i="8"/>
  <c r="F213" i="8"/>
  <c r="G213" i="8"/>
  <c r="H213" i="8"/>
  <c r="I213" i="8"/>
  <c r="J213" i="8"/>
  <c r="K213" i="8"/>
  <c r="L213" i="8"/>
  <c r="M213" i="8"/>
  <c r="N213" i="8"/>
  <c r="O213" i="8"/>
  <c r="P213" i="8"/>
  <c r="Q213" i="8"/>
  <c r="R213" i="8"/>
  <c r="S213" i="8"/>
  <c r="T213" i="8"/>
  <c r="U213" i="8"/>
  <c r="V213" i="8"/>
  <c r="W213" i="8"/>
  <c r="X213" i="8"/>
  <c r="Y213" i="8"/>
  <c r="Z213" i="8"/>
  <c r="AA213" i="8"/>
  <c r="AB213" i="8"/>
  <c r="AC213" i="8"/>
  <c r="AD213" i="8"/>
  <c r="AE213" i="8"/>
  <c r="F458" i="8"/>
  <c r="G458" i="8"/>
  <c r="H458" i="8"/>
  <c r="I458" i="8"/>
  <c r="J458" i="8"/>
  <c r="K458" i="8"/>
  <c r="L458" i="8"/>
  <c r="M458" i="8"/>
  <c r="N458" i="8"/>
  <c r="O458" i="8"/>
  <c r="P458" i="8"/>
  <c r="Q458" i="8"/>
  <c r="R458" i="8"/>
  <c r="S458" i="8"/>
  <c r="T458" i="8"/>
  <c r="U458" i="8"/>
  <c r="V458" i="8"/>
  <c r="W458" i="8"/>
  <c r="X458" i="8"/>
  <c r="Y458" i="8"/>
  <c r="Z458" i="8"/>
  <c r="AA458" i="8"/>
  <c r="AB458" i="8"/>
  <c r="AC458" i="8"/>
  <c r="AD458" i="8"/>
  <c r="AE458" i="8"/>
  <c r="F347" i="8"/>
  <c r="G347" i="8"/>
  <c r="H347" i="8"/>
  <c r="I347" i="8"/>
  <c r="J347" i="8"/>
  <c r="K347" i="8"/>
  <c r="L347" i="8"/>
  <c r="M347" i="8"/>
  <c r="N347" i="8"/>
  <c r="O347" i="8"/>
  <c r="P347" i="8"/>
  <c r="Q347" i="8"/>
  <c r="R347" i="8"/>
  <c r="S347" i="8"/>
  <c r="T347" i="8"/>
  <c r="U347" i="8"/>
  <c r="V347" i="8"/>
  <c r="W347" i="8"/>
  <c r="X347" i="8"/>
  <c r="Y347" i="8"/>
  <c r="Z347" i="8"/>
  <c r="AA347" i="8"/>
  <c r="AB347" i="8"/>
  <c r="AC347" i="8"/>
  <c r="AD347" i="8"/>
  <c r="AE347" i="8"/>
  <c r="F274" i="8"/>
  <c r="G274" i="8"/>
  <c r="H274" i="8"/>
  <c r="I274" i="8"/>
  <c r="J274" i="8"/>
  <c r="K274" i="8"/>
  <c r="L274" i="8"/>
  <c r="M274" i="8"/>
  <c r="N274" i="8"/>
  <c r="O274" i="8"/>
  <c r="P274" i="8"/>
  <c r="Q274" i="8"/>
  <c r="R274" i="8"/>
  <c r="S274" i="8"/>
  <c r="T274" i="8"/>
  <c r="U274" i="8"/>
  <c r="V274" i="8"/>
  <c r="W274" i="8"/>
  <c r="X274" i="8"/>
  <c r="Y274" i="8"/>
  <c r="Z274" i="8"/>
  <c r="AA274" i="8"/>
  <c r="AB274" i="8"/>
  <c r="AC274" i="8"/>
  <c r="AD274" i="8"/>
  <c r="AE274" i="8"/>
  <c r="F583" i="8"/>
  <c r="G583" i="8"/>
  <c r="H583" i="8"/>
  <c r="I583" i="8"/>
  <c r="J583" i="8"/>
  <c r="K583" i="8"/>
  <c r="L583" i="8"/>
  <c r="M583" i="8"/>
  <c r="N583" i="8"/>
  <c r="O583" i="8"/>
  <c r="P583" i="8"/>
  <c r="Q583" i="8"/>
  <c r="R583" i="8"/>
  <c r="S583" i="8"/>
  <c r="T583" i="8"/>
  <c r="U583" i="8"/>
  <c r="V583" i="8"/>
  <c r="W583" i="8"/>
  <c r="X583" i="8"/>
  <c r="Y583" i="8"/>
  <c r="Z583" i="8"/>
  <c r="AA583" i="8"/>
  <c r="AB583" i="8"/>
  <c r="AC583" i="8"/>
  <c r="AD583" i="8"/>
  <c r="AE583" i="8"/>
  <c r="F143" i="8"/>
  <c r="G143" i="8"/>
  <c r="H143" i="8"/>
  <c r="I143" i="8"/>
  <c r="J143" i="8"/>
  <c r="K143" i="8"/>
  <c r="L143" i="8"/>
  <c r="M143" i="8"/>
  <c r="N143" i="8"/>
  <c r="O143" i="8"/>
  <c r="P143" i="8"/>
  <c r="Q143" i="8"/>
  <c r="R143" i="8"/>
  <c r="S143" i="8"/>
  <c r="T143" i="8"/>
  <c r="U143" i="8"/>
  <c r="V143" i="8"/>
  <c r="W143" i="8"/>
  <c r="X143" i="8"/>
  <c r="Y143" i="8"/>
  <c r="Z143" i="8"/>
  <c r="AA143" i="8"/>
  <c r="AB143" i="8"/>
  <c r="AC143" i="8"/>
  <c r="AD143" i="8"/>
  <c r="AE143" i="8"/>
  <c r="F197" i="8"/>
  <c r="G197" i="8"/>
  <c r="H197" i="8"/>
  <c r="I197" i="8"/>
  <c r="J197" i="8"/>
  <c r="K197" i="8"/>
  <c r="L197" i="8"/>
  <c r="M197" i="8"/>
  <c r="N197" i="8"/>
  <c r="O197" i="8"/>
  <c r="P197" i="8"/>
  <c r="Q197" i="8"/>
  <c r="R197" i="8"/>
  <c r="S197" i="8"/>
  <c r="T197" i="8"/>
  <c r="U197" i="8"/>
  <c r="V197" i="8"/>
  <c r="W197" i="8"/>
  <c r="X197" i="8"/>
  <c r="Y197" i="8"/>
  <c r="Z197" i="8"/>
  <c r="AA197" i="8"/>
  <c r="AB197" i="8"/>
  <c r="AC197" i="8"/>
  <c r="AD197" i="8"/>
  <c r="AE197" i="8"/>
  <c r="F108" i="8"/>
  <c r="G108" i="8"/>
  <c r="H108" i="8"/>
  <c r="I108" i="8"/>
  <c r="J108" i="8"/>
  <c r="K108" i="8"/>
  <c r="L108" i="8"/>
  <c r="M108" i="8"/>
  <c r="N108" i="8"/>
  <c r="O108" i="8"/>
  <c r="P108" i="8"/>
  <c r="Q108" i="8"/>
  <c r="R108" i="8"/>
  <c r="S108" i="8"/>
  <c r="T108" i="8"/>
  <c r="U108" i="8"/>
  <c r="V108" i="8"/>
  <c r="W108" i="8"/>
  <c r="X108" i="8"/>
  <c r="Y108" i="8"/>
  <c r="Z108" i="8"/>
  <c r="AA108" i="8"/>
  <c r="AB108" i="8"/>
  <c r="AC108" i="8"/>
  <c r="AD108" i="8"/>
  <c r="AE108" i="8"/>
  <c r="F413" i="8"/>
  <c r="G413" i="8"/>
  <c r="H413" i="8"/>
  <c r="I413" i="8"/>
  <c r="J413" i="8"/>
  <c r="K413" i="8"/>
  <c r="L413" i="8"/>
  <c r="M413" i="8"/>
  <c r="N413" i="8"/>
  <c r="O413" i="8"/>
  <c r="P413" i="8"/>
  <c r="Q413" i="8"/>
  <c r="R413" i="8"/>
  <c r="S413" i="8"/>
  <c r="T413" i="8"/>
  <c r="U413" i="8"/>
  <c r="V413" i="8"/>
  <c r="W413" i="8"/>
  <c r="X413" i="8"/>
  <c r="Y413" i="8"/>
  <c r="Z413" i="8"/>
  <c r="AA413" i="8"/>
  <c r="AB413" i="8"/>
  <c r="AC413" i="8"/>
  <c r="AD413" i="8"/>
  <c r="AE413" i="8"/>
  <c r="F425" i="8"/>
  <c r="G425" i="8"/>
  <c r="H425" i="8"/>
  <c r="I425" i="8"/>
  <c r="J425" i="8"/>
  <c r="K425" i="8"/>
  <c r="L425" i="8"/>
  <c r="M425" i="8"/>
  <c r="N425" i="8"/>
  <c r="O425" i="8"/>
  <c r="P425" i="8"/>
  <c r="Q425" i="8"/>
  <c r="R425" i="8"/>
  <c r="S425" i="8"/>
  <c r="T425" i="8"/>
  <c r="U425" i="8"/>
  <c r="V425" i="8"/>
  <c r="W425" i="8"/>
  <c r="X425" i="8"/>
  <c r="Y425" i="8"/>
  <c r="Z425" i="8"/>
  <c r="AA425" i="8"/>
  <c r="AB425" i="8"/>
  <c r="AC425" i="8"/>
  <c r="AD425" i="8"/>
  <c r="AE425" i="8"/>
  <c r="F232" i="8"/>
  <c r="G232" i="8"/>
  <c r="H232" i="8"/>
  <c r="I232" i="8"/>
  <c r="J232" i="8"/>
  <c r="K232" i="8"/>
  <c r="L232" i="8"/>
  <c r="M232" i="8"/>
  <c r="N232" i="8"/>
  <c r="O232" i="8"/>
  <c r="P232" i="8"/>
  <c r="Q232" i="8"/>
  <c r="R232" i="8"/>
  <c r="S232" i="8"/>
  <c r="T232" i="8"/>
  <c r="U232" i="8"/>
  <c r="V232" i="8"/>
  <c r="W232" i="8"/>
  <c r="X232" i="8"/>
  <c r="Y232" i="8"/>
  <c r="Z232" i="8"/>
  <c r="AA232" i="8"/>
  <c r="AB232" i="8"/>
  <c r="AC232" i="8"/>
  <c r="AD232" i="8"/>
  <c r="AE232" i="8"/>
  <c r="F452" i="8"/>
  <c r="G452" i="8"/>
  <c r="H452" i="8"/>
  <c r="I452" i="8"/>
  <c r="J452" i="8"/>
  <c r="K452" i="8"/>
  <c r="L452" i="8"/>
  <c r="M452" i="8"/>
  <c r="N452" i="8"/>
  <c r="O452" i="8"/>
  <c r="P452" i="8"/>
  <c r="Q452" i="8"/>
  <c r="R452" i="8"/>
  <c r="S452" i="8"/>
  <c r="T452" i="8"/>
  <c r="U452" i="8"/>
  <c r="V452" i="8"/>
  <c r="W452" i="8"/>
  <c r="X452" i="8"/>
  <c r="Y452" i="8"/>
  <c r="Z452" i="8"/>
  <c r="AA452" i="8"/>
  <c r="AB452" i="8"/>
  <c r="AC452" i="8"/>
  <c r="AD452" i="8"/>
  <c r="AE452" i="8"/>
  <c r="F380" i="8"/>
  <c r="G380" i="8"/>
  <c r="H380" i="8"/>
  <c r="I380" i="8"/>
  <c r="J380" i="8"/>
  <c r="K380" i="8"/>
  <c r="L380" i="8"/>
  <c r="M380" i="8"/>
  <c r="N380" i="8"/>
  <c r="O380" i="8"/>
  <c r="P380" i="8"/>
  <c r="Q380" i="8"/>
  <c r="R380" i="8"/>
  <c r="S380" i="8"/>
  <c r="T380" i="8"/>
  <c r="U380" i="8"/>
  <c r="V380" i="8"/>
  <c r="W380" i="8"/>
  <c r="X380" i="8"/>
  <c r="Y380" i="8"/>
  <c r="Z380" i="8"/>
  <c r="AA380" i="8"/>
  <c r="AB380" i="8"/>
  <c r="AC380" i="8"/>
  <c r="AD380" i="8"/>
  <c r="AE380" i="8"/>
  <c r="F284" i="8"/>
  <c r="G284" i="8"/>
  <c r="H284" i="8"/>
  <c r="I284" i="8"/>
  <c r="J284" i="8"/>
  <c r="K284" i="8"/>
  <c r="L284" i="8"/>
  <c r="M284" i="8"/>
  <c r="N284" i="8"/>
  <c r="O284" i="8"/>
  <c r="P284" i="8"/>
  <c r="Q284" i="8"/>
  <c r="R284" i="8"/>
  <c r="S284" i="8"/>
  <c r="T284" i="8"/>
  <c r="U284" i="8"/>
  <c r="V284" i="8"/>
  <c r="W284" i="8"/>
  <c r="X284" i="8"/>
  <c r="Y284" i="8"/>
  <c r="Z284" i="8"/>
  <c r="AA284" i="8"/>
  <c r="AB284" i="8"/>
  <c r="AC284" i="8"/>
  <c r="AD284" i="8"/>
  <c r="AE284" i="8"/>
  <c r="F167" i="8"/>
  <c r="G167" i="8"/>
  <c r="H167" i="8"/>
  <c r="I167" i="8"/>
  <c r="J167" i="8"/>
  <c r="K167" i="8"/>
  <c r="L167" i="8"/>
  <c r="M167" i="8"/>
  <c r="N167" i="8"/>
  <c r="O167" i="8"/>
  <c r="P167" i="8"/>
  <c r="Q167" i="8"/>
  <c r="R167" i="8"/>
  <c r="S167" i="8"/>
  <c r="T167" i="8"/>
  <c r="U167" i="8"/>
  <c r="V167" i="8"/>
  <c r="W167" i="8"/>
  <c r="X167" i="8"/>
  <c r="Y167" i="8"/>
  <c r="Z167" i="8"/>
  <c r="AA167" i="8"/>
  <c r="AB167" i="8"/>
  <c r="AC167" i="8"/>
  <c r="AD167" i="8"/>
  <c r="AE167" i="8"/>
  <c r="F282" i="8"/>
  <c r="G282" i="8"/>
  <c r="H282" i="8"/>
  <c r="I282" i="8"/>
  <c r="J282" i="8"/>
  <c r="K282" i="8"/>
  <c r="L282" i="8"/>
  <c r="M282" i="8"/>
  <c r="N282" i="8"/>
  <c r="O282" i="8"/>
  <c r="P282" i="8"/>
  <c r="Q282" i="8"/>
  <c r="R282" i="8"/>
  <c r="S282" i="8"/>
  <c r="T282" i="8"/>
  <c r="U282" i="8"/>
  <c r="V282" i="8"/>
  <c r="W282" i="8"/>
  <c r="X282" i="8"/>
  <c r="Y282" i="8"/>
  <c r="Z282" i="8"/>
  <c r="AA282" i="8"/>
  <c r="AB282" i="8"/>
  <c r="AC282" i="8"/>
  <c r="AD282" i="8"/>
  <c r="AE282" i="8"/>
  <c r="F287" i="8"/>
  <c r="G287" i="8"/>
  <c r="H287" i="8"/>
  <c r="I287" i="8"/>
  <c r="J287" i="8"/>
  <c r="K287" i="8"/>
  <c r="L287" i="8"/>
  <c r="M287" i="8"/>
  <c r="N287" i="8"/>
  <c r="O287" i="8"/>
  <c r="P287" i="8"/>
  <c r="Q287" i="8"/>
  <c r="R287" i="8"/>
  <c r="S287" i="8"/>
  <c r="T287" i="8"/>
  <c r="U287" i="8"/>
  <c r="V287" i="8"/>
  <c r="W287" i="8"/>
  <c r="X287" i="8"/>
  <c r="Y287" i="8"/>
  <c r="Z287" i="8"/>
  <c r="AA287" i="8"/>
  <c r="AB287" i="8"/>
  <c r="AC287" i="8"/>
  <c r="AD287" i="8"/>
  <c r="AE287" i="8"/>
  <c r="F543" i="8"/>
  <c r="G543" i="8"/>
  <c r="H543" i="8"/>
  <c r="I543" i="8"/>
  <c r="J543" i="8"/>
  <c r="K543" i="8"/>
  <c r="L543" i="8"/>
  <c r="M543" i="8"/>
  <c r="N543" i="8"/>
  <c r="O543" i="8"/>
  <c r="P543" i="8"/>
  <c r="Q543" i="8"/>
  <c r="R543" i="8"/>
  <c r="S543" i="8"/>
  <c r="T543" i="8"/>
  <c r="U543" i="8"/>
  <c r="V543" i="8"/>
  <c r="W543" i="8"/>
  <c r="X543" i="8"/>
  <c r="Y543" i="8"/>
  <c r="Z543" i="8"/>
  <c r="AA543" i="8"/>
  <c r="AB543" i="8"/>
  <c r="AC543" i="8"/>
  <c r="AD543" i="8"/>
  <c r="AE543" i="8"/>
  <c r="F69" i="8"/>
  <c r="G69" i="8"/>
  <c r="H69" i="8"/>
  <c r="I69" i="8"/>
  <c r="J69" i="8"/>
  <c r="K69" i="8"/>
  <c r="L69" i="8"/>
  <c r="M69" i="8"/>
  <c r="N69" i="8"/>
  <c r="O69" i="8"/>
  <c r="P69" i="8"/>
  <c r="Q69" i="8"/>
  <c r="R69" i="8"/>
  <c r="S69" i="8"/>
  <c r="T69" i="8"/>
  <c r="U69" i="8"/>
  <c r="V69" i="8"/>
  <c r="W69" i="8"/>
  <c r="X69" i="8"/>
  <c r="Y69" i="8"/>
  <c r="Z69" i="8"/>
  <c r="AA69" i="8"/>
  <c r="AB69" i="8"/>
  <c r="AC69" i="8"/>
  <c r="AD69" i="8"/>
  <c r="AE69" i="8"/>
  <c r="F204" i="8"/>
  <c r="G204" i="8"/>
  <c r="H204" i="8"/>
  <c r="I204" i="8"/>
  <c r="J204" i="8"/>
  <c r="K204" i="8"/>
  <c r="L204" i="8"/>
  <c r="M204" i="8"/>
  <c r="N204" i="8"/>
  <c r="O204" i="8"/>
  <c r="P204" i="8"/>
  <c r="Q204" i="8"/>
  <c r="R204" i="8"/>
  <c r="S204" i="8"/>
  <c r="T204" i="8"/>
  <c r="U204" i="8"/>
  <c r="V204" i="8"/>
  <c r="W204" i="8"/>
  <c r="X204" i="8"/>
  <c r="Y204" i="8"/>
  <c r="Z204" i="8"/>
  <c r="AA204" i="8"/>
  <c r="AB204" i="8"/>
  <c r="AC204" i="8"/>
  <c r="AD204" i="8"/>
  <c r="AE204" i="8"/>
  <c r="F139" i="8"/>
  <c r="G139" i="8"/>
  <c r="H139" i="8"/>
  <c r="I139" i="8"/>
  <c r="J139" i="8"/>
  <c r="K139" i="8"/>
  <c r="L139" i="8"/>
  <c r="M139" i="8"/>
  <c r="N139" i="8"/>
  <c r="O139" i="8"/>
  <c r="P139" i="8"/>
  <c r="Q139" i="8"/>
  <c r="R139" i="8"/>
  <c r="S139" i="8"/>
  <c r="T139" i="8"/>
  <c r="U139" i="8"/>
  <c r="V139" i="8"/>
  <c r="W139" i="8"/>
  <c r="X139" i="8"/>
  <c r="Y139" i="8"/>
  <c r="Z139" i="8"/>
  <c r="AA139" i="8"/>
  <c r="AB139" i="8"/>
  <c r="AC139" i="8"/>
  <c r="AD139" i="8"/>
  <c r="AE139" i="8"/>
  <c r="F277" i="8"/>
  <c r="G277" i="8"/>
  <c r="H277" i="8"/>
  <c r="I277" i="8"/>
  <c r="J277" i="8"/>
  <c r="K277" i="8"/>
  <c r="L277" i="8"/>
  <c r="M277" i="8"/>
  <c r="N277" i="8"/>
  <c r="O277" i="8"/>
  <c r="P277" i="8"/>
  <c r="Q277" i="8"/>
  <c r="R277" i="8"/>
  <c r="S277" i="8"/>
  <c r="T277" i="8"/>
  <c r="U277" i="8"/>
  <c r="V277" i="8"/>
  <c r="W277" i="8"/>
  <c r="X277" i="8"/>
  <c r="Y277" i="8"/>
  <c r="Z277" i="8"/>
  <c r="AA277" i="8"/>
  <c r="AB277" i="8"/>
  <c r="AC277" i="8"/>
  <c r="AD277" i="8"/>
  <c r="AE277" i="8"/>
  <c r="F36" i="8"/>
  <c r="G36" i="8"/>
  <c r="H36" i="8"/>
  <c r="I36" i="8"/>
  <c r="J36" i="8"/>
  <c r="K36" i="8"/>
  <c r="L36" i="8"/>
  <c r="M36" i="8"/>
  <c r="N36" i="8"/>
  <c r="O36" i="8"/>
  <c r="P36" i="8"/>
  <c r="Q36" i="8"/>
  <c r="R36" i="8"/>
  <c r="S36" i="8"/>
  <c r="T36" i="8"/>
  <c r="U36" i="8"/>
  <c r="V36" i="8"/>
  <c r="W36" i="8"/>
  <c r="X36" i="8"/>
  <c r="Y36" i="8"/>
  <c r="Z36" i="8"/>
  <c r="AA36" i="8"/>
  <c r="AB36" i="8"/>
  <c r="AC36" i="8"/>
  <c r="AD36" i="8"/>
  <c r="AE36" i="8"/>
  <c r="F40" i="8"/>
  <c r="G40" i="8"/>
  <c r="H40" i="8"/>
  <c r="I40" i="8"/>
  <c r="J40" i="8"/>
  <c r="K40" i="8"/>
  <c r="L40" i="8"/>
  <c r="M40" i="8"/>
  <c r="N40" i="8"/>
  <c r="O40" i="8"/>
  <c r="P40" i="8"/>
  <c r="Q40" i="8"/>
  <c r="R40" i="8"/>
  <c r="S40" i="8"/>
  <c r="T40" i="8"/>
  <c r="U40" i="8"/>
  <c r="V40" i="8"/>
  <c r="W40" i="8"/>
  <c r="X40" i="8"/>
  <c r="Y40" i="8"/>
  <c r="Z40" i="8"/>
  <c r="AA40" i="8"/>
  <c r="AB40" i="8"/>
  <c r="AC40" i="8"/>
  <c r="AD40" i="8"/>
  <c r="AE40" i="8"/>
  <c r="F449" i="8"/>
  <c r="G449" i="8"/>
  <c r="H449" i="8"/>
  <c r="I449" i="8"/>
  <c r="J449" i="8"/>
  <c r="K449" i="8"/>
  <c r="L449" i="8"/>
  <c r="M449" i="8"/>
  <c r="N449" i="8"/>
  <c r="O449" i="8"/>
  <c r="P449" i="8"/>
  <c r="Q449" i="8"/>
  <c r="R449" i="8"/>
  <c r="S449" i="8"/>
  <c r="T449" i="8"/>
  <c r="U449" i="8"/>
  <c r="V449" i="8"/>
  <c r="W449" i="8"/>
  <c r="X449" i="8"/>
  <c r="Y449" i="8"/>
  <c r="Z449" i="8"/>
  <c r="AA449" i="8"/>
  <c r="AB449" i="8"/>
  <c r="AC449" i="8"/>
  <c r="AD449" i="8"/>
  <c r="AE449" i="8"/>
  <c r="F361" i="8"/>
  <c r="G361" i="8"/>
  <c r="H361" i="8"/>
  <c r="I361" i="8"/>
  <c r="J361" i="8"/>
  <c r="K361" i="8"/>
  <c r="L361" i="8"/>
  <c r="M361" i="8"/>
  <c r="N361" i="8"/>
  <c r="O361" i="8"/>
  <c r="P361" i="8"/>
  <c r="Q361" i="8"/>
  <c r="R361" i="8"/>
  <c r="S361" i="8"/>
  <c r="T361" i="8"/>
  <c r="U361" i="8"/>
  <c r="V361" i="8"/>
  <c r="W361" i="8"/>
  <c r="X361" i="8"/>
  <c r="Y361" i="8"/>
  <c r="Z361" i="8"/>
  <c r="AA361" i="8"/>
  <c r="AB361" i="8"/>
  <c r="AC361" i="8"/>
  <c r="AD361" i="8"/>
  <c r="AE361" i="8"/>
  <c r="F285" i="8"/>
  <c r="G285" i="8"/>
  <c r="H285" i="8"/>
  <c r="I285" i="8"/>
  <c r="J285" i="8"/>
  <c r="K285" i="8"/>
  <c r="L285" i="8"/>
  <c r="M285" i="8"/>
  <c r="N285" i="8"/>
  <c r="O285" i="8"/>
  <c r="P285" i="8"/>
  <c r="Q285" i="8"/>
  <c r="R285" i="8"/>
  <c r="S285" i="8"/>
  <c r="T285" i="8"/>
  <c r="U285" i="8"/>
  <c r="V285" i="8"/>
  <c r="W285" i="8"/>
  <c r="X285" i="8"/>
  <c r="Y285" i="8"/>
  <c r="Z285" i="8"/>
  <c r="AA285" i="8"/>
  <c r="AB285" i="8"/>
  <c r="AC285" i="8"/>
  <c r="AD285" i="8"/>
  <c r="AE285" i="8"/>
  <c r="F342" i="8"/>
  <c r="G342" i="8"/>
  <c r="H342" i="8"/>
  <c r="I342" i="8"/>
  <c r="J342" i="8"/>
  <c r="K342" i="8"/>
  <c r="L342" i="8"/>
  <c r="M342" i="8"/>
  <c r="N342" i="8"/>
  <c r="O342" i="8"/>
  <c r="P342" i="8"/>
  <c r="Q342" i="8"/>
  <c r="R342" i="8"/>
  <c r="S342" i="8"/>
  <c r="T342" i="8"/>
  <c r="U342" i="8"/>
  <c r="V342" i="8"/>
  <c r="W342" i="8"/>
  <c r="X342" i="8"/>
  <c r="Y342" i="8"/>
  <c r="Z342" i="8"/>
  <c r="AA342" i="8"/>
  <c r="AB342" i="8"/>
  <c r="AC342" i="8"/>
  <c r="AD342" i="8"/>
  <c r="AE342" i="8"/>
  <c r="F435" i="8"/>
  <c r="G435" i="8"/>
  <c r="H435" i="8"/>
  <c r="I435" i="8"/>
  <c r="J435" i="8"/>
  <c r="K435" i="8"/>
  <c r="L435" i="8"/>
  <c r="M435" i="8"/>
  <c r="N435" i="8"/>
  <c r="O435" i="8"/>
  <c r="P435" i="8"/>
  <c r="Q435" i="8"/>
  <c r="R435" i="8"/>
  <c r="S435" i="8"/>
  <c r="T435" i="8"/>
  <c r="U435" i="8"/>
  <c r="V435" i="8"/>
  <c r="W435" i="8"/>
  <c r="X435" i="8"/>
  <c r="Y435" i="8"/>
  <c r="Z435" i="8"/>
  <c r="AA435" i="8"/>
  <c r="AB435" i="8"/>
  <c r="AC435" i="8"/>
  <c r="AD435" i="8"/>
  <c r="AE435" i="8"/>
  <c r="G512" i="8"/>
  <c r="H512" i="8"/>
  <c r="I512" i="8"/>
  <c r="J512" i="8"/>
  <c r="K512" i="8"/>
  <c r="L512" i="8"/>
  <c r="M512" i="8"/>
  <c r="N512" i="8"/>
  <c r="O512" i="8"/>
  <c r="P512" i="8"/>
  <c r="Q512" i="8"/>
  <c r="R512" i="8"/>
  <c r="S512" i="8"/>
  <c r="T512" i="8"/>
  <c r="U512" i="8"/>
  <c r="V512" i="8"/>
  <c r="W512" i="8"/>
  <c r="X512" i="8"/>
  <c r="Y512" i="8"/>
  <c r="Z512" i="8"/>
  <c r="AA512" i="8"/>
  <c r="AB512" i="8"/>
  <c r="AC512" i="8"/>
  <c r="AD512" i="8"/>
  <c r="AE512" i="8"/>
  <c r="F512" i="8"/>
  <c r="E515" i="8"/>
  <c r="E369" i="8"/>
  <c r="E166" i="8"/>
  <c r="E276" i="8"/>
  <c r="E564" i="8"/>
  <c r="E601" i="8"/>
  <c r="E456" i="8"/>
  <c r="E593" i="8"/>
  <c r="E504" i="8"/>
  <c r="E492" i="8"/>
  <c r="E271" i="8"/>
  <c r="E360" i="8"/>
  <c r="E557" i="8"/>
  <c r="E586" i="8"/>
  <c r="E421" i="8"/>
  <c r="E410" i="8"/>
  <c r="E405" i="8"/>
  <c r="E444" i="8"/>
  <c r="E503" i="8"/>
  <c r="E398" i="8"/>
  <c r="E356" i="8"/>
  <c r="E521" i="8"/>
  <c r="E519" i="8"/>
  <c r="E500" i="8"/>
  <c r="E502" i="8"/>
  <c r="E131" i="8"/>
  <c r="E518" i="8"/>
  <c r="E318" i="8"/>
  <c r="E422" i="8"/>
  <c r="E548" i="8"/>
  <c r="E538" i="8"/>
  <c r="E443" i="8"/>
  <c r="E511" i="8"/>
  <c r="E386" i="8"/>
  <c r="E574" i="8"/>
  <c r="E506" i="8"/>
  <c r="E368" i="8"/>
  <c r="E401" i="8"/>
  <c r="E471" i="8"/>
  <c r="E517" i="8"/>
  <c r="E475" i="8"/>
  <c r="E595" i="8"/>
  <c r="E523" i="8"/>
  <c r="E513" i="8"/>
  <c r="E317" i="8"/>
  <c r="E288" i="8"/>
  <c r="E262" i="8"/>
  <c r="E604" i="8"/>
  <c r="E527" i="8"/>
  <c r="E520" i="8"/>
  <c r="E602" i="8"/>
  <c r="E588" i="8"/>
  <c r="E572" i="8"/>
  <c r="E477" i="8"/>
  <c r="E551" i="8"/>
  <c r="E522" i="8"/>
  <c r="E463" i="8"/>
  <c r="E496" i="8"/>
  <c r="E570" i="8"/>
  <c r="E495" i="8"/>
  <c r="E491" i="8"/>
  <c r="E383" i="8"/>
  <c r="E560" i="8"/>
  <c r="E532" i="8"/>
  <c r="E498" i="8"/>
  <c r="E316" i="8"/>
  <c r="E453" i="8"/>
  <c r="E428" i="8"/>
  <c r="E499" i="8"/>
  <c r="E558" i="8"/>
  <c r="E364" i="8"/>
  <c r="E468" i="8"/>
  <c r="E419" i="8"/>
  <c r="E297" i="8"/>
  <c r="E530" i="8"/>
  <c r="E423" i="8"/>
  <c r="E524" i="8"/>
  <c r="E567" i="8"/>
  <c r="E382" i="8"/>
  <c r="E231" i="8"/>
  <c r="E321" i="8"/>
  <c r="E482" i="8"/>
  <c r="E545" i="8"/>
  <c r="E427" i="8"/>
  <c r="E555" i="8"/>
  <c r="E393" i="8"/>
  <c r="E568" i="8"/>
  <c r="E531" i="8"/>
  <c r="E549" i="8"/>
  <c r="E585" i="8"/>
  <c r="E414" i="8"/>
  <c r="E465" i="8"/>
  <c r="E536" i="8"/>
  <c r="E587" i="8"/>
  <c r="E478" i="8"/>
  <c r="E576" i="8"/>
  <c r="E442" i="8"/>
  <c r="E485" i="8"/>
  <c r="E417" i="8"/>
  <c r="E314" i="8"/>
  <c r="E249" i="8"/>
  <c r="E328" i="8"/>
  <c r="E111" i="8"/>
  <c r="E408" i="8"/>
  <c r="E596" i="8"/>
  <c r="E541" i="8"/>
  <c r="E390" i="8"/>
  <c r="E529" i="8"/>
  <c r="E490" i="8"/>
  <c r="E403" i="8"/>
  <c r="E228" i="8"/>
  <c r="E582" i="8"/>
  <c r="E378" i="8"/>
  <c r="E296" i="8"/>
  <c r="E327" i="8"/>
  <c r="E579" i="8"/>
  <c r="E127" i="8"/>
  <c r="E384" i="8"/>
  <c r="E461" i="8"/>
  <c r="E147" i="8"/>
  <c r="E418" i="8"/>
  <c r="E467" i="8"/>
  <c r="E412" i="8"/>
  <c r="E292" i="8"/>
  <c r="E489" i="8"/>
  <c r="E411" i="8"/>
  <c r="E535" i="8"/>
  <c r="E441" i="8"/>
  <c r="E466" i="8"/>
  <c r="E338" i="8"/>
  <c r="E333" i="8"/>
  <c r="E312" i="8"/>
  <c r="E362" i="8"/>
  <c r="E578" i="8"/>
  <c r="E525" i="8"/>
  <c r="E349" i="8"/>
  <c r="E415" i="8"/>
  <c r="E325" i="8"/>
  <c r="E247" i="8"/>
  <c r="E550" i="8"/>
  <c r="E460" i="8"/>
  <c r="E553" i="8"/>
  <c r="E311" i="8"/>
  <c r="E336" i="8"/>
  <c r="E352" i="8"/>
  <c r="E215" i="8"/>
  <c r="E556" i="8"/>
  <c r="E439" i="8"/>
  <c r="E183" i="8"/>
  <c r="E584" i="8"/>
  <c r="E598" i="8"/>
  <c r="E462" i="8"/>
  <c r="E433" i="8"/>
  <c r="E424" i="8"/>
  <c r="E388" i="8"/>
  <c r="E552" i="8"/>
  <c r="E332" i="8"/>
  <c r="E569" i="8"/>
  <c r="E409" i="8"/>
  <c r="E446" i="8"/>
  <c r="E354" i="8"/>
  <c r="E597" i="8"/>
  <c r="E293" i="8"/>
  <c r="E192" i="8"/>
  <c r="E179" i="8"/>
  <c r="E448" i="8"/>
  <c r="E426" i="8"/>
  <c r="E294" i="8"/>
  <c r="E348" i="8"/>
  <c r="E283" i="8"/>
  <c r="E459" i="8"/>
  <c r="E181" i="8"/>
  <c r="E260" i="8"/>
  <c r="E246" i="8"/>
  <c r="E206" i="8"/>
  <c r="E395" i="8"/>
  <c r="E180" i="8"/>
  <c r="E173" i="8"/>
  <c r="E150" i="8"/>
  <c r="E533" i="8"/>
  <c r="E501" i="8"/>
  <c r="E563" i="8"/>
  <c r="E539" i="8"/>
  <c r="E575" i="8"/>
  <c r="E562" i="8"/>
  <c r="E591" i="8"/>
  <c r="E534" i="8"/>
  <c r="E505" i="8"/>
  <c r="E371" i="8"/>
  <c r="E307" i="8"/>
  <c r="E303" i="8"/>
  <c r="E554" i="8"/>
  <c r="E509" i="8"/>
  <c r="E112" i="8"/>
  <c r="E123" i="8"/>
  <c r="E440" i="8"/>
  <c r="E437" i="8"/>
  <c r="E97" i="8"/>
  <c r="E392" i="8"/>
  <c r="E494" i="8"/>
  <c r="E346" i="8"/>
  <c r="E219" i="8"/>
  <c r="E257" i="8"/>
  <c r="E250" i="8"/>
  <c r="E434" i="8"/>
  <c r="E234" i="8"/>
  <c r="E240" i="8"/>
  <c r="E161" i="8"/>
  <c r="E330" i="8"/>
  <c r="E376" i="8"/>
  <c r="E404" i="8"/>
  <c r="E359" i="8"/>
  <c r="E580" i="8"/>
  <c r="E479" i="8"/>
  <c r="E526" i="8"/>
  <c r="E577" i="8"/>
  <c r="E547" i="8"/>
  <c r="E606" i="8"/>
  <c r="E528" i="8"/>
  <c r="E365" i="8"/>
  <c r="E581" i="8"/>
  <c r="E592" i="8"/>
  <c r="E565" i="8"/>
  <c r="E115" i="8"/>
  <c r="E432" i="8"/>
  <c r="E473" i="8"/>
  <c r="E540" i="8"/>
  <c r="E385" i="8"/>
  <c r="E220" i="8"/>
  <c r="E270" i="8"/>
  <c r="E244" i="8"/>
  <c r="E350" i="8"/>
  <c r="E281" i="8"/>
  <c r="E377" i="8"/>
  <c r="E218" i="8"/>
  <c r="E400" i="8"/>
  <c r="E266" i="8"/>
  <c r="E445" i="8"/>
  <c r="E72" i="8"/>
  <c r="E306" i="8"/>
  <c r="E387" i="8"/>
  <c r="E399" i="8"/>
  <c r="E245" i="8"/>
  <c r="E256" i="8"/>
  <c r="E200" i="8"/>
  <c r="E431" i="8"/>
  <c r="E331" i="8"/>
  <c r="E268" i="8"/>
  <c r="E546" i="8"/>
  <c r="E129" i="8"/>
  <c r="E430" i="8"/>
  <c r="E566" i="8"/>
  <c r="E457" i="8"/>
  <c r="E451" i="8"/>
  <c r="E561" i="8"/>
  <c r="E544" i="8"/>
  <c r="E396" i="8"/>
  <c r="E237" i="8"/>
  <c r="E128" i="8"/>
  <c r="E242" i="8"/>
  <c r="E389" i="8"/>
  <c r="E239" i="8"/>
  <c r="E313" i="8"/>
  <c r="E199" i="8"/>
  <c r="E160" i="8"/>
  <c r="E233" i="8"/>
  <c r="E275" i="8"/>
  <c r="E35" i="8"/>
  <c r="E106" i="8"/>
  <c r="E57" i="8"/>
  <c r="E2" i="8"/>
  <c r="E114" i="8"/>
  <c r="E337" i="8"/>
  <c r="E363" i="8"/>
  <c r="E124" i="8"/>
  <c r="E174" i="8"/>
  <c r="E210" i="8"/>
  <c r="E93" i="8"/>
  <c r="E324" i="8"/>
  <c r="E96" i="8"/>
  <c r="E141" i="8"/>
  <c r="E508" i="8"/>
  <c r="E110" i="8"/>
  <c r="E121" i="8"/>
  <c r="E75" i="8"/>
  <c r="E92" i="8"/>
  <c r="E375" i="8"/>
  <c r="E55" i="8"/>
  <c r="E113" i="8"/>
  <c r="E118" i="8"/>
  <c r="E261" i="8"/>
  <c r="E177" i="8"/>
  <c r="E80" i="8"/>
  <c r="E30" i="8"/>
  <c r="E176" i="8"/>
  <c r="E319" i="8"/>
  <c r="E235" i="8"/>
  <c r="E15" i="8"/>
  <c r="E345" i="8"/>
  <c r="E133" i="8"/>
  <c r="E367" i="8"/>
  <c r="E137" i="8"/>
  <c r="E217" i="8"/>
  <c r="E295" i="8"/>
  <c r="E50" i="8"/>
  <c r="E42" i="8"/>
  <c r="E252" i="8"/>
  <c r="E273" i="8"/>
  <c r="E373" i="8"/>
  <c r="E335" i="8"/>
  <c r="E323" i="8"/>
  <c r="E211" i="8"/>
  <c r="E272" i="8"/>
  <c r="E68" i="8"/>
  <c r="E203" i="8"/>
  <c r="E152" i="8"/>
  <c r="E209" i="8"/>
  <c r="E10" i="8"/>
  <c r="E455" i="8"/>
  <c r="E308" i="8"/>
  <c r="E21" i="8"/>
  <c r="E265" i="8"/>
  <c r="E17" i="8"/>
  <c r="E222" i="8"/>
  <c r="E116" i="8"/>
  <c r="E358" i="8"/>
  <c r="E537" i="8"/>
  <c r="E605" i="8"/>
  <c r="E340" i="8"/>
  <c r="E474" i="8"/>
  <c r="E599" i="8"/>
  <c r="E402" i="8"/>
  <c r="E98" i="8"/>
  <c r="E420" i="8"/>
  <c r="E60" i="8"/>
  <c r="E594" i="8"/>
  <c r="E144" i="8"/>
  <c r="E600" i="8"/>
  <c r="E248" i="8"/>
  <c r="E59" i="8"/>
  <c r="E86" i="8"/>
  <c r="E53" i="8"/>
  <c r="E366" i="8"/>
  <c r="E90" i="8"/>
  <c r="E54" i="8"/>
  <c r="E300" i="8"/>
  <c r="E105" i="8"/>
  <c r="E326" i="8"/>
  <c r="E198" i="8"/>
  <c r="E590" i="8"/>
  <c r="E226" i="8"/>
  <c r="E9" i="8"/>
  <c r="E481" i="8"/>
  <c r="E299" i="8"/>
  <c r="E39" i="8"/>
  <c r="E104" i="8"/>
  <c r="E5" i="8"/>
  <c r="E470" i="8"/>
  <c r="E28" i="8"/>
  <c r="E157" i="8"/>
  <c r="E436" i="8"/>
  <c r="E603" i="8"/>
  <c r="E14" i="8"/>
  <c r="E7" i="8"/>
  <c r="E571" i="8"/>
  <c r="E146" i="8"/>
  <c r="E26" i="8"/>
  <c r="E6" i="8"/>
  <c r="E12" i="8"/>
  <c r="E136" i="8"/>
  <c r="E193" i="8"/>
  <c r="E48" i="8"/>
  <c r="E135" i="8"/>
  <c r="E289" i="8"/>
  <c r="E37" i="8"/>
  <c r="E145" i="8"/>
  <c r="E241" i="8"/>
  <c r="E214" i="8"/>
  <c r="E91" i="8"/>
  <c r="E47" i="8"/>
  <c r="E52" i="8"/>
  <c r="E67" i="8"/>
  <c r="E186" i="8"/>
  <c r="E4" i="8"/>
  <c r="E44" i="8"/>
  <c r="E71" i="8"/>
  <c r="E202" i="8"/>
  <c r="E3" i="8"/>
  <c r="E164" i="8"/>
  <c r="E11" i="8"/>
  <c r="E87" i="8"/>
  <c r="E126" i="8"/>
  <c r="E22" i="8"/>
  <c r="E94" i="8"/>
  <c r="E196" i="8"/>
  <c r="E79" i="8"/>
  <c r="E155" i="8"/>
  <c r="E62" i="8"/>
  <c r="E355" i="8"/>
  <c r="E156" i="8"/>
  <c r="E225" i="8"/>
  <c r="E267" i="8"/>
  <c r="E19" i="8"/>
  <c r="E341" i="8"/>
  <c r="E24" i="8"/>
  <c r="E259" i="8"/>
  <c r="E130" i="8"/>
  <c r="E159" i="8"/>
  <c r="E100" i="8"/>
  <c r="E85" i="8"/>
  <c r="E464" i="8"/>
  <c r="E264" i="8"/>
  <c r="E344" i="8"/>
  <c r="E208" i="8"/>
  <c r="E227" i="8"/>
  <c r="E134" i="8"/>
  <c r="E438" i="8"/>
  <c r="E488" i="8"/>
  <c r="E138" i="8"/>
  <c r="E125" i="8"/>
  <c r="E117" i="8"/>
  <c r="E305" i="8"/>
  <c r="E99" i="8"/>
  <c r="E216" i="8"/>
  <c r="E253" i="8"/>
  <c r="E290" i="8"/>
  <c r="E78" i="8"/>
  <c r="E334" i="8"/>
  <c r="E391" i="8"/>
  <c r="E185" i="8"/>
  <c r="E154" i="8"/>
  <c r="E406" i="8"/>
  <c r="E353" i="8"/>
  <c r="E38" i="8"/>
  <c r="E469" i="8"/>
  <c r="E483" i="8"/>
  <c r="E148" i="8"/>
  <c r="E16" i="8"/>
  <c r="E194" i="8"/>
  <c r="E149" i="8"/>
  <c r="E31" i="8"/>
  <c r="E120" i="8"/>
  <c r="E188" i="8"/>
  <c r="E25" i="8"/>
  <c r="E61" i="8"/>
  <c r="E480" i="8"/>
  <c r="E195" i="8"/>
  <c r="E172" i="8"/>
  <c r="E269" i="8"/>
  <c r="E76" i="8"/>
  <c r="E77" i="8"/>
  <c r="E407" i="8"/>
  <c r="E280" i="8"/>
  <c r="E103" i="8"/>
  <c r="E169" i="8"/>
  <c r="E573" i="8"/>
  <c r="E298" i="8"/>
  <c r="E66" i="8"/>
  <c r="E589" i="8"/>
  <c r="E184" i="8"/>
  <c r="E487" i="8"/>
  <c r="E542" i="8"/>
  <c r="E514" i="8"/>
  <c r="E43" i="8"/>
  <c r="E18" i="8"/>
  <c r="E251" i="8"/>
  <c r="E310" i="8"/>
  <c r="E151" i="8"/>
  <c r="E476" i="8"/>
  <c r="E243" i="8"/>
  <c r="E51" i="8"/>
  <c r="E379" i="8"/>
  <c r="E450" i="8"/>
  <c r="E370" i="8"/>
  <c r="E559" i="8"/>
  <c r="E381" i="8"/>
  <c r="E343" i="8"/>
  <c r="E81" i="8"/>
  <c r="E34" i="8"/>
  <c r="E65" i="8"/>
  <c r="E84" i="8"/>
  <c r="E224" i="8"/>
  <c r="E153" i="8"/>
  <c r="E497" i="8"/>
  <c r="E302" i="8"/>
  <c r="E163" i="8"/>
  <c r="E223" i="8"/>
  <c r="E74" i="8"/>
  <c r="E109" i="8"/>
  <c r="E168" i="8"/>
  <c r="E263" i="8"/>
  <c r="E454" i="8"/>
  <c r="E158" i="8"/>
  <c r="E230" i="8"/>
  <c r="E95" i="8"/>
  <c r="E191" i="8"/>
  <c r="E171" i="8"/>
  <c r="E236" i="8"/>
  <c r="E238" i="8"/>
  <c r="E64" i="8"/>
  <c r="E205" i="8"/>
  <c r="E175" i="8"/>
  <c r="E516" i="8"/>
  <c r="E142" i="8"/>
  <c r="E229" i="8"/>
  <c r="E304" i="8"/>
  <c r="E102" i="8"/>
  <c r="E46" i="8"/>
  <c r="E484" i="8"/>
  <c r="E178" i="8"/>
  <c r="E207" i="8"/>
  <c r="E41" i="8"/>
  <c r="E29" i="8"/>
  <c r="E20" i="8"/>
  <c r="E23" i="8"/>
  <c r="E49" i="8"/>
  <c r="E13" i="8"/>
  <c r="E170" i="8"/>
  <c r="E339" i="8"/>
  <c r="E32" i="8"/>
  <c r="E187" i="8"/>
  <c r="E56" i="8"/>
  <c r="E33" i="8"/>
  <c r="E107" i="8"/>
  <c r="E315" i="8"/>
  <c r="E63" i="8"/>
  <c r="E201" i="8"/>
  <c r="E162" i="8"/>
  <c r="E89" i="8"/>
  <c r="E255" i="8"/>
  <c r="E122" i="8"/>
  <c r="E140" i="8"/>
  <c r="E119" i="8"/>
  <c r="E394" i="8"/>
  <c r="E309" i="8"/>
  <c r="E510" i="8"/>
  <c r="E322" i="8"/>
  <c r="E279" i="8"/>
  <c r="E190" i="8"/>
  <c r="E58" i="8"/>
  <c r="E165" i="8"/>
  <c r="E212" i="8"/>
  <c r="E27" i="8"/>
  <c r="E189" i="8"/>
  <c r="E73" i="8"/>
  <c r="E221" i="8"/>
  <c r="E88" i="8"/>
  <c r="E45" i="8"/>
  <c r="E258" i="8"/>
  <c r="E301" i="8"/>
  <c r="E472" i="8"/>
  <c r="E374" i="8"/>
  <c r="E82" i="8"/>
  <c r="E278" i="8"/>
  <c r="E101" i="8"/>
  <c r="E372" i="8"/>
  <c r="E429" i="8"/>
  <c r="E416" i="8"/>
  <c r="E447" i="8"/>
  <c r="E507" i="8"/>
  <c r="E486" i="8"/>
  <c r="E182" i="8"/>
  <c r="E286" i="8"/>
  <c r="E357" i="8"/>
  <c r="E493" i="8"/>
  <c r="E254" i="8"/>
  <c r="E320" i="8"/>
  <c r="E397" i="8"/>
  <c r="E132" i="8"/>
  <c r="E8" i="8"/>
  <c r="E329" i="8"/>
  <c r="E70" i="8"/>
  <c r="E291" i="8"/>
  <c r="E213" i="8"/>
  <c r="E458" i="8"/>
  <c r="E347" i="8"/>
  <c r="E274" i="8"/>
  <c r="E583" i="8"/>
  <c r="E143" i="8"/>
  <c r="E197" i="8"/>
  <c r="E108" i="8"/>
  <c r="E413" i="8"/>
  <c r="E425" i="8"/>
  <c r="E232" i="8"/>
  <c r="E452" i="8"/>
  <c r="E380" i="8"/>
  <c r="E284" i="8"/>
  <c r="E167" i="8"/>
  <c r="E282" i="8"/>
  <c r="E287" i="8"/>
  <c r="E543" i="8"/>
  <c r="E69" i="8"/>
  <c r="E204" i="8"/>
  <c r="E139" i="8"/>
  <c r="E277" i="8"/>
  <c r="E36" i="8"/>
  <c r="E40" i="8"/>
  <c r="E449" i="8"/>
  <c r="E361" i="8"/>
  <c r="E285" i="8"/>
  <c r="E342" i="8"/>
  <c r="E435" i="8"/>
  <c r="E512" i="8"/>
  <c r="D515" i="8"/>
  <c r="D369" i="8"/>
  <c r="AG369" i="8" s="1"/>
  <c r="D166" i="8"/>
  <c r="D276" i="8"/>
  <c r="D564" i="8"/>
  <c r="D601" i="8"/>
  <c r="AG601" i="8" s="1"/>
  <c r="D456" i="8"/>
  <c r="D593" i="8"/>
  <c r="D504" i="8"/>
  <c r="D492" i="8"/>
  <c r="AG492" i="8" s="1"/>
  <c r="D271" i="8"/>
  <c r="D360" i="8"/>
  <c r="D557" i="8"/>
  <c r="D586" i="8"/>
  <c r="AG586" i="8" s="1"/>
  <c r="D421" i="8"/>
  <c r="D410" i="8"/>
  <c r="D405" i="8"/>
  <c r="D444" i="8"/>
  <c r="AG444" i="8" s="1"/>
  <c r="D503" i="8"/>
  <c r="D398" i="8"/>
  <c r="D356" i="8"/>
  <c r="D521" i="8"/>
  <c r="AG521" i="8" s="1"/>
  <c r="D519" i="8"/>
  <c r="D500" i="8"/>
  <c r="D502" i="8"/>
  <c r="D131" i="8"/>
  <c r="AG131" i="8" s="1"/>
  <c r="D518" i="8"/>
  <c r="D318" i="8"/>
  <c r="D422" i="8"/>
  <c r="D548" i="8"/>
  <c r="AG548" i="8" s="1"/>
  <c r="D538" i="8"/>
  <c r="D443" i="8"/>
  <c r="D511" i="8"/>
  <c r="D386" i="8"/>
  <c r="AG386" i="8" s="1"/>
  <c r="D574" i="8"/>
  <c r="D506" i="8"/>
  <c r="D368" i="8"/>
  <c r="D401" i="8"/>
  <c r="AG401" i="8" s="1"/>
  <c r="D471" i="8"/>
  <c r="D517" i="8"/>
  <c r="D475" i="8"/>
  <c r="D595" i="8"/>
  <c r="AG595" i="8" s="1"/>
  <c r="D523" i="8"/>
  <c r="D513" i="8"/>
  <c r="D317" i="8"/>
  <c r="D288" i="8"/>
  <c r="AG288" i="8" s="1"/>
  <c r="D262" i="8"/>
  <c r="D604" i="8"/>
  <c r="D527" i="8"/>
  <c r="D520" i="8"/>
  <c r="AG520" i="8" s="1"/>
  <c r="D602" i="8"/>
  <c r="D588" i="8"/>
  <c r="D572" i="8"/>
  <c r="D477" i="8"/>
  <c r="AG477" i="8" s="1"/>
  <c r="D551" i="8"/>
  <c r="D522" i="8"/>
  <c r="D463" i="8"/>
  <c r="D496" i="8"/>
  <c r="AG496" i="8" s="1"/>
  <c r="D570" i="8"/>
  <c r="D495" i="8"/>
  <c r="D491" i="8"/>
  <c r="D383" i="8"/>
  <c r="AG383" i="8" s="1"/>
  <c r="D560" i="8"/>
  <c r="D532" i="8"/>
  <c r="D498" i="8"/>
  <c r="D316" i="8"/>
  <c r="AG316" i="8" s="1"/>
  <c r="D453" i="8"/>
  <c r="D428" i="8"/>
  <c r="D499" i="8"/>
  <c r="D558" i="8"/>
  <c r="AG558" i="8" s="1"/>
  <c r="D364" i="8"/>
  <c r="D468" i="8"/>
  <c r="D419" i="8"/>
  <c r="D297" i="8"/>
  <c r="AG297" i="8" s="1"/>
  <c r="D530" i="8"/>
  <c r="D423" i="8"/>
  <c r="D524" i="8"/>
  <c r="D567" i="8"/>
  <c r="AG567" i="8" s="1"/>
  <c r="D382" i="8"/>
  <c r="D231" i="8"/>
  <c r="D321" i="8"/>
  <c r="D482" i="8"/>
  <c r="AG482" i="8" s="1"/>
  <c r="D545" i="8"/>
  <c r="D427" i="8"/>
  <c r="D555" i="8"/>
  <c r="D393" i="8"/>
  <c r="AG393" i="8" s="1"/>
  <c r="D568" i="8"/>
  <c r="D531" i="8"/>
  <c r="D549" i="8"/>
  <c r="D585" i="8"/>
  <c r="AG585" i="8" s="1"/>
  <c r="D414" i="8"/>
  <c r="D465" i="8"/>
  <c r="D536" i="8"/>
  <c r="D587" i="8"/>
  <c r="AG587" i="8" s="1"/>
  <c r="D478" i="8"/>
  <c r="D576" i="8"/>
  <c r="D442" i="8"/>
  <c r="D485" i="8"/>
  <c r="AG485" i="8" s="1"/>
  <c r="D417" i="8"/>
  <c r="D314" i="8"/>
  <c r="D249" i="8"/>
  <c r="D328" i="8"/>
  <c r="AG328" i="8" s="1"/>
  <c r="D111" i="8"/>
  <c r="D408" i="8"/>
  <c r="D596" i="8"/>
  <c r="D541" i="8"/>
  <c r="AG541" i="8" s="1"/>
  <c r="D390" i="8"/>
  <c r="D529" i="8"/>
  <c r="D490" i="8"/>
  <c r="D403" i="8"/>
  <c r="AG403" i="8" s="1"/>
  <c r="D228" i="8"/>
  <c r="D582" i="8"/>
  <c r="D378" i="8"/>
  <c r="D296" i="8"/>
  <c r="AG296" i="8" s="1"/>
  <c r="D327" i="8"/>
  <c r="D579" i="8"/>
  <c r="D127" i="8"/>
  <c r="D384" i="8"/>
  <c r="AG384" i="8" s="1"/>
  <c r="D461" i="8"/>
  <c r="D147" i="8"/>
  <c r="D418" i="8"/>
  <c r="D467" i="8"/>
  <c r="AG467" i="8" s="1"/>
  <c r="D412" i="8"/>
  <c r="D292" i="8"/>
  <c r="D489" i="8"/>
  <c r="D411" i="8"/>
  <c r="AG411" i="8" s="1"/>
  <c r="D535" i="8"/>
  <c r="D441" i="8"/>
  <c r="D466" i="8"/>
  <c r="D338" i="8"/>
  <c r="AG338" i="8" s="1"/>
  <c r="D333" i="8"/>
  <c r="D312" i="8"/>
  <c r="D362" i="8"/>
  <c r="D578" i="8"/>
  <c r="AG578" i="8" s="1"/>
  <c r="D525" i="8"/>
  <c r="D349" i="8"/>
  <c r="D415" i="8"/>
  <c r="D325" i="8"/>
  <c r="AG325" i="8" s="1"/>
  <c r="D247" i="8"/>
  <c r="D550" i="8"/>
  <c r="D460" i="8"/>
  <c r="D553" i="8"/>
  <c r="AG553" i="8" s="1"/>
  <c r="D311" i="8"/>
  <c r="D336" i="8"/>
  <c r="D352" i="8"/>
  <c r="D215" i="8"/>
  <c r="AG215" i="8" s="1"/>
  <c r="D556" i="8"/>
  <c r="D439" i="8"/>
  <c r="D183" i="8"/>
  <c r="D584" i="8"/>
  <c r="AG584" i="8" s="1"/>
  <c r="D598" i="8"/>
  <c r="D462" i="8"/>
  <c r="D433" i="8"/>
  <c r="D424" i="8"/>
  <c r="AG424" i="8" s="1"/>
  <c r="D388" i="8"/>
  <c r="D552" i="8"/>
  <c r="D332" i="8"/>
  <c r="D569" i="8"/>
  <c r="AG569" i="8" s="1"/>
  <c r="D409" i="8"/>
  <c r="D446" i="8"/>
  <c r="D354" i="8"/>
  <c r="D597" i="8"/>
  <c r="AG597" i="8" s="1"/>
  <c r="D293" i="8"/>
  <c r="D192" i="8"/>
  <c r="D179" i="8"/>
  <c r="D448" i="8"/>
  <c r="AG448" i="8" s="1"/>
  <c r="D426" i="8"/>
  <c r="D294" i="8"/>
  <c r="D348" i="8"/>
  <c r="D283" i="8"/>
  <c r="AG283" i="8" s="1"/>
  <c r="D459" i="8"/>
  <c r="D181" i="8"/>
  <c r="D260" i="8"/>
  <c r="D246" i="8"/>
  <c r="AG246" i="8" s="1"/>
  <c r="D206" i="8"/>
  <c r="D395" i="8"/>
  <c r="D180" i="8"/>
  <c r="D173" i="8"/>
  <c r="AG173" i="8" s="1"/>
  <c r="D150" i="8"/>
  <c r="D533" i="8"/>
  <c r="D501" i="8"/>
  <c r="D563" i="8"/>
  <c r="AG563" i="8" s="1"/>
  <c r="D539" i="8"/>
  <c r="D575" i="8"/>
  <c r="D562" i="8"/>
  <c r="D591" i="8"/>
  <c r="AG591" i="8" s="1"/>
  <c r="D534" i="8"/>
  <c r="D505" i="8"/>
  <c r="D371" i="8"/>
  <c r="D307" i="8"/>
  <c r="AG307" i="8" s="1"/>
  <c r="D303" i="8"/>
  <c r="D554" i="8"/>
  <c r="D509" i="8"/>
  <c r="D112" i="8"/>
  <c r="AG112" i="8" s="1"/>
  <c r="D123" i="8"/>
  <c r="D440" i="8"/>
  <c r="D437" i="8"/>
  <c r="D97" i="8"/>
  <c r="AG97" i="8" s="1"/>
  <c r="D392" i="8"/>
  <c r="D494" i="8"/>
  <c r="D346" i="8"/>
  <c r="D219" i="8"/>
  <c r="AG219" i="8" s="1"/>
  <c r="D257" i="8"/>
  <c r="D250" i="8"/>
  <c r="D434" i="8"/>
  <c r="D234" i="8"/>
  <c r="AG234" i="8" s="1"/>
  <c r="D240" i="8"/>
  <c r="D161" i="8"/>
  <c r="D330" i="8"/>
  <c r="D376" i="8"/>
  <c r="AG376" i="8" s="1"/>
  <c r="D404" i="8"/>
  <c r="D359" i="8"/>
  <c r="D580" i="8"/>
  <c r="D479" i="8"/>
  <c r="AG479" i="8" s="1"/>
  <c r="D526" i="8"/>
  <c r="D577" i="8"/>
  <c r="D547" i="8"/>
  <c r="D606" i="8"/>
  <c r="AG606" i="8" s="1"/>
  <c r="D528" i="8"/>
  <c r="D365" i="8"/>
  <c r="D581" i="8"/>
  <c r="D592" i="8"/>
  <c r="AG592" i="8" s="1"/>
  <c r="D565" i="8"/>
  <c r="D115" i="8"/>
  <c r="D432" i="8"/>
  <c r="D473" i="8"/>
  <c r="AG473" i="8" s="1"/>
  <c r="D540" i="8"/>
  <c r="D385" i="8"/>
  <c r="D220" i="8"/>
  <c r="D270" i="8"/>
  <c r="AG270" i="8" s="1"/>
  <c r="D244" i="8"/>
  <c r="D350" i="8"/>
  <c r="D281" i="8"/>
  <c r="D377" i="8"/>
  <c r="AG377" i="8" s="1"/>
  <c r="D218" i="8"/>
  <c r="D400" i="8"/>
  <c r="D266" i="8"/>
  <c r="D445" i="8"/>
  <c r="AG445" i="8" s="1"/>
  <c r="D72" i="8"/>
  <c r="D306" i="8"/>
  <c r="D387" i="8"/>
  <c r="D399" i="8"/>
  <c r="AG399" i="8" s="1"/>
  <c r="D245" i="8"/>
  <c r="D256" i="8"/>
  <c r="D200" i="8"/>
  <c r="D431" i="8"/>
  <c r="AG431" i="8" s="1"/>
  <c r="D331" i="8"/>
  <c r="D268" i="8"/>
  <c r="D546" i="8"/>
  <c r="D129" i="8"/>
  <c r="AG129" i="8" s="1"/>
  <c r="D430" i="8"/>
  <c r="D566" i="8"/>
  <c r="D457" i="8"/>
  <c r="D451" i="8"/>
  <c r="AG451" i="8" s="1"/>
  <c r="D561" i="8"/>
  <c r="D544" i="8"/>
  <c r="D396" i="8"/>
  <c r="D237" i="8"/>
  <c r="AG237" i="8" s="1"/>
  <c r="D128" i="8"/>
  <c r="D242" i="8"/>
  <c r="D389" i="8"/>
  <c r="D239" i="8"/>
  <c r="AG239" i="8" s="1"/>
  <c r="D313" i="8"/>
  <c r="D199" i="8"/>
  <c r="D160" i="8"/>
  <c r="D233" i="8"/>
  <c r="AG233" i="8" s="1"/>
  <c r="D275" i="8"/>
  <c r="D35" i="8"/>
  <c r="D106" i="8"/>
  <c r="D57" i="8"/>
  <c r="AG57" i="8" s="1"/>
  <c r="D2" i="8"/>
  <c r="D114" i="8"/>
  <c r="D337" i="8"/>
  <c r="D363" i="8"/>
  <c r="AG363" i="8" s="1"/>
  <c r="D124" i="8"/>
  <c r="D174" i="8"/>
  <c r="D210" i="8"/>
  <c r="D93" i="8"/>
  <c r="AG93" i="8" s="1"/>
  <c r="D324" i="8"/>
  <c r="D96" i="8"/>
  <c r="D141" i="8"/>
  <c r="D508" i="8"/>
  <c r="AG508" i="8" s="1"/>
  <c r="D110" i="8"/>
  <c r="D121" i="8"/>
  <c r="D75" i="8"/>
  <c r="D92" i="8"/>
  <c r="AG92" i="8" s="1"/>
  <c r="D375" i="8"/>
  <c r="D55" i="8"/>
  <c r="D113" i="8"/>
  <c r="D118" i="8"/>
  <c r="AG118" i="8" s="1"/>
  <c r="D261" i="8"/>
  <c r="D177" i="8"/>
  <c r="D80" i="8"/>
  <c r="D30" i="8"/>
  <c r="AG30" i="8" s="1"/>
  <c r="D176" i="8"/>
  <c r="D319" i="8"/>
  <c r="D235" i="8"/>
  <c r="D15" i="8"/>
  <c r="AG15" i="8" s="1"/>
  <c r="D345" i="8"/>
  <c r="D133" i="8"/>
  <c r="D367" i="8"/>
  <c r="D137" i="8"/>
  <c r="D217" i="8"/>
  <c r="D295" i="8"/>
  <c r="D50" i="8"/>
  <c r="D42" i="8"/>
  <c r="D252" i="8"/>
  <c r="D273" i="8"/>
  <c r="D373" i="8"/>
  <c r="D335" i="8"/>
  <c r="D323" i="8"/>
  <c r="D211" i="8"/>
  <c r="D272" i="8"/>
  <c r="D68" i="8"/>
  <c r="D203" i="8"/>
  <c r="D152" i="8"/>
  <c r="D209" i="8"/>
  <c r="D10" i="8"/>
  <c r="D455" i="8"/>
  <c r="D308" i="8"/>
  <c r="D21" i="8"/>
  <c r="D265" i="8"/>
  <c r="D17" i="8"/>
  <c r="D222" i="8"/>
  <c r="D116" i="8"/>
  <c r="D358" i="8"/>
  <c r="D537" i="8"/>
  <c r="D605" i="8"/>
  <c r="D340" i="8"/>
  <c r="D474" i="8"/>
  <c r="D599" i="8"/>
  <c r="D402" i="8"/>
  <c r="D98" i="8"/>
  <c r="D420" i="8"/>
  <c r="D60" i="8"/>
  <c r="D594" i="8"/>
  <c r="D144" i="8"/>
  <c r="D600" i="8"/>
  <c r="D248" i="8"/>
  <c r="D59" i="8"/>
  <c r="D86" i="8"/>
  <c r="D53" i="8"/>
  <c r="D366" i="8"/>
  <c r="D90" i="8"/>
  <c r="D54" i="8"/>
  <c r="D300" i="8"/>
  <c r="D105" i="8"/>
  <c r="D326" i="8"/>
  <c r="D198" i="8"/>
  <c r="D590" i="8"/>
  <c r="D226" i="8"/>
  <c r="D9" i="8"/>
  <c r="D481" i="8"/>
  <c r="D299" i="8"/>
  <c r="D39" i="8"/>
  <c r="D104" i="8"/>
  <c r="D5" i="8"/>
  <c r="D470" i="8"/>
  <c r="D28" i="8"/>
  <c r="D157" i="8"/>
  <c r="D436" i="8"/>
  <c r="D603" i="8"/>
  <c r="D14" i="8"/>
  <c r="D7" i="8"/>
  <c r="D571" i="8"/>
  <c r="D146" i="8"/>
  <c r="D26" i="8"/>
  <c r="D6" i="8"/>
  <c r="D12" i="8"/>
  <c r="D136" i="8"/>
  <c r="D193" i="8"/>
  <c r="D48" i="8"/>
  <c r="D135" i="8"/>
  <c r="D289" i="8"/>
  <c r="D37" i="8"/>
  <c r="D145" i="8"/>
  <c r="D241" i="8"/>
  <c r="D214" i="8"/>
  <c r="D91" i="8"/>
  <c r="D47" i="8"/>
  <c r="D52" i="8"/>
  <c r="D67" i="8"/>
  <c r="D186" i="8"/>
  <c r="D4" i="8"/>
  <c r="D44" i="8"/>
  <c r="D71" i="8"/>
  <c r="D202" i="8"/>
  <c r="D3" i="8"/>
  <c r="D164" i="8"/>
  <c r="D11" i="8"/>
  <c r="D87" i="8"/>
  <c r="D126" i="8"/>
  <c r="D22" i="8"/>
  <c r="D94" i="8"/>
  <c r="D196" i="8"/>
  <c r="D79" i="8"/>
  <c r="D155" i="8"/>
  <c r="D62" i="8"/>
  <c r="D355" i="8"/>
  <c r="D156" i="8"/>
  <c r="D225" i="8"/>
  <c r="D267" i="8"/>
  <c r="D19" i="8"/>
  <c r="D341" i="8"/>
  <c r="D24" i="8"/>
  <c r="D259" i="8"/>
  <c r="D130" i="8"/>
  <c r="D159" i="8"/>
  <c r="D100" i="8"/>
  <c r="D85" i="8"/>
  <c r="D464" i="8"/>
  <c r="D264" i="8"/>
  <c r="D344" i="8"/>
  <c r="D208" i="8"/>
  <c r="D227" i="8"/>
  <c r="D134" i="8"/>
  <c r="D438" i="8"/>
  <c r="D488" i="8"/>
  <c r="D138" i="8"/>
  <c r="D125" i="8"/>
  <c r="D117" i="8"/>
  <c r="D305" i="8"/>
  <c r="D99" i="8"/>
  <c r="D216" i="8"/>
  <c r="D253" i="8"/>
  <c r="D290" i="8"/>
  <c r="D78" i="8"/>
  <c r="D334" i="8"/>
  <c r="D391" i="8"/>
  <c r="D185" i="8"/>
  <c r="D154" i="8"/>
  <c r="D406" i="8"/>
  <c r="D353" i="8"/>
  <c r="D38" i="8"/>
  <c r="D469" i="8"/>
  <c r="D483" i="8"/>
  <c r="D148" i="8"/>
  <c r="D16" i="8"/>
  <c r="D194" i="8"/>
  <c r="D149" i="8"/>
  <c r="D31" i="8"/>
  <c r="D120" i="8"/>
  <c r="D188" i="8"/>
  <c r="D25" i="8"/>
  <c r="D61" i="8"/>
  <c r="D480" i="8"/>
  <c r="D195" i="8"/>
  <c r="D172" i="8"/>
  <c r="D269" i="8"/>
  <c r="D76" i="8"/>
  <c r="D77" i="8"/>
  <c r="D407" i="8"/>
  <c r="D280" i="8"/>
  <c r="D103" i="8"/>
  <c r="D169" i="8"/>
  <c r="D573" i="8"/>
  <c r="D298" i="8"/>
  <c r="D66" i="8"/>
  <c r="D589" i="8"/>
  <c r="D184" i="8"/>
  <c r="D487" i="8"/>
  <c r="D542" i="8"/>
  <c r="D514" i="8"/>
  <c r="D43" i="8"/>
  <c r="D18" i="8"/>
  <c r="D251" i="8"/>
  <c r="D310" i="8"/>
  <c r="D151" i="8"/>
  <c r="D476" i="8"/>
  <c r="D243" i="8"/>
  <c r="D51" i="8"/>
  <c r="D379" i="8"/>
  <c r="D450" i="8"/>
  <c r="D370" i="8"/>
  <c r="D559" i="8"/>
  <c r="D381" i="8"/>
  <c r="D343" i="8"/>
  <c r="D81" i="8"/>
  <c r="D34" i="8"/>
  <c r="D65" i="8"/>
  <c r="D84" i="8"/>
  <c r="D224" i="8"/>
  <c r="D153" i="8"/>
  <c r="D497" i="8"/>
  <c r="D302" i="8"/>
  <c r="D163" i="8"/>
  <c r="D223" i="8"/>
  <c r="D74" i="8"/>
  <c r="D109" i="8"/>
  <c r="D168" i="8"/>
  <c r="D263" i="8"/>
  <c r="D454" i="8"/>
  <c r="D158" i="8"/>
  <c r="D230" i="8"/>
  <c r="D95" i="8"/>
  <c r="D191" i="8"/>
  <c r="D171" i="8"/>
  <c r="D236" i="8"/>
  <c r="D238" i="8"/>
  <c r="D64" i="8"/>
  <c r="D205" i="8"/>
  <c r="D175" i="8"/>
  <c r="D516" i="8"/>
  <c r="D142" i="8"/>
  <c r="D229" i="8"/>
  <c r="D304" i="8"/>
  <c r="D102" i="8"/>
  <c r="D46" i="8"/>
  <c r="D484" i="8"/>
  <c r="D178" i="8"/>
  <c r="D207" i="8"/>
  <c r="D41" i="8"/>
  <c r="D29" i="8"/>
  <c r="D20" i="8"/>
  <c r="D23" i="8"/>
  <c r="D49" i="8"/>
  <c r="D13" i="8"/>
  <c r="D170" i="8"/>
  <c r="D339" i="8"/>
  <c r="D32" i="8"/>
  <c r="D187" i="8"/>
  <c r="D56" i="8"/>
  <c r="D33" i="8"/>
  <c r="D107" i="8"/>
  <c r="D315" i="8"/>
  <c r="D63" i="8"/>
  <c r="D201" i="8"/>
  <c r="D162" i="8"/>
  <c r="D89" i="8"/>
  <c r="D255" i="8"/>
  <c r="D122" i="8"/>
  <c r="D140" i="8"/>
  <c r="D119" i="8"/>
  <c r="D394" i="8"/>
  <c r="D309" i="8"/>
  <c r="D510" i="8"/>
  <c r="D322" i="8"/>
  <c r="D279" i="8"/>
  <c r="D190" i="8"/>
  <c r="D58" i="8"/>
  <c r="D165" i="8"/>
  <c r="D212" i="8"/>
  <c r="D27" i="8"/>
  <c r="D189" i="8"/>
  <c r="D73" i="8"/>
  <c r="D221" i="8"/>
  <c r="D88" i="8"/>
  <c r="D45" i="8"/>
  <c r="D258" i="8"/>
  <c r="D301" i="8"/>
  <c r="D472" i="8"/>
  <c r="D374" i="8"/>
  <c r="D82" i="8"/>
  <c r="D278" i="8"/>
  <c r="D101" i="8"/>
  <c r="D372" i="8"/>
  <c r="D429" i="8"/>
  <c r="D416" i="8"/>
  <c r="D447" i="8"/>
  <c r="D507" i="8"/>
  <c r="D486" i="8"/>
  <c r="D182" i="8"/>
  <c r="D286" i="8"/>
  <c r="D357" i="8"/>
  <c r="D493" i="8"/>
  <c r="D254" i="8"/>
  <c r="AG254" i="8" s="1"/>
  <c r="D320" i="8"/>
  <c r="D397" i="8"/>
  <c r="AG397" i="8" s="1"/>
  <c r="D132" i="8"/>
  <c r="D8" i="8"/>
  <c r="D329" i="8"/>
  <c r="D70" i="8"/>
  <c r="AG70" i="8" s="1"/>
  <c r="D291" i="8"/>
  <c r="D213" i="8"/>
  <c r="AG213" i="8" s="1"/>
  <c r="D458" i="8"/>
  <c r="D347" i="8"/>
  <c r="AG347" i="8" s="1"/>
  <c r="D274" i="8"/>
  <c r="D583" i="8"/>
  <c r="AG583" i="8" s="1"/>
  <c r="D143" i="8"/>
  <c r="D197" i="8"/>
  <c r="AG197" i="8" s="1"/>
  <c r="D108" i="8"/>
  <c r="D413" i="8"/>
  <c r="AG413" i="8" s="1"/>
  <c r="D425" i="8"/>
  <c r="D232" i="8"/>
  <c r="AG232" i="8" s="1"/>
  <c r="D452" i="8"/>
  <c r="D380" i="8"/>
  <c r="AG380" i="8" s="1"/>
  <c r="D284" i="8"/>
  <c r="D167" i="8"/>
  <c r="D282" i="8"/>
  <c r="D287" i="8"/>
  <c r="D543" i="8"/>
  <c r="D69" i="8"/>
  <c r="D204" i="8"/>
  <c r="D139" i="8"/>
  <c r="D277" i="8"/>
  <c r="D36" i="8"/>
  <c r="D40" i="8"/>
  <c r="D449" i="8"/>
  <c r="D361" i="8"/>
  <c r="D285" i="8"/>
  <c r="D342" i="8"/>
  <c r="D435" i="8"/>
  <c r="D512" i="8"/>
  <c r="G12" i="10" l="1"/>
  <c r="H11" i="10" s="1"/>
  <c r="AG493" i="8"/>
  <c r="AG486" i="8"/>
  <c r="AG429" i="8"/>
  <c r="AG82" i="8"/>
  <c r="AG258" i="8"/>
  <c r="AG73" i="8"/>
  <c r="AG165" i="8"/>
  <c r="AG322" i="8"/>
  <c r="AG119" i="8"/>
  <c r="AG89" i="8"/>
  <c r="AG315" i="8"/>
  <c r="AG187" i="8"/>
  <c r="AG13" i="8"/>
  <c r="AG29" i="8"/>
  <c r="AG484" i="8"/>
  <c r="AG229" i="8"/>
  <c r="AG205" i="8"/>
  <c r="AG171" i="8"/>
  <c r="AG158" i="8"/>
  <c r="AG109" i="8"/>
  <c r="AG302" i="8"/>
  <c r="AG84" i="8"/>
  <c r="AG343" i="8"/>
  <c r="AG450" i="8"/>
  <c r="AG476" i="8"/>
  <c r="AG18" i="8"/>
  <c r="AG487" i="8"/>
  <c r="AG298" i="8"/>
  <c r="AG280" i="8"/>
  <c r="AG269" i="8"/>
  <c r="AG61" i="8"/>
  <c r="AG148" i="8"/>
  <c r="AG353" i="8"/>
  <c r="AG391" i="8"/>
  <c r="AG253" i="8"/>
  <c r="AG117" i="8"/>
  <c r="F13" i="10"/>
  <c r="D14" i="10"/>
  <c r="E14" i="10" s="1"/>
  <c r="C15" i="10"/>
  <c r="I13" i="10"/>
  <c r="AG286" i="8"/>
  <c r="AG447" i="8"/>
  <c r="AG472" i="8"/>
  <c r="AG88" i="8"/>
  <c r="AG27" i="8"/>
  <c r="AG190" i="8"/>
  <c r="AG309" i="8"/>
  <c r="AG122" i="8"/>
  <c r="AG201" i="8"/>
  <c r="AG33" i="8"/>
  <c r="AG339" i="8"/>
  <c r="AG23" i="8"/>
  <c r="AG207" i="8"/>
  <c r="AG102" i="8"/>
  <c r="AG516" i="8"/>
  <c r="AG238" i="8"/>
  <c r="AG95" i="8"/>
  <c r="AG263" i="8"/>
  <c r="AG223" i="8"/>
  <c r="AG153" i="8"/>
  <c r="AG34" i="8"/>
  <c r="AG559" i="8"/>
  <c r="AG51" i="8"/>
  <c r="AG310" i="8"/>
  <c r="AG514" i="8"/>
  <c r="AG589" i="8"/>
  <c r="AG169" i="8"/>
  <c r="AG77" i="8"/>
  <c r="AG195" i="8"/>
  <c r="AG188" i="8"/>
  <c r="AG194" i="8"/>
  <c r="AG469" i="8"/>
  <c r="AG154" i="8"/>
  <c r="AG78" i="8"/>
  <c r="AG99" i="8"/>
  <c r="AG275" i="8"/>
  <c r="AG313" i="8"/>
  <c r="AG561" i="8"/>
  <c r="AG430" i="8"/>
  <c r="AG331" i="8"/>
  <c r="AG245" i="8"/>
  <c r="AG72" i="8"/>
  <c r="AG218" i="8"/>
  <c r="AG244" i="8"/>
  <c r="AG540" i="8"/>
  <c r="AG565" i="8"/>
  <c r="AG528" i="8"/>
  <c r="AG526" i="8"/>
  <c r="AG404" i="8"/>
  <c r="AG240" i="8"/>
  <c r="AG257" i="8"/>
  <c r="AG392" i="8"/>
  <c r="AG123" i="8"/>
  <c r="AG303" i="8"/>
  <c r="AG534" i="8"/>
  <c r="AG539" i="8"/>
  <c r="AG150" i="8"/>
  <c r="AG206" i="8"/>
  <c r="AG459" i="8"/>
  <c r="AG426" i="8"/>
  <c r="AG293" i="8"/>
  <c r="AG409" i="8"/>
  <c r="AG388" i="8"/>
  <c r="AG598" i="8"/>
  <c r="AG556" i="8"/>
  <c r="AG311" i="8"/>
  <c r="AG247" i="8"/>
  <c r="AG525" i="8"/>
  <c r="AG333" i="8"/>
  <c r="AG535" i="8"/>
  <c r="AG412" i="8"/>
  <c r="AG461" i="8"/>
  <c r="AG327" i="8"/>
  <c r="AG228" i="8"/>
  <c r="AG390" i="8"/>
  <c r="AG111" i="8"/>
  <c r="AG417" i="8"/>
  <c r="AG478" i="8"/>
  <c r="AG414" i="8"/>
  <c r="AG568" i="8"/>
  <c r="AG545" i="8"/>
  <c r="AG382" i="8"/>
  <c r="AG530" i="8"/>
  <c r="AG364" i="8"/>
  <c r="AG453" i="8"/>
  <c r="AG560" i="8"/>
  <c r="AG570" i="8"/>
  <c r="AG551" i="8"/>
  <c r="AG602" i="8"/>
  <c r="AG262" i="8"/>
  <c r="AG523" i="8"/>
  <c r="AG471" i="8"/>
  <c r="AG574" i="8"/>
  <c r="AG538" i="8"/>
  <c r="AG518" i="8"/>
  <c r="AG519" i="8"/>
  <c r="AG503" i="8"/>
  <c r="AG421" i="8"/>
  <c r="AG271" i="8"/>
  <c r="AG456" i="8"/>
  <c r="AG166" i="8"/>
  <c r="AG351" i="8"/>
  <c r="AF83" i="8"/>
  <c r="AH83" i="8" s="1"/>
  <c r="AG8" i="8"/>
  <c r="AF351" i="8"/>
  <c r="AH351" i="8" s="1"/>
  <c r="AG125" i="8"/>
  <c r="AG134" i="8"/>
  <c r="AG264" i="8"/>
  <c r="AG159" i="8"/>
  <c r="AG341" i="8"/>
  <c r="AG156" i="8"/>
  <c r="AG79" i="8"/>
  <c r="AG126" i="8"/>
  <c r="AG3" i="8"/>
  <c r="AG44" i="8"/>
  <c r="AG52" i="8"/>
  <c r="AG241" i="8"/>
  <c r="AG135" i="8"/>
  <c r="AG12" i="8"/>
  <c r="AG571" i="8"/>
  <c r="AG436" i="8"/>
  <c r="AG5" i="8"/>
  <c r="AG481" i="8"/>
  <c r="AG198" i="8"/>
  <c r="AG54" i="8"/>
  <c r="AG86" i="8"/>
  <c r="AG144" i="8"/>
  <c r="AG98" i="8"/>
  <c r="AG340" i="8"/>
  <c r="AG116" i="8"/>
  <c r="AG21" i="8"/>
  <c r="AG209" i="8"/>
  <c r="AG272" i="8"/>
  <c r="AG373" i="8"/>
  <c r="AG50" i="8"/>
  <c r="AG367" i="8"/>
  <c r="AG555" i="8"/>
  <c r="AG321" i="8"/>
  <c r="AG524" i="8"/>
  <c r="AG419" i="8"/>
  <c r="AG499" i="8"/>
  <c r="AG498" i="8"/>
  <c r="AG491" i="8"/>
  <c r="AG463" i="8"/>
  <c r="AG572" i="8"/>
  <c r="AG527" i="8"/>
  <c r="AG317" i="8"/>
  <c r="AG475" i="8"/>
  <c r="AG368" i="8"/>
  <c r="AG511" i="8"/>
  <c r="AG422" i="8"/>
  <c r="AG502" i="8"/>
  <c r="AG356" i="8"/>
  <c r="AG405" i="8"/>
  <c r="AG557" i="8"/>
  <c r="AG504" i="8"/>
  <c r="AG564" i="8"/>
  <c r="AG515" i="8"/>
  <c r="AG31" i="8"/>
  <c r="AG101" i="8"/>
  <c r="AG488" i="8"/>
  <c r="AG208" i="8"/>
  <c r="AG85" i="8"/>
  <c r="AG259" i="8"/>
  <c r="AG267" i="8"/>
  <c r="AG62" i="8"/>
  <c r="AG94" i="8"/>
  <c r="AG11" i="8"/>
  <c r="AG202" i="8"/>
  <c r="AG186" i="8"/>
  <c r="AG91" i="8"/>
  <c r="AG37" i="8"/>
  <c r="AG193" i="8"/>
  <c r="AG26" i="8"/>
  <c r="AG14" i="8"/>
  <c r="AG28" i="8"/>
  <c r="AG39" i="8"/>
  <c r="AG226" i="8"/>
  <c r="AG105" i="8"/>
  <c r="AG285" i="8"/>
  <c r="AG36" i="8"/>
  <c r="AG69" i="8"/>
  <c r="AG167" i="8"/>
  <c r="AG366" i="8"/>
  <c r="AG248" i="8"/>
  <c r="AG60" i="8"/>
  <c r="AG599" i="8"/>
  <c r="AG537" i="8"/>
  <c r="AG17" i="8"/>
  <c r="AG455" i="8"/>
  <c r="AG203" i="8"/>
  <c r="AG323" i="8"/>
  <c r="AG252" i="8"/>
  <c r="AG217" i="8"/>
  <c r="AG345" i="8"/>
  <c r="AG319" i="8"/>
  <c r="AG55" i="8"/>
  <c r="AG121" i="8"/>
  <c r="AG96" i="8"/>
  <c r="AG174" i="8"/>
  <c r="AG114" i="8"/>
  <c r="AG35" i="8"/>
  <c r="AG199" i="8"/>
  <c r="AG242" i="8"/>
  <c r="AG544" i="8"/>
  <c r="AG566" i="8"/>
  <c r="AG268" i="8"/>
  <c r="AG256" i="8"/>
  <c r="AG306" i="8"/>
  <c r="AG400" i="8"/>
  <c r="AG350" i="8"/>
  <c r="AG385" i="8"/>
  <c r="AG115" i="8"/>
  <c r="AG365" i="8"/>
  <c r="AG577" i="8"/>
  <c r="AG359" i="8"/>
  <c r="AG161" i="8"/>
  <c r="AG250" i="8"/>
  <c r="AG494" i="8"/>
  <c r="AG440" i="8"/>
  <c r="AG554" i="8"/>
  <c r="AG505" i="8"/>
  <c r="AG575" i="8"/>
  <c r="AG533" i="8"/>
  <c r="AG395" i="8"/>
  <c r="AG181" i="8"/>
  <c r="AG294" i="8"/>
  <c r="AG192" i="8"/>
  <c r="AG446" i="8"/>
  <c r="AG552" i="8"/>
  <c r="AG462" i="8"/>
  <c r="AG439" i="8"/>
  <c r="AG336" i="8"/>
  <c r="AG550" i="8"/>
  <c r="AG349" i="8"/>
  <c r="AG312" i="8"/>
  <c r="AG441" i="8"/>
  <c r="AG292" i="8"/>
  <c r="AG147" i="8"/>
  <c r="AG579" i="8"/>
  <c r="AG582" i="8"/>
  <c r="AG529" i="8"/>
  <c r="AG408" i="8"/>
  <c r="AG314" i="8"/>
  <c r="AG576" i="8"/>
  <c r="AG465" i="8"/>
  <c r="AG531" i="8"/>
  <c r="AG427" i="8"/>
  <c r="AG231" i="8"/>
  <c r="AG423" i="8"/>
  <c r="AG468" i="8"/>
  <c r="AG428" i="8"/>
  <c r="AG532" i="8"/>
  <c r="AG495" i="8"/>
  <c r="AG522" i="8"/>
  <c r="AG588" i="8"/>
  <c r="AG604" i="8"/>
  <c r="AG513" i="8"/>
  <c r="AG517" i="8"/>
  <c r="AG506" i="8"/>
  <c r="AG443" i="8"/>
  <c r="AG318" i="8"/>
  <c r="AG500" i="8"/>
  <c r="AG398" i="8"/>
  <c r="AG410" i="8"/>
  <c r="AG360" i="8"/>
  <c r="AG593" i="8"/>
  <c r="AG276" i="8"/>
  <c r="AG435" i="8"/>
  <c r="AG139" i="8"/>
  <c r="AG449" i="8"/>
  <c r="AG287" i="8"/>
  <c r="AG128" i="8"/>
  <c r="AG177" i="8"/>
  <c r="AG512" i="8"/>
  <c r="AG361" i="8"/>
  <c r="AG277" i="8"/>
  <c r="AG543" i="8"/>
  <c r="AG284" i="8"/>
  <c r="AG425" i="8"/>
  <c r="AG143" i="8"/>
  <c r="AG458" i="8"/>
  <c r="AG329" i="8"/>
  <c r="AG320" i="8"/>
  <c r="AG357" i="8"/>
  <c r="AG507" i="8"/>
  <c r="AG372" i="8"/>
  <c r="AG374" i="8"/>
  <c r="AG45" i="8"/>
  <c r="AG189" i="8"/>
  <c r="AG58" i="8"/>
  <c r="AG510" i="8"/>
  <c r="AG140" i="8"/>
  <c r="AG162" i="8"/>
  <c r="AG107" i="8"/>
  <c r="AG32" i="8"/>
  <c r="AG49" i="8"/>
  <c r="AG41" i="8"/>
  <c r="AG46" i="8"/>
  <c r="AG142" i="8"/>
  <c r="AG64" i="8"/>
  <c r="AG191" i="8"/>
  <c r="AG454" i="8"/>
  <c r="AG74" i="8"/>
  <c r="AG497" i="8"/>
  <c r="AG65" i="8"/>
  <c r="AG381" i="8"/>
  <c r="AG379" i="8"/>
  <c r="AG151" i="8"/>
  <c r="AG43" i="8"/>
  <c r="AG184" i="8"/>
  <c r="AG573" i="8"/>
  <c r="AG407" i="8"/>
  <c r="AG172" i="8"/>
  <c r="AG25" i="8"/>
  <c r="AG149" i="8"/>
  <c r="AG483" i="8"/>
  <c r="AG406" i="8"/>
  <c r="AG334" i="8"/>
  <c r="AG216" i="8"/>
  <c r="AG438" i="8"/>
  <c r="AG344" i="8"/>
  <c r="AG100" i="8"/>
  <c r="AG24" i="8"/>
  <c r="AG225" i="8"/>
  <c r="AG155" i="8"/>
  <c r="AG22" i="8"/>
  <c r="AG164" i="8"/>
  <c r="AG71" i="8"/>
  <c r="AG67" i="8"/>
  <c r="AG214" i="8"/>
  <c r="AG289" i="8"/>
  <c r="AG136" i="8"/>
  <c r="AG146" i="8"/>
  <c r="AG603" i="8"/>
  <c r="AG470" i="8"/>
  <c r="AG299" i="8"/>
  <c r="AG590" i="8"/>
  <c r="AG300" i="8"/>
  <c r="AG53" i="8"/>
  <c r="AG600" i="8"/>
  <c r="AG420" i="8"/>
  <c r="AG474" i="8"/>
  <c r="AG358" i="8"/>
  <c r="AG265" i="8"/>
  <c r="AG10" i="8"/>
  <c r="AG68" i="8"/>
  <c r="AG335" i="8"/>
  <c r="AG42" i="8"/>
  <c r="AG137" i="8"/>
  <c r="AG176" i="8"/>
  <c r="AG261" i="8"/>
  <c r="AG375" i="8"/>
  <c r="AG110" i="8"/>
  <c r="AG324" i="8"/>
  <c r="AG124" i="8"/>
  <c r="AG2" i="8"/>
  <c r="AF435" i="8"/>
  <c r="AF285" i="8"/>
  <c r="AH285" i="8" s="1"/>
  <c r="AF449" i="8"/>
  <c r="AF36" i="8"/>
  <c r="AH36" i="8" s="1"/>
  <c r="AF139" i="8"/>
  <c r="AF69" i="8"/>
  <c r="AH69" i="8" s="1"/>
  <c r="AF287" i="8"/>
  <c r="AF167" i="8"/>
  <c r="AF380" i="8"/>
  <c r="AH380" i="8" s="1"/>
  <c r="AF232" i="8"/>
  <c r="AH232" i="8" s="1"/>
  <c r="AF413" i="8"/>
  <c r="AH413" i="8" s="1"/>
  <c r="AF197" i="8"/>
  <c r="AH197" i="8" s="1"/>
  <c r="AF583" i="8"/>
  <c r="AH583" i="8" s="1"/>
  <c r="AF347" i="8"/>
  <c r="AH347" i="8" s="1"/>
  <c r="AF213" i="8"/>
  <c r="AH213" i="8" s="1"/>
  <c r="AF70" i="8"/>
  <c r="AH70" i="8" s="1"/>
  <c r="AF8" i="8"/>
  <c r="AF397" i="8"/>
  <c r="AH397" i="8" s="1"/>
  <c r="AF254" i="8"/>
  <c r="AH254" i="8" s="1"/>
  <c r="AF493" i="8"/>
  <c r="AH493" i="8" s="1"/>
  <c r="AF286" i="8"/>
  <c r="AH286" i="8" s="1"/>
  <c r="AF486" i="8"/>
  <c r="AH486" i="8" s="1"/>
  <c r="AF447" i="8"/>
  <c r="AH447" i="8" s="1"/>
  <c r="AF429" i="8"/>
  <c r="AH429" i="8" s="1"/>
  <c r="AF101" i="8"/>
  <c r="AF82" i="8"/>
  <c r="AH82" i="8" s="1"/>
  <c r="AF472" i="8"/>
  <c r="AH472" i="8" s="1"/>
  <c r="AF258" i="8"/>
  <c r="AH258" i="8" s="1"/>
  <c r="AF88" i="8"/>
  <c r="AF73" i="8"/>
  <c r="AH73" i="8" s="1"/>
  <c r="AF27" i="8"/>
  <c r="AH27" i="8" s="1"/>
  <c r="AF165" i="8"/>
  <c r="AF190" i="8"/>
  <c r="AH190" i="8" s="1"/>
  <c r="AF322" i="8"/>
  <c r="AH322" i="8" s="1"/>
  <c r="AF309" i="8"/>
  <c r="AH309" i="8" s="1"/>
  <c r="AF119" i="8"/>
  <c r="AH119" i="8" s="1"/>
  <c r="AF122" i="8"/>
  <c r="AF89" i="8"/>
  <c r="AH89" i="8" s="1"/>
  <c r="AF201" i="8"/>
  <c r="AH201" i="8" s="1"/>
  <c r="AF315" i="8"/>
  <c r="AH315" i="8" s="1"/>
  <c r="AF33" i="8"/>
  <c r="AH33" i="8" s="1"/>
  <c r="AF187" i="8"/>
  <c r="AH187" i="8" s="1"/>
  <c r="AF339" i="8"/>
  <c r="AH339" i="8" s="1"/>
  <c r="AF13" i="8"/>
  <c r="AH13" i="8" s="1"/>
  <c r="AF23" i="8"/>
  <c r="AF29" i="8"/>
  <c r="AH29" i="8" s="1"/>
  <c r="AF207" i="8"/>
  <c r="AH207" i="8" s="1"/>
  <c r="AF484" i="8"/>
  <c r="AH484" i="8" s="1"/>
  <c r="AF102" i="8"/>
  <c r="AH102" i="8" s="1"/>
  <c r="AF229" i="8"/>
  <c r="AH229" i="8" s="1"/>
  <c r="AF516" i="8"/>
  <c r="AH516" i="8" s="1"/>
  <c r="AF205" i="8"/>
  <c r="AH205" i="8" s="1"/>
  <c r="AF238" i="8"/>
  <c r="AF171" i="8"/>
  <c r="AH171" i="8" s="1"/>
  <c r="AF95" i="8"/>
  <c r="AH95" i="8" s="1"/>
  <c r="AF158" i="8"/>
  <c r="AF263" i="8"/>
  <c r="AH263" i="8" s="1"/>
  <c r="AF109" i="8"/>
  <c r="AH109" i="8" s="1"/>
  <c r="AF223" i="8"/>
  <c r="AH223" i="8" s="1"/>
  <c r="AF302" i="8"/>
  <c r="AH302" i="8" s="1"/>
  <c r="AF153" i="8"/>
  <c r="AF84" i="8"/>
  <c r="AH84" i="8" s="1"/>
  <c r="AF34" i="8"/>
  <c r="AH34" i="8" s="1"/>
  <c r="AF343" i="8"/>
  <c r="AH343" i="8" s="1"/>
  <c r="AF559" i="8"/>
  <c r="AH559" i="8" s="1"/>
  <c r="AF450" i="8"/>
  <c r="AH450" i="8" s="1"/>
  <c r="AF51" i="8"/>
  <c r="AH51" i="8" s="1"/>
  <c r="AF476" i="8"/>
  <c r="AH476" i="8" s="1"/>
  <c r="AF310" i="8"/>
  <c r="AF18" i="8"/>
  <c r="AH18" i="8" s="1"/>
  <c r="AF514" i="8"/>
  <c r="AH514" i="8" s="1"/>
  <c r="AF487" i="8"/>
  <c r="AH487" i="8" s="1"/>
  <c r="AF589" i="8"/>
  <c r="AH589" i="8" s="1"/>
  <c r="AF298" i="8"/>
  <c r="AH298" i="8" s="1"/>
  <c r="AF169" i="8"/>
  <c r="AH169" i="8" s="1"/>
  <c r="AF280" i="8"/>
  <c r="AH280" i="8" s="1"/>
  <c r="AF77" i="8"/>
  <c r="AF269" i="8"/>
  <c r="AH269" i="8" s="1"/>
  <c r="AF195" i="8"/>
  <c r="AH195" i="8" s="1"/>
  <c r="AF61" i="8"/>
  <c r="AH61" i="8" s="1"/>
  <c r="AF188" i="8"/>
  <c r="AH188" i="8" s="1"/>
  <c r="AF31" i="8"/>
  <c r="AH31" i="8" s="1"/>
  <c r="AF194" i="8"/>
  <c r="AH194" i="8" s="1"/>
  <c r="AF148" i="8"/>
  <c r="AH148" i="8" s="1"/>
  <c r="AF469" i="8"/>
  <c r="AF353" i="8"/>
  <c r="AH353" i="8" s="1"/>
  <c r="AF154" i="8"/>
  <c r="AH154" i="8" s="1"/>
  <c r="AF391" i="8"/>
  <c r="AH391" i="8" s="1"/>
  <c r="AF78" i="8"/>
  <c r="AH78" i="8" s="1"/>
  <c r="AF253" i="8"/>
  <c r="AH253" i="8" s="1"/>
  <c r="AF99" i="8"/>
  <c r="AF117" i="8"/>
  <c r="AH117" i="8" s="1"/>
  <c r="AF125" i="8"/>
  <c r="AH125" i="8" s="1"/>
  <c r="AF488" i="8"/>
  <c r="AH488" i="8" s="1"/>
  <c r="AF134" i="8"/>
  <c r="AH134" i="8" s="1"/>
  <c r="AF208" i="8"/>
  <c r="AH208" i="8" s="1"/>
  <c r="AF264" i="8"/>
  <c r="AF85" i="8"/>
  <c r="AH85" i="8" s="1"/>
  <c r="AF159" i="8"/>
  <c r="AH159" i="8" s="1"/>
  <c r="AF259" i="8"/>
  <c r="AF341" i="8"/>
  <c r="AH341" i="8" s="1"/>
  <c r="AF267" i="8"/>
  <c r="AH267" i="8" s="1"/>
  <c r="AF156" i="8"/>
  <c r="AH156" i="8" s="1"/>
  <c r="AF62" i="8"/>
  <c r="AH62" i="8" s="1"/>
  <c r="AF79" i="8"/>
  <c r="AF94" i="8"/>
  <c r="AH94" i="8" s="1"/>
  <c r="AF126" i="8"/>
  <c r="AH126" i="8" s="1"/>
  <c r="AF11" i="8"/>
  <c r="AF3" i="8"/>
  <c r="AH3" i="8" s="1"/>
  <c r="AF202" i="8"/>
  <c r="AH202" i="8" s="1"/>
  <c r="AF44" i="8"/>
  <c r="AF186" i="8"/>
  <c r="AH186" i="8" s="1"/>
  <c r="AF52" i="8"/>
  <c r="AF91" i="8"/>
  <c r="AH91" i="8" s="1"/>
  <c r="AF241" i="8"/>
  <c r="AH241" i="8" s="1"/>
  <c r="AF37" i="8"/>
  <c r="AF135" i="8"/>
  <c r="AH135" i="8" s="1"/>
  <c r="AF193" i="8"/>
  <c r="AH193" i="8" s="1"/>
  <c r="AF12" i="8"/>
  <c r="AH12" i="8" s="1"/>
  <c r="AF26" i="8"/>
  <c r="AH26" i="8" s="1"/>
  <c r="AF571" i="8"/>
  <c r="AF14" i="8"/>
  <c r="AH14" i="8" s="1"/>
  <c r="AF436" i="8"/>
  <c r="AH436" i="8" s="1"/>
  <c r="AF28" i="8"/>
  <c r="AF5" i="8"/>
  <c r="AH5" i="8" s="1"/>
  <c r="AF39" i="8"/>
  <c r="AH39" i="8" s="1"/>
  <c r="AF481" i="8"/>
  <c r="AH481" i="8" s="1"/>
  <c r="AF226" i="8"/>
  <c r="AH226" i="8" s="1"/>
  <c r="AF198" i="8"/>
  <c r="AF105" i="8"/>
  <c r="AH105" i="8" s="1"/>
  <c r="AF54" i="8"/>
  <c r="AH54" i="8" s="1"/>
  <c r="AF366" i="8"/>
  <c r="AF86" i="8"/>
  <c r="AH86" i="8" s="1"/>
  <c r="AF248" i="8"/>
  <c r="AH248" i="8" s="1"/>
  <c r="AF144" i="8"/>
  <c r="AH144" i="8" s="1"/>
  <c r="AF60" i="8"/>
  <c r="AH60" i="8" s="1"/>
  <c r="AF98" i="8"/>
  <c r="AF599" i="8"/>
  <c r="AH599" i="8" s="1"/>
  <c r="AF340" i="8"/>
  <c r="AH340" i="8" s="1"/>
  <c r="AF537" i="8"/>
  <c r="AF116" i="8"/>
  <c r="AH116" i="8" s="1"/>
  <c r="AF17" i="8"/>
  <c r="AH17" i="8" s="1"/>
  <c r="AF21" i="8"/>
  <c r="AH21" i="8" s="1"/>
  <c r="AF455" i="8"/>
  <c r="AH455" i="8" s="1"/>
  <c r="AF209" i="8"/>
  <c r="AF203" i="8"/>
  <c r="AH203" i="8" s="1"/>
  <c r="AF272" i="8"/>
  <c r="AH272" i="8" s="1"/>
  <c r="AF323" i="8"/>
  <c r="AF373" i="8"/>
  <c r="AH373" i="8" s="1"/>
  <c r="AF252" i="8"/>
  <c r="AH252" i="8" s="1"/>
  <c r="AF50" i="8"/>
  <c r="AH50" i="8" s="1"/>
  <c r="AF217" i="8"/>
  <c r="AH217" i="8" s="1"/>
  <c r="AF367" i="8"/>
  <c r="AF345" i="8"/>
  <c r="AH345" i="8" s="1"/>
  <c r="AF15" i="8"/>
  <c r="AH15" i="8" s="1"/>
  <c r="AF319" i="8"/>
  <c r="AF30" i="8"/>
  <c r="AH30" i="8" s="1"/>
  <c r="AF177" i="8"/>
  <c r="AH177" i="8" s="1"/>
  <c r="AF118" i="8"/>
  <c r="AH118" i="8" s="1"/>
  <c r="AF55" i="8"/>
  <c r="AH55" i="8" s="1"/>
  <c r="AF92" i="8"/>
  <c r="AH92" i="8" s="1"/>
  <c r="AF121" i="8"/>
  <c r="AH121" i="8" s="1"/>
  <c r="AF508" i="8"/>
  <c r="AH508" i="8" s="1"/>
  <c r="AF96" i="8"/>
  <c r="AF93" i="8"/>
  <c r="AH93" i="8" s="1"/>
  <c r="AF174" i="8"/>
  <c r="AH174" i="8" s="1"/>
  <c r="AF363" i="8"/>
  <c r="AH363" i="8" s="1"/>
  <c r="AF114" i="8"/>
  <c r="AH114" i="8" s="1"/>
  <c r="AF57" i="8"/>
  <c r="AH57" i="8" s="1"/>
  <c r="AF35" i="8"/>
  <c r="AH35" i="8" s="1"/>
  <c r="AF233" i="8"/>
  <c r="AH233" i="8" s="1"/>
  <c r="AF199" i="8"/>
  <c r="AF239" i="8"/>
  <c r="AH239" i="8" s="1"/>
  <c r="AF242" i="8"/>
  <c r="AH242" i="8" s="1"/>
  <c r="AF237" i="8"/>
  <c r="AH237" i="8" s="1"/>
  <c r="AF544" i="8"/>
  <c r="AH544" i="8" s="1"/>
  <c r="AF451" i="8"/>
  <c r="AH451" i="8" s="1"/>
  <c r="AF566" i="8"/>
  <c r="AH566" i="8" s="1"/>
  <c r="AF129" i="8"/>
  <c r="AH129" i="8" s="1"/>
  <c r="AF268" i="8"/>
  <c r="AF431" i="8"/>
  <c r="AH431" i="8" s="1"/>
  <c r="AF256" i="8"/>
  <c r="AH256" i="8" s="1"/>
  <c r="AF399" i="8"/>
  <c r="AH399" i="8" s="1"/>
  <c r="AF306" i="8"/>
  <c r="AH306" i="8" s="1"/>
  <c r="AF445" i="8"/>
  <c r="AH445" i="8" s="1"/>
  <c r="AF400" i="8"/>
  <c r="AH400" i="8" s="1"/>
  <c r="AF377" i="8"/>
  <c r="AH377" i="8" s="1"/>
  <c r="AF350" i="8"/>
  <c r="AF270" i="8"/>
  <c r="AH270" i="8" s="1"/>
  <c r="AF385" i="8"/>
  <c r="AH385" i="8" s="1"/>
  <c r="AF473" i="8"/>
  <c r="AH473" i="8" s="1"/>
  <c r="AF115" i="8"/>
  <c r="AH115" i="8" s="1"/>
  <c r="AF592" i="8"/>
  <c r="AH592" i="8" s="1"/>
  <c r="AG342" i="8"/>
  <c r="AG40" i="8"/>
  <c r="AG204" i="8"/>
  <c r="AG282" i="8"/>
  <c r="AG452" i="8"/>
  <c r="AG108" i="8"/>
  <c r="AG274" i="8"/>
  <c r="AG291" i="8"/>
  <c r="AG132" i="8"/>
  <c r="AG182" i="8"/>
  <c r="AG416" i="8"/>
  <c r="AG278" i="8"/>
  <c r="AG301" i="8"/>
  <c r="AG221" i="8"/>
  <c r="AG212" i="8"/>
  <c r="AG279" i="8"/>
  <c r="AG394" i="8"/>
  <c r="AG255" i="8"/>
  <c r="AG63" i="8"/>
  <c r="AG56" i="8"/>
  <c r="AG170" i="8"/>
  <c r="AG20" i="8"/>
  <c r="AG178" i="8"/>
  <c r="AG304" i="8"/>
  <c r="AG175" i="8"/>
  <c r="AG236" i="8"/>
  <c r="AG230" i="8"/>
  <c r="AG168" i="8"/>
  <c r="AG163" i="8"/>
  <c r="AG224" i="8"/>
  <c r="AG81" i="8"/>
  <c r="AG370" i="8"/>
  <c r="AG243" i="8"/>
  <c r="AG251" i="8"/>
  <c r="AG542" i="8"/>
  <c r="AG66" i="8"/>
  <c r="AG103" i="8"/>
  <c r="AG76" i="8"/>
  <c r="AG480" i="8"/>
  <c r="AG120" i="8"/>
  <c r="AG16" i="8"/>
  <c r="AG38" i="8"/>
  <c r="AG185" i="8"/>
  <c r="AG290" i="8"/>
  <c r="AG305" i="8"/>
  <c r="AG138" i="8"/>
  <c r="AG227" i="8"/>
  <c r="AG464" i="8"/>
  <c r="AG130" i="8"/>
  <c r="AG19" i="8"/>
  <c r="AG355" i="8"/>
  <c r="AG196" i="8"/>
  <c r="AG87" i="8"/>
  <c r="AG4" i="8"/>
  <c r="AG47" i="8"/>
  <c r="AG145" i="8"/>
  <c r="AG48" i="8"/>
  <c r="AG6" i="8"/>
  <c r="AG7" i="8"/>
  <c r="AG157" i="8"/>
  <c r="AG104" i="8"/>
  <c r="AG9" i="8"/>
  <c r="AG326" i="8"/>
  <c r="AG90" i="8"/>
  <c r="AG59" i="8"/>
  <c r="AG594" i="8"/>
  <c r="AG402" i="8"/>
  <c r="AG605" i="8"/>
  <c r="AG222" i="8"/>
  <c r="AG308" i="8"/>
  <c r="AG152" i="8"/>
  <c r="AG211" i="8"/>
  <c r="AG273" i="8"/>
  <c r="AG295" i="8"/>
  <c r="AG133" i="8"/>
  <c r="AG235" i="8"/>
  <c r="AG80" i="8"/>
  <c r="AG113" i="8"/>
  <c r="AG75" i="8"/>
  <c r="AG141" i="8"/>
  <c r="AG210" i="8"/>
  <c r="AG337" i="8"/>
  <c r="AG106" i="8"/>
  <c r="AG160" i="8"/>
  <c r="AG389" i="8"/>
  <c r="AG396" i="8"/>
  <c r="AG457" i="8"/>
  <c r="AG546" i="8"/>
  <c r="AG200" i="8"/>
  <c r="AG387" i="8"/>
  <c r="AG266" i="8"/>
  <c r="AG281" i="8"/>
  <c r="AG220" i="8"/>
  <c r="AG432" i="8"/>
  <c r="AG581" i="8"/>
  <c r="AG547" i="8"/>
  <c r="AG580" i="8"/>
  <c r="AG330" i="8"/>
  <c r="AG434" i="8"/>
  <c r="AG346" i="8"/>
  <c r="AG437" i="8"/>
  <c r="AG509" i="8"/>
  <c r="AG371" i="8"/>
  <c r="AG562" i="8"/>
  <c r="AG501" i="8"/>
  <c r="AG180" i="8"/>
  <c r="AG260" i="8"/>
  <c r="AG348" i="8"/>
  <c r="AG179" i="8"/>
  <c r="AG354" i="8"/>
  <c r="AG332" i="8"/>
  <c r="AG433" i="8"/>
  <c r="AG183" i="8"/>
  <c r="AG352" i="8"/>
  <c r="AG460" i="8"/>
  <c r="AG415" i="8"/>
  <c r="AG362" i="8"/>
  <c r="AG466" i="8"/>
  <c r="AG489" i="8"/>
  <c r="AG418" i="8"/>
  <c r="AG127" i="8"/>
  <c r="AG378" i="8"/>
  <c r="AG490" i="8"/>
  <c r="AG596" i="8"/>
  <c r="AG249" i="8"/>
  <c r="AG442" i="8"/>
  <c r="AG536" i="8"/>
  <c r="AG549" i="8"/>
  <c r="AF512" i="8"/>
  <c r="AF342" i="8"/>
  <c r="AF361" i="8"/>
  <c r="AF40" i="8"/>
  <c r="AF277" i="8"/>
  <c r="AF204" i="8"/>
  <c r="AF543" i="8"/>
  <c r="AF282" i="8"/>
  <c r="AF284" i="8"/>
  <c r="AF452" i="8"/>
  <c r="AF425" i="8"/>
  <c r="AF108" i="8"/>
  <c r="AF143" i="8"/>
  <c r="AF274" i="8"/>
  <c r="AF458" i="8"/>
  <c r="AF291" i="8"/>
  <c r="AF329" i="8"/>
  <c r="AF132" i="8"/>
  <c r="AF320" i="8"/>
  <c r="AF357" i="8"/>
  <c r="AF182" i="8"/>
  <c r="AF507" i="8"/>
  <c r="AF416" i="8"/>
  <c r="AF372" i="8"/>
  <c r="AF278" i="8"/>
  <c r="AF374" i="8"/>
  <c r="AF301" i="8"/>
  <c r="AF45" i="8"/>
  <c r="AF221" i="8"/>
  <c r="AF189" i="8"/>
  <c r="AF212" i="8"/>
  <c r="AF58" i="8"/>
  <c r="AF279" i="8"/>
  <c r="AF510" i="8"/>
  <c r="AF394" i="8"/>
  <c r="AF140" i="8"/>
  <c r="AF255" i="8"/>
  <c r="AF162" i="8"/>
  <c r="AF63" i="8"/>
  <c r="AF107" i="8"/>
  <c r="AF56" i="8"/>
  <c r="AF32" i="8"/>
  <c r="AF170" i="8"/>
  <c r="AF49" i="8"/>
  <c r="AF20" i="8"/>
  <c r="AF41" i="8"/>
  <c r="AF178" i="8"/>
  <c r="AF46" i="8"/>
  <c r="AF304" i="8"/>
  <c r="AF142" i="8"/>
  <c r="AF175" i="8"/>
  <c r="AF64" i="8"/>
  <c r="AF236" i="8"/>
  <c r="AF191" i="8"/>
  <c r="AF230" i="8"/>
  <c r="AF454" i="8"/>
  <c r="AF168" i="8"/>
  <c r="AF74" i="8"/>
  <c r="AF163" i="8"/>
  <c r="AF497" i="8"/>
  <c r="AF224" i="8"/>
  <c r="AF65" i="8"/>
  <c r="AF81" i="8"/>
  <c r="AF381" i="8"/>
  <c r="AF370" i="8"/>
  <c r="AF379" i="8"/>
  <c r="AF243" i="8"/>
  <c r="AF151" i="8"/>
  <c r="AF251" i="8"/>
  <c r="AF43" i="8"/>
  <c r="AF542" i="8"/>
  <c r="AF184" i="8"/>
  <c r="AF66" i="8"/>
  <c r="AF573" i="8"/>
  <c r="AF103" i="8"/>
  <c r="AF407" i="8"/>
  <c r="AF76" i="8"/>
  <c r="AF172" i="8"/>
  <c r="AF480" i="8"/>
  <c r="AF25" i="8"/>
  <c r="AF120" i="8"/>
  <c r="AF149" i="8"/>
  <c r="AF16" i="8"/>
  <c r="AF483" i="8"/>
  <c r="AF38" i="8"/>
  <c r="AF406" i="8"/>
  <c r="AF185" i="8"/>
  <c r="AF334" i="8"/>
  <c r="AF290" i="8"/>
  <c r="AF216" i="8"/>
  <c r="AF305" i="8"/>
  <c r="AF138" i="8"/>
  <c r="AF438" i="8"/>
  <c r="AF227" i="8"/>
  <c r="AF344" i="8"/>
  <c r="AF464" i="8"/>
  <c r="AF100" i="8"/>
  <c r="AF130" i="8"/>
  <c r="AF24" i="8"/>
  <c r="AF19" i="8"/>
  <c r="AF225" i="8"/>
  <c r="AF355" i="8"/>
  <c r="AF155" i="8"/>
  <c r="AF196" i="8"/>
  <c r="AF22" i="8"/>
  <c r="AF87" i="8"/>
  <c r="AF164" i="8"/>
  <c r="AF71" i="8"/>
  <c r="AF4" i="8"/>
  <c r="AF67" i="8"/>
  <c r="AF47" i="8"/>
  <c r="AF214" i="8"/>
  <c r="AF145" i="8"/>
  <c r="AF289" i="8"/>
  <c r="AF48" i="8"/>
  <c r="AF136" i="8"/>
  <c r="AF6" i="8"/>
  <c r="AF146" i="8"/>
  <c r="AF7" i="8"/>
  <c r="AF603" i="8"/>
  <c r="AF157" i="8"/>
  <c r="AF470" i="8"/>
  <c r="AF104" i="8"/>
  <c r="AF299" i="8"/>
  <c r="AF9" i="8"/>
  <c r="AF590" i="8"/>
  <c r="AF326" i="8"/>
  <c r="AF300" i="8"/>
  <c r="AF90" i="8"/>
  <c r="AF53" i="8"/>
  <c r="AF59" i="8"/>
  <c r="AF600" i="8"/>
  <c r="AF594" i="8"/>
  <c r="AF420" i="8"/>
  <c r="AF402" i="8"/>
  <c r="AF474" i="8"/>
  <c r="AF605" i="8"/>
  <c r="AF358" i="8"/>
  <c r="AF222" i="8"/>
  <c r="AF265" i="8"/>
  <c r="AF308" i="8"/>
  <c r="AF10" i="8"/>
  <c r="AF152" i="8"/>
  <c r="AF68" i="8"/>
  <c r="AF211" i="8"/>
  <c r="AF335" i="8"/>
  <c r="AF273" i="8"/>
  <c r="AF42" i="8"/>
  <c r="AF295" i="8"/>
  <c r="AF137" i="8"/>
  <c r="AF133" i="8"/>
  <c r="AF235" i="8"/>
  <c r="AF176" i="8"/>
  <c r="AF80" i="8"/>
  <c r="AF261" i="8"/>
  <c r="AF113" i="8"/>
  <c r="AF375" i="8"/>
  <c r="AF75" i="8"/>
  <c r="AF110" i="8"/>
  <c r="AF141" i="8"/>
  <c r="AF324" i="8"/>
  <c r="AF210" i="8"/>
  <c r="AF124" i="8"/>
  <c r="AF337" i="8"/>
  <c r="AF2" i="8"/>
  <c r="AF106" i="8"/>
  <c r="AF275" i="8"/>
  <c r="AF160" i="8"/>
  <c r="AF313" i="8"/>
  <c r="AH313" i="8" s="1"/>
  <c r="AF389" i="8"/>
  <c r="AF128" i="8"/>
  <c r="AH128" i="8" s="1"/>
  <c r="AF396" i="8"/>
  <c r="AF561" i="8"/>
  <c r="AH561" i="8" s="1"/>
  <c r="AF457" i="8"/>
  <c r="AF430" i="8"/>
  <c r="AH430" i="8" s="1"/>
  <c r="AF546" i="8"/>
  <c r="AF331" i="8"/>
  <c r="AH331" i="8" s="1"/>
  <c r="AF200" i="8"/>
  <c r="AF245" i="8"/>
  <c r="AH245" i="8" s="1"/>
  <c r="AF387" i="8"/>
  <c r="AF72" i="8"/>
  <c r="AH72" i="8" s="1"/>
  <c r="AF266" i="8"/>
  <c r="AF218" i="8"/>
  <c r="AH218" i="8" s="1"/>
  <c r="AF281" i="8"/>
  <c r="AF244" i="8"/>
  <c r="AH244" i="8" s="1"/>
  <c r="AF220" i="8"/>
  <c r="AF540" i="8"/>
  <c r="AH540" i="8" s="1"/>
  <c r="AF432" i="8"/>
  <c r="AF565" i="8"/>
  <c r="AH565" i="8" s="1"/>
  <c r="AF581" i="8"/>
  <c r="AF528" i="8"/>
  <c r="AH528" i="8" s="1"/>
  <c r="AF547" i="8"/>
  <c r="AF526" i="8"/>
  <c r="AH526" i="8" s="1"/>
  <c r="AF580" i="8"/>
  <c r="AF404" i="8"/>
  <c r="AH404" i="8" s="1"/>
  <c r="AF330" i="8"/>
  <c r="AF240" i="8"/>
  <c r="AH240" i="8" s="1"/>
  <c r="AF434" i="8"/>
  <c r="AF257" i="8"/>
  <c r="AH257" i="8" s="1"/>
  <c r="AF346" i="8"/>
  <c r="AF392" i="8"/>
  <c r="AH392" i="8" s="1"/>
  <c r="AF437" i="8"/>
  <c r="AF123" i="8"/>
  <c r="AH123" i="8" s="1"/>
  <c r="AF509" i="8"/>
  <c r="AF303" i="8"/>
  <c r="AH303" i="8" s="1"/>
  <c r="AF371" i="8"/>
  <c r="AF534" i="8"/>
  <c r="AH534" i="8" s="1"/>
  <c r="AF562" i="8"/>
  <c r="AF539" i="8"/>
  <c r="AH539" i="8" s="1"/>
  <c r="AF501" i="8"/>
  <c r="AF150" i="8"/>
  <c r="AH150" i="8" s="1"/>
  <c r="AF180" i="8"/>
  <c r="AF206" i="8"/>
  <c r="AH206" i="8" s="1"/>
  <c r="AF260" i="8"/>
  <c r="AF459" i="8"/>
  <c r="AH459" i="8" s="1"/>
  <c r="AF348" i="8"/>
  <c r="AF426" i="8"/>
  <c r="AH426" i="8" s="1"/>
  <c r="AF179" i="8"/>
  <c r="AF293" i="8"/>
  <c r="AH293" i="8" s="1"/>
  <c r="AF354" i="8"/>
  <c r="AF409" i="8"/>
  <c r="AH409" i="8" s="1"/>
  <c r="AF332" i="8"/>
  <c r="AF388" i="8"/>
  <c r="AH388" i="8" s="1"/>
  <c r="AF433" i="8"/>
  <c r="AF598" i="8"/>
  <c r="AH598" i="8" s="1"/>
  <c r="AF183" i="8"/>
  <c r="AF556" i="8"/>
  <c r="AH556" i="8" s="1"/>
  <c r="AF352" i="8"/>
  <c r="AF311" i="8"/>
  <c r="AH311" i="8" s="1"/>
  <c r="AF460" i="8"/>
  <c r="AF247" i="8"/>
  <c r="AH247" i="8" s="1"/>
  <c r="AF415" i="8"/>
  <c r="AF525" i="8"/>
  <c r="AH525" i="8" s="1"/>
  <c r="AF362" i="8"/>
  <c r="AF333" i="8"/>
  <c r="AH333" i="8" s="1"/>
  <c r="AF466" i="8"/>
  <c r="AF535" i="8"/>
  <c r="AH535" i="8" s="1"/>
  <c r="AF489" i="8"/>
  <c r="AF412" i="8"/>
  <c r="AH412" i="8" s="1"/>
  <c r="AF418" i="8"/>
  <c r="AF461" i="8"/>
  <c r="AH461" i="8" s="1"/>
  <c r="AF127" i="8"/>
  <c r="AF327" i="8"/>
  <c r="AH327" i="8" s="1"/>
  <c r="AF378" i="8"/>
  <c r="AF228" i="8"/>
  <c r="AH228" i="8" s="1"/>
  <c r="AF490" i="8"/>
  <c r="AF390" i="8"/>
  <c r="AH390" i="8" s="1"/>
  <c r="AF596" i="8"/>
  <c r="AF111" i="8"/>
  <c r="AH111" i="8" s="1"/>
  <c r="AF249" i="8"/>
  <c r="AF417" i="8"/>
  <c r="AH417" i="8" s="1"/>
  <c r="AF442" i="8"/>
  <c r="AF478" i="8"/>
  <c r="AH478" i="8" s="1"/>
  <c r="AF536" i="8"/>
  <c r="AF414" i="8"/>
  <c r="AH414" i="8" s="1"/>
  <c r="AF549" i="8"/>
  <c r="AF568" i="8"/>
  <c r="AH568" i="8" s="1"/>
  <c r="AF555" i="8"/>
  <c r="AH555" i="8" s="1"/>
  <c r="AF545" i="8"/>
  <c r="AH545" i="8" s="1"/>
  <c r="AF321" i="8"/>
  <c r="AH321" i="8" s="1"/>
  <c r="AF382" i="8"/>
  <c r="AH382" i="8" s="1"/>
  <c r="AF524" i="8"/>
  <c r="AH524" i="8" s="1"/>
  <c r="AF530" i="8"/>
  <c r="AH530" i="8" s="1"/>
  <c r="AF419" i="8"/>
  <c r="AF364" i="8"/>
  <c r="AH364" i="8" s="1"/>
  <c r="AF499" i="8"/>
  <c r="AH499" i="8" s="1"/>
  <c r="AF453" i="8"/>
  <c r="AH453" i="8" s="1"/>
  <c r="AF498" i="8"/>
  <c r="AH498" i="8" s="1"/>
  <c r="AF560" i="8"/>
  <c r="AH560" i="8" s="1"/>
  <c r="AF491" i="8"/>
  <c r="AH491" i="8" s="1"/>
  <c r="AF570" i="8"/>
  <c r="AH570" i="8" s="1"/>
  <c r="AF463" i="8"/>
  <c r="AF551" i="8"/>
  <c r="AH551" i="8" s="1"/>
  <c r="AF572" i="8"/>
  <c r="AH572" i="8" s="1"/>
  <c r="AF602" i="8"/>
  <c r="AH602" i="8" s="1"/>
  <c r="AF527" i="8"/>
  <c r="AH527" i="8" s="1"/>
  <c r="AF262" i="8"/>
  <c r="AH262" i="8" s="1"/>
  <c r="AF317" i="8"/>
  <c r="AH317" i="8" s="1"/>
  <c r="AF523" i="8"/>
  <c r="AH523" i="8" s="1"/>
  <c r="AF475" i="8"/>
  <c r="AF471" i="8"/>
  <c r="AH471" i="8" s="1"/>
  <c r="AF368" i="8"/>
  <c r="AH368" i="8" s="1"/>
  <c r="AF574" i="8"/>
  <c r="AH574" i="8" s="1"/>
  <c r="AF511" i="8"/>
  <c r="AH511" i="8" s="1"/>
  <c r="AF538" i="8"/>
  <c r="AH538" i="8" s="1"/>
  <c r="AF422" i="8"/>
  <c r="AH422" i="8" s="1"/>
  <c r="AF518" i="8"/>
  <c r="AH518" i="8" s="1"/>
  <c r="AF502" i="8"/>
  <c r="AF519" i="8"/>
  <c r="AH519" i="8" s="1"/>
  <c r="AF356" i="8"/>
  <c r="AH356" i="8" s="1"/>
  <c r="AF503" i="8"/>
  <c r="AH503" i="8" s="1"/>
  <c r="AF405" i="8"/>
  <c r="AH405" i="8" s="1"/>
  <c r="AF421" i="8"/>
  <c r="AH421" i="8" s="1"/>
  <c r="AF557" i="8"/>
  <c r="AH557" i="8" s="1"/>
  <c r="AF271" i="8"/>
  <c r="AH271" i="8" s="1"/>
  <c r="AF504" i="8"/>
  <c r="AF456" i="8"/>
  <c r="AH456" i="8" s="1"/>
  <c r="AF564" i="8"/>
  <c r="AH564" i="8" s="1"/>
  <c r="AF166" i="8"/>
  <c r="AH166" i="8" s="1"/>
  <c r="AF515" i="8"/>
  <c r="AH515" i="8" s="1"/>
  <c r="AF365" i="8"/>
  <c r="AH365" i="8" s="1"/>
  <c r="AF606" i="8"/>
  <c r="AH606" i="8" s="1"/>
  <c r="AF577" i="8"/>
  <c r="AF479" i="8"/>
  <c r="AH479" i="8" s="1"/>
  <c r="AF359" i="8"/>
  <c r="AF376" i="8"/>
  <c r="AH376" i="8" s="1"/>
  <c r="AF161" i="8"/>
  <c r="AH161" i="8" s="1"/>
  <c r="AF234" i="8"/>
  <c r="AH234" i="8" s="1"/>
  <c r="AF250" i="8"/>
  <c r="AH250" i="8" s="1"/>
  <c r="AF219" i="8"/>
  <c r="AH219" i="8" s="1"/>
  <c r="AF494" i="8"/>
  <c r="AF97" i="8"/>
  <c r="AH97" i="8" s="1"/>
  <c r="AF440" i="8"/>
  <c r="AF112" i="8"/>
  <c r="AH112" i="8" s="1"/>
  <c r="AF554" i="8"/>
  <c r="AH554" i="8" s="1"/>
  <c r="AF307" i="8"/>
  <c r="AH307" i="8" s="1"/>
  <c r="AF505" i="8"/>
  <c r="AH505" i="8" s="1"/>
  <c r="AF591" i="8"/>
  <c r="AH591" i="8" s="1"/>
  <c r="AF575" i="8"/>
  <c r="AF563" i="8"/>
  <c r="AH563" i="8" s="1"/>
  <c r="AF533" i="8"/>
  <c r="AF173" i="8"/>
  <c r="AH173" i="8" s="1"/>
  <c r="AF395" i="8"/>
  <c r="AH395" i="8" s="1"/>
  <c r="AF246" i="8"/>
  <c r="AH246" i="8" s="1"/>
  <c r="AF181" i="8"/>
  <c r="AH181" i="8" s="1"/>
  <c r="AF283" i="8"/>
  <c r="AH283" i="8" s="1"/>
  <c r="AF294" i="8"/>
  <c r="AF448" i="8"/>
  <c r="AH448" i="8" s="1"/>
  <c r="AF192" i="8"/>
  <c r="AF597" i="8"/>
  <c r="AH597" i="8" s="1"/>
  <c r="AF446" i="8"/>
  <c r="AH446" i="8" s="1"/>
  <c r="AF569" i="8"/>
  <c r="AH569" i="8" s="1"/>
  <c r="AF552" i="8"/>
  <c r="AH552" i="8" s="1"/>
  <c r="AF424" i="8"/>
  <c r="AH424" i="8" s="1"/>
  <c r="AF462" i="8"/>
  <c r="AF584" i="8"/>
  <c r="AH584" i="8" s="1"/>
  <c r="AF439" i="8"/>
  <c r="AF215" i="8"/>
  <c r="AH215" i="8" s="1"/>
  <c r="AF336" i="8"/>
  <c r="AH336" i="8" s="1"/>
  <c r="AF553" i="8"/>
  <c r="AH553" i="8" s="1"/>
  <c r="AF550" i="8"/>
  <c r="AH550" i="8" s="1"/>
  <c r="AF325" i="8"/>
  <c r="AH325" i="8" s="1"/>
  <c r="AF349" i="8"/>
  <c r="AF578" i="8"/>
  <c r="AH578" i="8" s="1"/>
  <c r="AF312" i="8"/>
  <c r="AF338" i="8"/>
  <c r="AH338" i="8" s="1"/>
  <c r="AF441" i="8"/>
  <c r="AH441" i="8" s="1"/>
  <c r="AF411" i="8"/>
  <c r="AH411" i="8" s="1"/>
  <c r="AF292" i="8"/>
  <c r="AH292" i="8" s="1"/>
  <c r="AF467" i="8"/>
  <c r="AH467" i="8" s="1"/>
  <c r="AF147" i="8"/>
  <c r="AF384" i="8"/>
  <c r="AH384" i="8" s="1"/>
  <c r="AF579" i="8"/>
  <c r="AF296" i="8"/>
  <c r="AH296" i="8" s="1"/>
  <c r="AF582" i="8"/>
  <c r="AH582" i="8" s="1"/>
  <c r="AF403" i="8"/>
  <c r="AH403" i="8" s="1"/>
  <c r="AF529" i="8"/>
  <c r="AH529" i="8" s="1"/>
  <c r="AF541" i="8"/>
  <c r="AH541" i="8" s="1"/>
  <c r="AF408" i="8"/>
  <c r="AF328" i="8"/>
  <c r="AH328" i="8" s="1"/>
  <c r="AF314" i="8"/>
  <c r="AF485" i="8"/>
  <c r="AH485" i="8" s="1"/>
  <c r="AF576" i="8"/>
  <c r="AH576" i="8" s="1"/>
  <c r="AF587" i="8"/>
  <c r="AH587" i="8" s="1"/>
  <c r="AF465" i="8"/>
  <c r="AH465" i="8" s="1"/>
  <c r="AF585" i="8"/>
  <c r="AH585" i="8" s="1"/>
  <c r="AF531" i="8"/>
  <c r="AF393" i="8"/>
  <c r="AH393" i="8" s="1"/>
  <c r="AF427" i="8"/>
  <c r="AF482" i="8"/>
  <c r="AH482" i="8" s="1"/>
  <c r="AF231" i="8"/>
  <c r="AH231" i="8" s="1"/>
  <c r="AF567" i="8"/>
  <c r="AH567" i="8" s="1"/>
  <c r="AF423" i="8"/>
  <c r="AF297" i="8"/>
  <c r="AH297" i="8" s="1"/>
  <c r="AF468" i="8"/>
  <c r="AF558" i="8"/>
  <c r="AH558" i="8" s="1"/>
  <c r="AF428" i="8"/>
  <c r="AF316" i="8"/>
  <c r="AH316" i="8" s="1"/>
  <c r="AF532" i="8"/>
  <c r="AH532" i="8" s="1"/>
  <c r="AF383" i="8"/>
  <c r="AH383" i="8" s="1"/>
  <c r="AF495" i="8"/>
  <c r="AH495" i="8" s="1"/>
  <c r="AF496" i="8"/>
  <c r="AH496" i="8" s="1"/>
  <c r="AF522" i="8"/>
  <c r="AF477" i="8"/>
  <c r="AH477" i="8" s="1"/>
  <c r="AF588" i="8"/>
  <c r="AF520" i="8"/>
  <c r="AH520" i="8" s="1"/>
  <c r="AF604" i="8"/>
  <c r="AH604" i="8" s="1"/>
  <c r="AF288" i="8"/>
  <c r="AH288" i="8" s="1"/>
  <c r="AF513" i="8"/>
  <c r="AH513" i="8" s="1"/>
  <c r="AF595" i="8"/>
  <c r="AH595" i="8" s="1"/>
  <c r="AF517" i="8"/>
  <c r="AF401" i="8"/>
  <c r="AH401" i="8" s="1"/>
  <c r="AF506" i="8"/>
  <c r="AF386" i="8"/>
  <c r="AH386" i="8" s="1"/>
  <c r="AF443" i="8"/>
  <c r="AH443" i="8" s="1"/>
  <c r="AF548" i="8"/>
  <c r="AH548" i="8" s="1"/>
  <c r="AF318" i="8"/>
  <c r="AH318" i="8" s="1"/>
  <c r="AF131" i="8"/>
  <c r="AH131" i="8" s="1"/>
  <c r="AF500" i="8"/>
  <c r="AF521" i="8"/>
  <c r="AH521" i="8" s="1"/>
  <c r="AF398" i="8"/>
  <c r="AF444" i="8"/>
  <c r="AH444" i="8" s="1"/>
  <c r="AF410" i="8"/>
  <c r="AH410" i="8" s="1"/>
  <c r="AF586" i="8"/>
  <c r="AH586" i="8" s="1"/>
  <c r="AF360" i="8"/>
  <c r="AH360" i="8" s="1"/>
  <c r="AF492" i="8"/>
  <c r="AH492" i="8" s="1"/>
  <c r="AF593" i="8"/>
  <c r="AF601" i="8"/>
  <c r="AH601" i="8" s="1"/>
  <c r="AF276" i="8"/>
  <c r="AF369" i="8"/>
  <c r="AH369" i="8" s="1"/>
  <c r="AB28" i="6"/>
  <c r="AA28" i="6"/>
  <c r="Z28" i="6"/>
  <c r="Y28" i="6"/>
  <c r="Y27" i="6" s="1"/>
  <c r="X28" i="6"/>
  <c r="W28" i="6"/>
  <c r="V28" i="6"/>
  <c r="U28" i="6"/>
  <c r="U27" i="6" s="1"/>
  <c r="T28" i="6"/>
  <c r="S28" i="6"/>
  <c r="R28" i="6"/>
  <c r="Q28" i="6"/>
  <c r="Q27" i="6" s="1"/>
  <c r="P28" i="6"/>
  <c r="O28" i="6"/>
  <c r="N28" i="6"/>
  <c r="M28" i="6"/>
  <c r="M27" i="6" s="1"/>
  <c r="L28" i="6"/>
  <c r="K28" i="6"/>
  <c r="J28" i="6"/>
  <c r="I28" i="6"/>
  <c r="I27" i="6" s="1"/>
  <c r="H28" i="6"/>
  <c r="G28" i="6"/>
  <c r="F28" i="6"/>
  <c r="C28" i="6"/>
  <c r="AC27" i="6"/>
  <c r="AB27" i="6"/>
  <c r="AA27" i="6"/>
  <c r="Z27" i="6"/>
  <c r="X27" i="6"/>
  <c r="W27" i="6"/>
  <c r="V27" i="6"/>
  <c r="T27" i="6"/>
  <c r="S27" i="6"/>
  <c r="R27" i="6"/>
  <c r="P27" i="6"/>
  <c r="O27" i="6"/>
  <c r="N27" i="6"/>
  <c r="L27" i="6"/>
  <c r="K27" i="6"/>
  <c r="J27" i="6"/>
  <c r="H27" i="6"/>
  <c r="G27" i="6"/>
  <c r="F27" i="6"/>
  <c r="C27" i="6"/>
  <c r="C26" i="6"/>
  <c r="AC25" i="6"/>
  <c r="AB25" i="6"/>
  <c r="AB24" i="6" s="1"/>
  <c r="AA25" i="6"/>
  <c r="Z25" i="6"/>
  <c r="Y25" i="6"/>
  <c r="X25" i="6"/>
  <c r="X24" i="6" s="1"/>
  <c r="W25" i="6"/>
  <c r="V25" i="6"/>
  <c r="U25" i="6"/>
  <c r="T25" i="6"/>
  <c r="T24" i="6" s="1"/>
  <c r="S25" i="6"/>
  <c r="R25" i="6"/>
  <c r="Q25" i="6"/>
  <c r="P25" i="6"/>
  <c r="P24" i="6" s="1"/>
  <c r="O25" i="6"/>
  <c r="N25" i="6"/>
  <c r="M25" i="6"/>
  <c r="L25" i="6"/>
  <c r="L24" i="6" s="1"/>
  <c r="K25" i="6"/>
  <c r="J25" i="6"/>
  <c r="I25" i="6"/>
  <c r="H25" i="6"/>
  <c r="H24" i="6" s="1"/>
  <c r="G25" i="6"/>
  <c r="F25" i="6"/>
  <c r="C25" i="6"/>
  <c r="AC24" i="6"/>
  <c r="AA24" i="6"/>
  <c r="Z24" i="6"/>
  <c r="Y24" i="6"/>
  <c r="W24" i="6"/>
  <c r="V24" i="6"/>
  <c r="U24" i="6"/>
  <c r="S24" i="6"/>
  <c r="R24" i="6"/>
  <c r="Q24" i="6"/>
  <c r="O24" i="6"/>
  <c r="N24" i="6"/>
  <c r="M24" i="6"/>
  <c r="K24" i="6"/>
  <c r="J24" i="6"/>
  <c r="I24" i="6"/>
  <c r="G24" i="6"/>
  <c r="F24" i="6"/>
  <c r="C24" i="6"/>
  <c r="C23" i="6"/>
  <c r="AC22" i="6"/>
  <c r="AB22" i="6"/>
  <c r="AA22" i="6"/>
  <c r="AA21" i="6" s="1"/>
  <c r="Z22" i="6"/>
  <c r="Y22" i="6"/>
  <c r="X22" i="6"/>
  <c r="W22" i="6"/>
  <c r="W21" i="6" s="1"/>
  <c r="V22" i="6"/>
  <c r="U22" i="6"/>
  <c r="T22" i="6"/>
  <c r="S22" i="6"/>
  <c r="S21" i="6" s="1"/>
  <c r="R22" i="6"/>
  <c r="Q22" i="6"/>
  <c r="P22" i="6"/>
  <c r="O22" i="6"/>
  <c r="O21" i="6" s="1"/>
  <c r="N22" i="6"/>
  <c r="M22" i="6"/>
  <c r="L22" i="6"/>
  <c r="K22" i="6"/>
  <c r="K21" i="6" s="1"/>
  <c r="J22" i="6"/>
  <c r="I22" i="6"/>
  <c r="H22" i="6"/>
  <c r="G22" i="6"/>
  <c r="G21" i="6" s="1"/>
  <c r="F22" i="6"/>
  <c r="C22" i="6"/>
  <c r="AC21" i="6"/>
  <c r="AB21" i="6"/>
  <c r="Z21" i="6"/>
  <c r="Y21" i="6"/>
  <c r="X21" i="6"/>
  <c r="V21" i="6"/>
  <c r="U21" i="6"/>
  <c r="T21" i="6"/>
  <c r="R21" i="6"/>
  <c r="Q21" i="6"/>
  <c r="P21" i="6"/>
  <c r="N21" i="6"/>
  <c r="M21" i="6"/>
  <c r="L21" i="6"/>
  <c r="J21" i="6"/>
  <c r="I21" i="6"/>
  <c r="H21" i="6"/>
  <c r="F21" i="6"/>
  <c r="C21" i="6"/>
  <c r="C20" i="6"/>
  <c r="AC19" i="6"/>
  <c r="AB19" i="6"/>
  <c r="AA19" i="6"/>
  <c r="Z19" i="6"/>
  <c r="Z18" i="6" s="1"/>
  <c r="Y19" i="6"/>
  <c r="X19" i="6"/>
  <c r="W19" i="6"/>
  <c r="V19" i="6"/>
  <c r="V18" i="6" s="1"/>
  <c r="U19" i="6"/>
  <c r="T19" i="6"/>
  <c r="S19" i="6"/>
  <c r="R19" i="6"/>
  <c r="R18" i="6" s="1"/>
  <c r="Q19" i="6"/>
  <c r="P19" i="6"/>
  <c r="O19" i="6"/>
  <c r="N19" i="6"/>
  <c r="N18" i="6" s="1"/>
  <c r="M19" i="6"/>
  <c r="L19" i="6"/>
  <c r="K19" i="6"/>
  <c r="J19" i="6"/>
  <c r="J18" i="6" s="1"/>
  <c r="I19" i="6"/>
  <c r="H19" i="6"/>
  <c r="G19" i="6"/>
  <c r="F19" i="6"/>
  <c r="F18" i="6" s="1"/>
  <c r="C19" i="6"/>
  <c r="AC18" i="6"/>
  <c r="AB18" i="6"/>
  <c r="AA18" i="6"/>
  <c r="Y18" i="6"/>
  <c r="X18" i="6"/>
  <c r="W18" i="6"/>
  <c r="U18" i="6"/>
  <c r="T18" i="6"/>
  <c r="S18" i="6"/>
  <c r="Q18" i="6"/>
  <c r="P18" i="6"/>
  <c r="O18" i="6"/>
  <c r="M18" i="6"/>
  <c r="L18" i="6"/>
  <c r="K18" i="6"/>
  <c r="I18" i="6"/>
  <c r="H18" i="6"/>
  <c r="G18" i="6"/>
  <c r="C18" i="6"/>
  <c r="C17" i="6"/>
  <c r="AC16" i="6"/>
  <c r="AC15" i="6" s="1"/>
  <c r="AB16" i="6"/>
  <c r="AA16" i="6"/>
  <c r="Z16" i="6"/>
  <c r="Y16" i="6"/>
  <c r="Y15" i="6" s="1"/>
  <c r="X16" i="6"/>
  <c r="W16" i="6"/>
  <c r="V16" i="6"/>
  <c r="U16" i="6"/>
  <c r="U15" i="6" s="1"/>
  <c r="T16" i="6"/>
  <c r="S16" i="6"/>
  <c r="R16" i="6"/>
  <c r="Q16" i="6"/>
  <c r="Q15" i="6" s="1"/>
  <c r="P16" i="6"/>
  <c r="O16" i="6"/>
  <c r="N16" i="6"/>
  <c r="M16" i="6"/>
  <c r="M15" i="6" s="1"/>
  <c r="L16" i="6"/>
  <c r="K16" i="6"/>
  <c r="J16" i="6"/>
  <c r="I16" i="6"/>
  <c r="I15" i="6" s="1"/>
  <c r="H16" i="6"/>
  <c r="G16" i="6"/>
  <c r="F16" i="6"/>
  <c r="C16" i="6"/>
  <c r="AB15" i="6"/>
  <c r="AA15" i="6"/>
  <c r="Z15" i="6"/>
  <c r="X15" i="6"/>
  <c r="W15" i="6"/>
  <c r="V15" i="6"/>
  <c r="T15" i="6"/>
  <c r="S15" i="6"/>
  <c r="R15" i="6"/>
  <c r="P15" i="6"/>
  <c r="O15" i="6"/>
  <c r="N15" i="6"/>
  <c r="L15" i="6"/>
  <c r="K15" i="6"/>
  <c r="J15" i="6"/>
  <c r="H15" i="6"/>
  <c r="G15" i="6"/>
  <c r="F15" i="6"/>
  <c r="C15" i="6"/>
  <c r="C14" i="6"/>
  <c r="AC13" i="6"/>
  <c r="AB13" i="6"/>
  <c r="AB12" i="6" s="1"/>
  <c r="AA13" i="6"/>
  <c r="Z13" i="6"/>
  <c r="Y13" i="6"/>
  <c r="X13" i="6"/>
  <c r="X12" i="6" s="1"/>
  <c r="W13" i="6"/>
  <c r="V13" i="6"/>
  <c r="U13" i="6"/>
  <c r="T13" i="6"/>
  <c r="T12" i="6" s="1"/>
  <c r="S13" i="6"/>
  <c r="R13" i="6"/>
  <c r="Q13" i="6"/>
  <c r="P13" i="6"/>
  <c r="P12" i="6" s="1"/>
  <c r="O13" i="6"/>
  <c r="N13" i="6"/>
  <c r="M13" i="6"/>
  <c r="L13" i="6"/>
  <c r="L12" i="6" s="1"/>
  <c r="K13" i="6"/>
  <c r="J13" i="6"/>
  <c r="I13" i="6"/>
  <c r="H13" i="6"/>
  <c r="H12" i="6" s="1"/>
  <c r="G13" i="6"/>
  <c r="F13" i="6"/>
  <c r="C13" i="6"/>
  <c r="AC12" i="6"/>
  <c r="AA12" i="6"/>
  <c r="Z12" i="6"/>
  <c r="Y12" i="6"/>
  <c r="W12" i="6"/>
  <c r="V12" i="6"/>
  <c r="U12" i="6"/>
  <c r="S12" i="6"/>
  <c r="R12" i="6"/>
  <c r="Q12" i="6"/>
  <c r="O12" i="6"/>
  <c r="N12" i="6"/>
  <c r="M12" i="6"/>
  <c r="K12" i="6"/>
  <c r="J12" i="6"/>
  <c r="I12" i="6"/>
  <c r="G12" i="6"/>
  <c r="F12" i="6"/>
  <c r="C12" i="6"/>
  <c r="C11" i="6"/>
  <c r="C10" i="6"/>
  <c r="C9" i="6"/>
  <c r="C8" i="6"/>
  <c r="C7" i="6"/>
  <c r="C6" i="6"/>
  <c r="C5" i="6"/>
  <c r="C4" i="6"/>
  <c r="C3" i="6"/>
  <c r="B2" i="2"/>
  <c r="C2" i="2"/>
  <c r="B15" i="2"/>
  <c r="E2" i="2"/>
  <c r="B16" i="2"/>
  <c r="F2" i="2"/>
  <c r="B24" i="2"/>
  <c r="G2" i="2"/>
  <c r="H2" i="2"/>
  <c r="B10" i="2"/>
  <c r="I2" i="2"/>
  <c r="B20" i="2"/>
  <c r="K2" i="2"/>
  <c r="B21" i="2"/>
  <c r="L2" i="2"/>
  <c r="B9" i="2"/>
  <c r="M2" i="2"/>
  <c r="B6" i="2"/>
  <c r="N2" i="2"/>
  <c r="O2" i="2"/>
  <c r="P2" i="2"/>
  <c r="R2" i="2"/>
  <c r="S2" i="2"/>
  <c r="T2" i="2"/>
  <c r="B19" i="2"/>
  <c r="U2" i="2"/>
  <c r="V2" i="2"/>
  <c r="B7" i="2"/>
  <c r="X2" i="2"/>
  <c r="Y2" i="2"/>
  <c r="B22" i="2"/>
  <c r="AA2" i="2"/>
  <c r="AB2" i="2"/>
  <c r="AF2" i="2"/>
  <c r="B3" i="2"/>
  <c r="C3" i="2"/>
  <c r="B5" i="2"/>
  <c r="E3" i="2"/>
  <c r="B4" i="2"/>
  <c r="H3" i="2"/>
  <c r="J3" i="2"/>
  <c r="K3" i="2"/>
  <c r="L3" i="2"/>
  <c r="M3" i="2"/>
  <c r="N3" i="2"/>
  <c r="O3" i="2"/>
  <c r="B14" i="2"/>
  <c r="P3" i="2"/>
  <c r="Q3" i="2"/>
  <c r="R3" i="2"/>
  <c r="S3" i="2"/>
  <c r="T3" i="2"/>
  <c r="B8" i="2"/>
  <c r="U3" i="2"/>
  <c r="B13" i="2"/>
  <c r="V3" i="2"/>
  <c r="W3" i="2"/>
  <c r="X3" i="2"/>
  <c r="Y3" i="2"/>
  <c r="AA3" i="2"/>
  <c r="AF3" i="2"/>
  <c r="C4" i="2"/>
  <c r="F4" i="2"/>
  <c r="G4" i="2"/>
  <c r="I4" i="2"/>
  <c r="J4" i="2"/>
  <c r="K4" i="2"/>
  <c r="L4" i="2"/>
  <c r="B26" i="2"/>
  <c r="M4" i="2"/>
  <c r="N4" i="2"/>
  <c r="O4" i="2"/>
  <c r="Q4" i="2"/>
  <c r="S4" i="2"/>
  <c r="U4" i="2"/>
  <c r="V4" i="2"/>
  <c r="W4" i="2"/>
  <c r="Y4" i="2"/>
  <c r="Z4" i="2"/>
  <c r="AA4" i="2"/>
  <c r="AB4" i="2"/>
  <c r="AF4" i="2"/>
  <c r="C5" i="2"/>
  <c r="F5" i="2"/>
  <c r="G5" i="2"/>
  <c r="B12" i="2"/>
  <c r="H5" i="2"/>
  <c r="I5" i="2"/>
  <c r="J5" i="2"/>
  <c r="K5" i="2"/>
  <c r="L5" i="2"/>
  <c r="M5" i="2"/>
  <c r="O5" i="2"/>
  <c r="P5" i="2"/>
  <c r="Q5" i="2"/>
  <c r="S5" i="2"/>
  <c r="T5" i="2"/>
  <c r="U5" i="2"/>
  <c r="V5" i="2"/>
  <c r="W5" i="2"/>
  <c r="X5" i="2"/>
  <c r="Y5" i="2"/>
  <c r="Z5" i="2"/>
  <c r="AA5" i="2"/>
  <c r="AB5" i="2"/>
  <c r="AF5" i="2"/>
  <c r="C6" i="2"/>
  <c r="E6" i="2"/>
  <c r="F6" i="2"/>
  <c r="G6" i="2"/>
  <c r="H6" i="2"/>
  <c r="I6" i="2"/>
  <c r="J6" i="2"/>
  <c r="K6" i="2"/>
  <c r="L6" i="2"/>
  <c r="M6" i="2"/>
  <c r="N6" i="2"/>
  <c r="O6" i="2"/>
  <c r="P6" i="2"/>
  <c r="Q6" i="2"/>
  <c r="R6" i="2"/>
  <c r="S6" i="2"/>
  <c r="T6" i="2"/>
  <c r="U6" i="2"/>
  <c r="V6" i="2"/>
  <c r="W6" i="2"/>
  <c r="X6" i="2"/>
  <c r="Y6" i="2"/>
  <c r="Z6" i="2"/>
  <c r="AA6" i="2"/>
  <c r="AB6" i="2"/>
  <c r="AF6" i="2"/>
  <c r="C7" i="2"/>
  <c r="E7" i="2"/>
  <c r="F7" i="2"/>
  <c r="G7" i="2"/>
  <c r="H7" i="2"/>
  <c r="I7" i="2"/>
  <c r="J7" i="2"/>
  <c r="K7" i="2"/>
  <c r="M7" i="2"/>
  <c r="N7" i="2"/>
  <c r="O7" i="2"/>
  <c r="P7" i="2"/>
  <c r="R7" i="2"/>
  <c r="S7" i="2"/>
  <c r="U7" i="2"/>
  <c r="B17" i="2"/>
  <c r="W7" i="2"/>
  <c r="X7" i="2"/>
  <c r="Y7" i="2"/>
  <c r="Z7" i="2"/>
  <c r="AA7" i="2"/>
  <c r="AB7" i="2"/>
  <c r="AF7" i="2"/>
  <c r="C8" i="2"/>
  <c r="AF8" i="2"/>
  <c r="C9" i="2"/>
  <c r="AF9" i="2"/>
  <c r="C10" i="2"/>
  <c r="AF10" i="2"/>
  <c r="B11" i="2"/>
  <c r="C11" i="2"/>
  <c r="AF11" i="2"/>
  <c r="C12" i="2"/>
  <c r="AF12" i="2"/>
  <c r="C13" i="2"/>
  <c r="AF13" i="2"/>
  <c r="C14" i="2"/>
  <c r="AF14" i="2"/>
  <c r="C15" i="2"/>
  <c r="AF15" i="2"/>
  <c r="C16" i="2"/>
  <c r="AF16" i="2"/>
  <c r="C17" i="2"/>
  <c r="E18" i="2"/>
  <c r="E17" i="2"/>
  <c r="F18" i="2"/>
  <c r="F17" i="2"/>
  <c r="G18" i="2"/>
  <c r="G17" i="2"/>
  <c r="H18" i="2"/>
  <c r="H17" i="2"/>
  <c r="I18" i="2"/>
  <c r="I17" i="2"/>
  <c r="J18" i="2"/>
  <c r="J17" i="2"/>
  <c r="K18" i="2"/>
  <c r="K17" i="2"/>
  <c r="L18" i="2"/>
  <c r="L17" i="2"/>
  <c r="M18" i="2"/>
  <c r="M17" i="2"/>
  <c r="N18" i="2"/>
  <c r="N17" i="2"/>
  <c r="O18" i="2"/>
  <c r="O17" i="2"/>
  <c r="P18" i="2"/>
  <c r="P17" i="2"/>
  <c r="Q18" i="2"/>
  <c r="Q17" i="2"/>
  <c r="R18" i="2"/>
  <c r="R17" i="2"/>
  <c r="S18" i="2"/>
  <c r="S17" i="2"/>
  <c r="T18" i="2"/>
  <c r="T17" i="2"/>
  <c r="U18" i="2"/>
  <c r="U17" i="2"/>
  <c r="V18" i="2"/>
  <c r="V17" i="2"/>
  <c r="W18" i="2"/>
  <c r="W17" i="2"/>
  <c r="X18" i="2"/>
  <c r="X17" i="2"/>
  <c r="Y18" i="2"/>
  <c r="Y17" i="2"/>
  <c r="Z18" i="2"/>
  <c r="Z17" i="2"/>
  <c r="AA18" i="2"/>
  <c r="AA17" i="2"/>
  <c r="AB18" i="2"/>
  <c r="AB17" i="2"/>
  <c r="AF17" i="2"/>
  <c r="B18" i="2"/>
  <c r="C18" i="2"/>
  <c r="AF18" i="2"/>
  <c r="C19" i="2"/>
  <c r="AF19" i="2"/>
  <c r="C20" i="2"/>
  <c r="E21" i="2"/>
  <c r="E20" i="2"/>
  <c r="F21" i="2"/>
  <c r="F20" i="2"/>
  <c r="G21" i="2"/>
  <c r="H21" i="2"/>
  <c r="H20" i="2"/>
  <c r="I21" i="2"/>
  <c r="I20" i="2"/>
  <c r="J21" i="2"/>
  <c r="J20" i="2"/>
  <c r="K21" i="2"/>
  <c r="K20" i="2"/>
  <c r="L21" i="2"/>
  <c r="L20" i="2"/>
  <c r="M21" i="2"/>
  <c r="M20" i="2"/>
  <c r="N21" i="2"/>
  <c r="N20" i="2"/>
  <c r="O21" i="2"/>
  <c r="O20" i="2"/>
  <c r="P21" i="2"/>
  <c r="P20" i="2"/>
  <c r="Q21" i="2"/>
  <c r="Q20" i="2"/>
  <c r="R21" i="2"/>
  <c r="R20" i="2"/>
  <c r="S21" i="2"/>
  <c r="S20" i="2"/>
  <c r="T21" i="2"/>
  <c r="T20" i="2"/>
  <c r="U21" i="2"/>
  <c r="U20" i="2"/>
  <c r="V21" i="2"/>
  <c r="V20" i="2"/>
  <c r="W21" i="2"/>
  <c r="W20" i="2"/>
  <c r="X21" i="2"/>
  <c r="X20" i="2"/>
  <c r="Y21" i="2"/>
  <c r="Y20" i="2"/>
  <c r="Z21" i="2"/>
  <c r="Z20" i="2"/>
  <c r="AA21" i="2"/>
  <c r="AA20" i="2"/>
  <c r="AB21" i="2"/>
  <c r="AF20" i="2"/>
  <c r="C21" i="2"/>
  <c r="AF21" i="2"/>
  <c r="C22" i="2"/>
  <c r="AF22" i="2"/>
  <c r="B23" i="2"/>
  <c r="C23" i="2"/>
  <c r="E24" i="2"/>
  <c r="E23" i="2"/>
  <c r="F24" i="2"/>
  <c r="F23" i="2"/>
  <c r="G24" i="2"/>
  <c r="G23" i="2"/>
  <c r="H24" i="2"/>
  <c r="H23" i="2"/>
  <c r="I24" i="2"/>
  <c r="I23" i="2"/>
  <c r="J24" i="2"/>
  <c r="J23" i="2"/>
  <c r="K24" i="2"/>
  <c r="K23" i="2"/>
  <c r="L24" i="2"/>
  <c r="L23" i="2"/>
  <c r="M24" i="2"/>
  <c r="M23" i="2"/>
  <c r="N24" i="2"/>
  <c r="N23" i="2"/>
  <c r="O24" i="2"/>
  <c r="O23" i="2"/>
  <c r="P24" i="2"/>
  <c r="P23" i="2"/>
  <c r="Q24" i="2"/>
  <c r="Q23" i="2"/>
  <c r="R24" i="2"/>
  <c r="S24" i="2"/>
  <c r="S23" i="2"/>
  <c r="T24" i="2"/>
  <c r="U24" i="2"/>
  <c r="U23" i="2"/>
  <c r="V24" i="2"/>
  <c r="V23" i="2"/>
  <c r="W24" i="2"/>
  <c r="W23" i="2"/>
  <c r="X24" i="2"/>
  <c r="X23" i="2"/>
  <c r="Y24" i="2"/>
  <c r="Y23" i="2"/>
  <c r="Z24" i="2"/>
  <c r="Z23" i="2"/>
  <c r="AA24" i="2"/>
  <c r="AA23" i="2"/>
  <c r="AB24" i="2"/>
  <c r="AB23" i="2"/>
  <c r="AF23" i="2"/>
  <c r="C24" i="2"/>
  <c r="AF24" i="2"/>
  <c r="B25" i="2"/>
  <c r="C25" i="2"/>
  <c r="AF25" i="2"/>
  <c r="C26" i="2"/>
  <c r="E27" i="2"/>
  <c r="E26" i="2"/>
  <c r="F27" i="2"/>
  <c r="F26" i="2"/>
  <c r="G27" i="2"/>
  <c r="G26" i="2"/>
  <c r="H27" i="2"/>
  <c r="H26" i="2"/>
  <c r="I27" i="2"/>
  <c r="I26" i="2"/>
  <c r="J27" i="2"/>
  <c r="J26" i="2"/>
  <c r="K27" i="2"/>
  <c r="K26" i="2"/>
  <c r="L27" i="2"/>
  <c r="L26" i="2"/>
  <c r="M27" i="2"/>
  <c r="M26" i="2"/>
  <c r="N27" i="2"/>
  <c r="N26" i="2"/>
  <c r="O27" i="2"/>
  <c r="O26" i="2"/>
  <c r="P27" i="2"/>
  <c r="P26" i="2"/>
  <c r="Q27" i="2"/>
  <c r="Q26" i="2"/>
  <c r="R27" i="2"/>
  <c r="R26" i="2"/>
  <c r="S27" i="2"/>
  <c r="S26" i="2"/>
  <c r="T27" i="2"/>
  <c r="T26" i="2"/>
  <c r="U27" i="2"/>
  <c r="U26" i="2"/>
  <c r="V27" i="2"/>
  <c r="V26" i="2"/>
  <c r="W27" i="2"/>
  <c r="W26" i="2"/>
  <c r="X27" i="2"/>
  <c r="X26" i="2"/>
  <c r="Y27" i="2"/>
  <c r="Y26" i="2"/>
  <c r="Z27" i="2"/>
  <c r="Z26" i="2"/>
  <c r="AA27" i="2"/>
  <c r="AA26" i="2"/>
  <c r="AB27" i="2"/>
  <c r="AB26" i="2"/>
  <c r="AF26" i="2"/>
  <c r="B27" i="2"/>
  <c r="C27" i="2"/>
  <c r="AF27" i="2"/>
  <c r="E30" i="2"/>
  <c r="E29" i="2"/>
  <c r="F30" i="2"/>
  <c r="F29" i="2"/>
  <c r="G30" i="2"/>
  <c r="G29" i="2"/>
  <c r="H30" i="2"/>
  <c r="H29" i="2"/>
  <c r="I30" i="2"/>
  <c r="I29" i="2"/>
  <c r="J30" i="2"/>
  <c r="J29" i="2"/>
  <c r="K30" i="2"/>
  <c r="K29" i="2"/>
  <c r="L30" i="2"/>
  <c r="L29" i="2"/>
  <c r="M30" i="2"/>
  <c r="M29" i="2"/>
  <c r="N30" i="2"/>
  <c r="N29" i="2"/>
  <c r="O30" i="2"/>
  <c r="O29" i="2"/>
  <c r="P30" i="2"/>
  <c r="P29" i="2"/>
  <c r="Q30" i="2"/>
  <c r="Q29" i="2"/>
  <c r="R30" i="2"/>
  <c r="R29" i="2"/>
  <c r="S30" i="2"/>
  <c r="S29" i="2"/>
  <c r="T30" i="2"/>
  <c r="T29" i="2"/>
  <c r="U30" i="2"/>
  <c r="U29" i="2"/>
  <c r="V30" i="2"/>
  <c r="V29" i="2"/>
  <c r="W30" i="2"/>
  <c r="W29" i="2"/>
  <c r="X30" i="2"/>
  <c r="X29" i="2"/>
  <c r="Y30" i="2"/>
  <c r="Y29" i="2"/>
  <c r="Z30" i="2"/>
  <c r="Z29" i="2"/>
  <c r="AA30" i="2"/>
  <c r="AA29" i="2"/>
  <c r="E33" i="2"/>
  <c r="E32" i="2"/>
  <c r="F33" i="2"/>
  <c r="F32" i="2"/>
  <c r="G33" i="2"/>
  <c r="G32" i="2"/>
  <c r="H33" i="2"/>
  <c r="H32" i="2"/>
  <c r="I33" i="2"/>
  <c r="I32" i="2"/>
  <c r="J33" i="2"/>
  <c r="J32" i="2"/>
  <c r="K33" i="2"/>
  <c r="K32" i="2"/>
  <c r="L33" i="2"/>
  <c r="L32" i="2"/>
  <c r="M33" i="2"/>
  <c r="M32" i="2"/>
  <c r="N33" i="2"/>
  <c r="N32" i="2"/>
  <c r="O33" i="2"/>
  <c r="O32" i="2"/>
  <c r="P33" i="2"/>
  <c r="P32" i="2"/>
  <c r="Q33" i="2"/>
  <c r="R33" i="2"/>
  <c r="R32" i="2"/>
  <c r="S33" i="2"/>
  <c r="S32" i="2"/>
  <c r="T33" i="2"/>
  <c r="T32" i="2"/>
  <c r="U33" i="2"/>
  <c r="U32" i="2"/>
  <c r="V33" i="2"/>
  <c r="W33" i="2"/>
  <c r="W32" i="2"/>
  <c r="X33" i="2"/>
  <c r="X32" i="2"/>
  <c r="Y33" i="2"/>
  <c r="Y32" i="2"/>
  <c r="Z33" i="2"/>
  <c r="Z32" i="2"/>
  <c r="AA33" i="2"/>
  <c r="AA32" i="2"/>
  <c r="E5" i="2"/>
  <c r="H4" i="2"/>
  <c r="T7" i="2"/>
  <c r="L7" i="2"/>
  <c r="J2" i="2"/>
  <c r="AB3" i="2"/>
  <c r="R4" i="2"/>
  <c r="Q7" i="2"/>
  <c r="V7" i="2"/>
  <c r="T4" i="2"/>
  <c r="R23" i="2"/>
  <c r="T23" i="2"/>
  <c r="V32" i="2"/>
  <c r="Q32" i="2"/>
  <c r="E4" i="2"/>
  <c r="AB20" i="2"/>
  <c r="G20" i="2"/>
  <c r="G3" i="2"/>
  <c r="R5" i="2"/>
  <c r="N5" i="2"/>
  <c r="X4" i="2"/>
  <c r="P4" i="2"/>
  <c r="Z3" i="2"/>
  <c r="I3" i="2"/>
  <c r="F3" i="2"/>
  <c r="Q2" i="2"/>
  <c r="Z2" i="2"/>
  <c r="W2" i="2"/>
  <c r="AH158" i="8" l="1"/>
  <c r="AH165" i="8"/>
  <c r="AH44" i="8"/>
  <c r="AH99" i="8"/>
  <c r="I14" i="10"/>
  <c r="AH423" i="8"/>
  <c r="C16" i="10"/>
  <c r="D15" i="10"/>
  <c r="E15" i="10" s="1"/>
  <c r="I15" i="10" s="1"/>
  <c r="F14" i="10"/>
  <c r="G13" i="10"/>
  <c r="H12" i="10" s="1"/>
  <c r="AH469" i="8"/>
  <c r="AH77" i="8"/>
  <c r="AH310" i="8"/>
  <c r="AH153" i="8"/>
  <c r="AH238" i="8"/>
  <c r="AH23" i="8"/>
  <c r="AH122" i="8"/>
  <c r="AH88" i="8"/>
  <c r="AH8" i="8"/>
  <c r="AH275" i="8"/>
  <c r="AH504" i="8"/>
  <c r="AH502" i="8"/>
  <c r="AH475" i="8"/>
  <c r="AH463" i="8"/>
  <c r="AH419" i="8"/>
  <c r="AH367" i="8"/>
  <c r="AH209" i="8"/>
  <c r="AH98" i="8"/>
  <c r="AH198" i="8"/>
  <c r="AH571" i="8"/>
  <c r="AH52" i="8"/>
  <c r="AH79" i="8"/>
  <c r="AH264" i="8"/>
  <c r="AH593" i="8"/>
  <c r="AH500" i="8"/>
  <c r="AH517" i="8"/>
  <c r="AH522" i="8"/>
  <c r="AH468" i="8"/>
  <c r="AH531" i="8"/>
  <c r="AH408" i="8"/>
  <c r="AH147" i="8"/>
  <c r="AH349" i="8"/>
  <c r="AH462" i="8"/>
  <c r="AH294" i="8"/>
  <c r="AH575" i="8"/>
  <c r="AH494" i="8"/>
  <c r="AH577" i="8"/>
  <c r="AH350" i="8"/>
  <c r="AH268" i="8"/>
  <c r="AH199" i="8"/>
  <c r="AH96" i="8"/>
  <c r="AH167" i="8"/>
  <c r="AH449" i="8"/>
  <c r="AH101" i="8"/>
  <c r="AH319" i="8"/>
  <c r="AH323" i="8"/>
  <c r="AH537" i="8"/>
  <c r="AH366" i="8"/>
  <c r="AH28" i="8"/>
  <c r="AH37" i="8"/>
  <c r="AH11" i="8"/>
  <c r="AH259" i="8"/>
  <c r="AH276" i="8"/>
  <c r="AH398" i="8"/>
  <c r="AH506" i="8"/>
  <c r="AH588" i="8"/>
  <c r="AH428" i="8"/>
  <c r="AH427" i="8"/>
  <c r="AH314" i="8"/>
  <c r="AH579" i="8"/>
  <c r="AH312" i="8"/>
  <c r="AH439" i="8"/>
  <c r="AH192" i="8"/>
  <c r="AH533" i="8"/>
  <c r="AH440" i="8"/>
  <c r="AH359" i="8"/>
  <c r="AH287" i="8"/>
  <c r="AH139" i="8"/>
  <c r="AH435" i="8"/>
  <c r="AH549" i="8"/>
  <c r="AH596" i="8"/>
  <c r="AH418" i="8"/>
  <c r="AH415" i="8"/>
  <c r="AH433" i="8"/>
  <c r="AH348" i="8"/>
  <c r="AH562" i="8"/>
  <c r="AH346" i="8"/>
  <c r="AH547" i="8"/>
  <c r="AH281" i="8"/>
  <c r="AH546" i="8"/>
  <c r="AH160" i="8"/>
  <c r="AH141" i="8"/>
  <c r="AH235" i="8"/>
  <c r="AH211" i="8"/>
  <c r="AH605" i="8"/>
  <c r="AH90" i="8"/>
  <c r="AH157" i="8"/>
  <c r="AH145" i="8"/>
  <c r="AH87" i="8"/>
  <c r="AH130" i="8"/>
  <c r="AH305" i="8"/>
  <c r="AH16" i="8"/>
  <c r="AH103" i="8"/>
  <c r="AH243" i="8"/>
  <c r="AH163" i="8"/>
  <c r="AH175" i="8"/>
  <c r="AH170" i="8"/>
  <c r="AH394" i="8"/>
  <c r="AH301" i="8"/>
  <c r="AH108" i="8"/>
  <c r="AH40" i="8"/>
  <c r="AH124" i="8"/>
  <c r="AH261" i="8"/>
  <c r="AH42" i="8"/>
  <c r="AH265" i="8"/>
  <c r="AH600" i="8"/>
  <c r="AH299" i="8"/>
  <c r="AH136" i="8"/>
  <c r="AH71" i="8"/>
  <c r="AH225" i="8"/>
  <c r="AH438" i="8"/>
  <c r="AH406" i="8"/>
  <c r="AH172" i="8"/>
  <c r="AH43" i="8"/>
  <c r="AH65" i="8"/>
  <c r="AH191" i="8"/>
  <c r="AH41" i="8"/>
  <c r="AH162" i="8"/>
  <c r="AH189" i="8"/>
  <c r="AH507" i="8"/>
  <c r="AH458" i="8"/>
  <c r="AH543" i="8"/>
  <c r="AH536" i="8"/>
  <c r="AH490" i="8"/>
  <c r="AH489" i="8"/>
  <c r="AH460" i="8"/>
  <c r="AH332" i="8"/>
  <c r="AH260" i="8"/>
  <c r="AH371" i="8"/>
  <c r="AH434" i="8"/>
  <c r="AH581" i="8"/>
  <c r="AH266" i="8"/>
  <c r="AH457" i="8"/>
  <c r="AH106" i="8"/>
  <c r="AH75" i="8"/>
  <c r="AH133" i="8"/>
  <c r="AH152" i="8"/>
  <c r="AH402" i="8"/>
  <c r="AH326" i="8"/>
  <c r="AH7" i="8"/>
  <c r="AH47" i="8"/>
  <c r="AH196" i="8"/>
  <c r="AH464" i="8"/>
  <c r="AH290" i="8"/>
  <c r="AH120" i="8"/>
  <c r="AH66" i="8"/>
  <c r="AH370" i="8"/>
  <c r="AH168" i="8"/>
  <c r="AH304" i="8"/>
  <c r="AH56" i="8"/>
  <c r="AH279" i="8"/>
  <c r="AH278" i="8"/>
  <c r="AH132" i="8"/>
  <c r="AH452" i="8"/>
  <c r="AH342" i="8"/>
  <c r="AH324" i="8"/>
  <c r="AH176" i="8"/>
  <c r="AH335" i="8"/>
  <c r="AH358" i="8"/>
  <c r="AH53" i="8"/>
  <c r="AH470" i="8"/>
  <c r="AH289" i="8"/>
  <c r="AH164" i="8"/>
  <c r="AH24" i="8"/>
  <c r="AH483" i="8"/>
  <c r="AH407" i="8"/>
  <c r="AH151" i="8"/>
  <c r="AH497" i="8"/>
  <c r="AH64" i="8"/>
  <c r="AH49" i="8"/>
  <c r="AH140" i="8"/>
  <c r="AH45" i="8"/>
  <c r="AH357" i="8"/>
  <c r="AH143" i="8"/>
  <c r="AH277" i="8"/>
  <c r="AH442" i="8"/>
  <c r="AH378" i="8"/>
  <c r="AH466" i="8"/>
  <c r="AH352" i="8"/>
  <c r="AH354" i="8"/>
  <c r="AH180" i="8"/>
  <c r="AH509" i="8"/>
  <c r="AH330" i="8"/>
  <c r="AH432" i="8"/>
  <c r="AH387" i="8"/>
  <c r="AH396" i="8"/>
  <c r="AH337" i="8"/>
  <c r="AH113" i="8"/>
  <c r="AH295" i="8"/>
  <c r="AH308" i="8"/>
  <c r="AH594" i="8"/>
  <c r="AH9" i="8"/>
  <c r="AH6" i="8"/>
  <c r="AH4" i="8"/>
  <c r="AH355" i="8"/>
  <c r="AH227" i="8"/>
  <c r="AH185" i="8"/>
  <c r="AH480" i="8"/>
  <c r="AH542" i="8"/>
  <c r="AH81" i="8"/>
  <c r="AH230" i="8"/>
  <c r="AH178" i="8"/>
  <c r="AH63" i="8"/>
  <c r="AH212" i="8"/>
  <c r="AH416" i="8"/>
  <c r="AH291" i="8"/>
  <c r="AH282" i="8"/>
  <c r="AH110" i="8"/>
  <c r="AH68" i="8"/>
  <c r="AH474" i="8"/>
  <c r="AH300" i="8"/>
  <c r="AH603" i="8"/>
  <c r="AH214" i="8"/>
  <c r="AH22" i="8"/>
  <c r="AH100" i="8"/>
  <c r="AH216" i="8"/>
  <c r="AH149" i="8"/>
  <c r="AH573" i="8"/>
  <c r="AH379" i="8"/>
  <c r="AH74" i="8"/>
  <c r="AH142" i="8"/>
  <c r="AH32" i="8"/>
  <c r="AH510" i="8"/>
  <c r="AH374" i="8"/>
  <c r="AH320" i="8"/>
  <c r="AH425" i="8"/>
  <c r="AH361" i="8"/>
  <c r="AH249" i="8"/>
  <c r="AH127" i="8"/>
  <c r="AH362" i="8"/>
  <c r="AH183" i="8"/>
  <c r="AH179" i="8"/>
  <c r="AH501" i="8"/>
  <c r="AH437" i="8"/>
  <c r="AH580" i="8"/>
  <c r="AH220" i="8"/>
  <c r="AH200" i="8"/>
  <c r="AH389" i="8"/>
  <c r="AH210" i="8"/>
  <c r="AH80" i="8"/>
  <c r="AH273" i="8"/>
  <c r="AH222" i="8"/>
  <c r="AH59" i="8"/>
  <c r="AH104" i="8"/>
  <c r="AH48" i="8"/>
  <c r="AH19" i="8"/>
  <c r="AH138" i="8"/>
  <c r="AH38" i="8"/>
  <c r="AH76" i="8"/>
  <c r="AH251" i="8"/>
  <c r="AH224" i="8"/>
  <c r="AH236" i="8"/>
  <c r="AH20" i="8"/>
  <c r="AH255" i="8"/>
  <c r="AH221" i="8"/>
  <c r="AH182" i="8"/>
  <c r="AH274" i="8"/>
  <c r="AH204" i="8"/>
  <c r="AH2" i="8"/>
  <c r="AH375" i="8"/>
  <c r="AH137" i="8"/>
  <c r="AH10" i="8"/>
  <c r="AH420" i="8"/>
  <c r="AH590" i="8"/>
  <c r="AH146" i="8"/>
  <c r="AH67" i="8"/>
  <c r="AH155" i="8"/>
  <c r="AH344" i="8"/>
  <c r="AH334" i="8"/>
  <c r="AH25" i="8"/>
  <c r="AH184" i="8"/>
  <c r="AH381" i="8"/>
  <c r="AH454" i="8"/>
  <c r="AH46" i="8"/>
  <c r="AH107" i="8"/>
  <c r="AH58" i="8"/>
  <c r="AH372" i="8"/>
  <c r="AH329" i="8"/>
  <c r="AH284" i="8"/>
  <c r="AH512" i="8"/>
  <c r="G14" i="10" l="1"/>
  <c r="H13" i="10" s="1"/>
  <c r="F15" i="10"/>
  <c r="D16" i="10"/>
  <c r="E16" i="10" s="1"/>
  <c r="C17" i="10"/>
  <c r="G15" i="10" l="1"/>
  <c r="H14" i="10" s="1"/>
  <c r="F16" i="10"/>
  <c r="D17" i="10"/>
  <c r="E17" i="10" s="1"/>
  <c r="C18" i="10"/>
  <c r="I16" i="10"/>
  <c r="F17" i="10" l="1"/>
  <c r="I17" i="10"/>
  <c r="G16" i="10"/>
  <c r="H15" i="10" s="1"/>
  <c r="C19" i="10"/>
  <c r="D18" i="10"/>
  <c r="E18" i="10" s="1"/>
  <c r="I18" i="10" l="1"/>
  <c r="F18" i="10"/>
  <c r="D19" i="10"/>
  <c r="E19" i="10" s="1"/>
  <c r="C20" i="10"/>
  <c r="G17" i="10"/>
  <c r="H16" i="10" s="1"/>
  <c r="I19" i="10" l="1"/>
  <c r="F19" i="10"/>
  <c r="C21" i="10"/>
  <c r="D20" i="10"/>
  <c r="E20" i="10" s="1"/>
  <c r="G18" i="10"/>
  <c r="H17" i="10" s="1"/>
  <c r="F20" i="10" l="1"/>
  <c r="C22" i="10"/>
  <c r="D21" i="10"/>
  <c r="E21" i="10" s="1"/>
  <c r="I20" i="10"/>
  <c r="G19" i="10"/>
  <c r="H18" i="10" s="1"/>
  <c r="G20" i="10" l="1"/>
  <c r="H19" i="10" s="1"/>
  <c r="F21" i="10"/>
  <c r="C23" i="10"/>
  <c r="D22" i="10"/>
  <c r="E22" i="10" s="1"/>
  <c r="I21" i="10"/>
  <c r="F22" i="10" l="1"/>
  <c r="D23" i="10"/>
  <c r="E23" i="10" s="1"/>
  <c r="C24" i="10"/>
  <c r="I22" i="10"/>
  <c r="G21" i="10"/>
  <c r="H20" i="10" s="1"/>
  <c r="G22" i="10" l="1"/>
  <c r="H21" i="10" s="1"/>
  <c r="C25" i="10"/>
  <c r="D24" i="10"/>
  <c r="E24" i="10" s="1"/>
  <c r="F23" i="10"/>
  <c r="I23" i="10"/>
  <c r="G23" i="10" s="1"/>
  <c r="H22" i="10" s="1"/>
  <c r="F24" i="10" l="1"/>
  <c r="I24" i="10"/>
  <c r="C26" i="10"/>
  <c r="D25" i="10"/>
  <c r="E25" i="10" s="1"/>
  <c r="C27" i="10" l="1"/>
  <c r="D26" i="10"/>
  <c r="E26" i="10" s="1"/>
  <c r="I25" i="10"/>
  <c r="G24" i="10"/>
  <c r="H23" i="10" s="1"/>
  <c r="F25" i="10"/>
  <c r="G25" i="10" l="1"/>
  <c r="H24" i="10" s="1"/>
  <c r="I26" i="10"/>
  <c r="F26" i="10"/>
  <c r="C28" i="10"/>
  <c r="D27" i="10"/>
  <c r="E27" i="10" s="1"/>
  <c r="G26" i="10" l="1"/>
  <c r="H25" i="10" s="1"/>
  <c r="C29" i="10"/>
  <c r="D28" i="10"/>
  <c r="E28" i="10" s="1"/>
  <c r="F27" i="10"/>
  <c r="I27" i="10"/>
  <c r="G27" i="10" s="1"/>
  <c r="H26" i="10" s="1"/>
  <c r="F28" i="10" l="1"/>
  <c r="I28" i="10"/>
  <c r="G28" i="10" s="1"/>
  <c r="H27" i="10" s="1"/>
  <c r="D29" i="10"/>
  <c r="E29" i="10" s="1"/>
  <c r="C30" i="10"/>
  <c r="F29" i="10" l="1"/>
  <c r="I29" i="10"/>
  <c r="G29" i="10" s="1"/>
  <c r="H28" i="10" s="1"/>
  <c r="D30" i="10"/>
  <c r="E30" i="10" s="1"/>
  <c r="C31" i="10"/>
  <c r="C32" i="10" l="1"/>
  <c r="D31" i="10"/>
  <c r="E31" i="10" s="1"/>
  <c r="I30" i="10"/>
  <c r="G30" i="10"/>
  <c r="H29" i="10" s="1"/>
  <c r="F30" i="10"/>
  <c r="I31" i="10" l="1"/>
  <c r="G31" i="10" s="1"/>
  <c r="H30" i="10" s="1"/>
  <c r="F31" i="10"/>
  <c r="C33" i="10"/>
  <c r="D32" i="10"/>
  <c r="E32" i="10" s="1"/>
  <c r="D33" i="10" l="1"/>
  <c r="E33" i="10" s="1"/>
  <c r="C34" i="10"/>
  <c r="F32" i="10"/>
  <c r="I32" i="10"/>
  <c r="G32" i="10" s="1"/>
  <c r="H31" i="10" s="1"/>
  <c r="I33" i="10" l="1"/>
  <c r="G33" i="10" s="1"/>
  <c r="H32" i="10" s="1"/>
  <c r="D34" i="10"/>
  <c r="E34" i="10" s="1"/>
  <c r="C35" i="10"/>
  <c r="F33" i="10"/>
  <c r="C36" i="10" l="1"/>
  <c r="D35" i="10"/>
  <c r="E35" i="10" s="1"/>
  <c r="F34" i="10"/>
  <c r="I34" i="10"/>
  <c r="G34" i="10" s="1"/>
  <c r="H33" i="10" s="1"/>
  <c r="I35" i="10" l="1"/>
  <c r="G35" i="10" s="1"/>
  <c r="H34" i="10" s="1"/>
  <c r="F35" i="10"/>
  <c r="D36" i="10"/>
  <c r="E36" i="10" s="1"/>
  <c r="C37" i="10"/>
  <c r="D37" i="10" l="1"/>
  <c r="E37" i="10" s="1"/>
  <c r="C38" i="10"/>
  <c r="F36" i="10"/>
  <c r="I36" i="10"/>
  <c r="G36" i="10" s="1"/>
  <c r="H35" i="10" s="1"/>
  <c r="I37" i="10" l="1"/>
  <c r="C39" i="10"/>
  <c r="D38" i="10"/>
  <c r="E38" i="10" s="1"/>
  <c r="F37" i="10"/>
  <c r="G37" i="10"/>
  <c r="H36" i="10" s="1"/>
  <c r="F38" i="10" l="1"/>
  <c r="D39" i="10"/>
  <c r="E39" i="10" s="1"/>
  <c r="C40" i="10"/>
  <c r="I38" i="10"/>
  <c r="G38" i="10" s="1"/>
  <c r="H37" i="10" s="1"/>
  <c r="C41" i="10" l="1"/>
  <c r="D40" i="10"/>
  <c r="E40" i="10" s="1"/>
  <c r="F39" i="10"/>
  <c r="I39" i="10"/>
  <c r="G39" i="10" s="1"/>
  <c r="H38" i="10" s="1"/>
  <c r="I40" i="10" l="1"/>
  <c r="G40" i="10" s="1"/>
  <c r="H39" i="10" s="1"/>
  <c r="F40" i="10"/>
  <c r="C42" i="10"/>
  <c r="D41" i="10"/>
  <c r="E41" i="10" s="1"/>
  <c r="F41" i="10" l="1"/>
  <c r="C43" i="10"/>
  <c r="D42" i="10"/>
  <c r="E42" i="10" s="1"/>
  <c r="I41" i="10"/>
  <c r="G41" i="10" s="1"/>
  <c r="H40" i="10" s="1"/>
  <c r="I42" i="10" l="1"/>
  <c r="G42" i="10" s="1"/>
  <c r="H41" i="10" s="1"/>
  <c r="F42" i="10"/>
  <c r="C44" i="10"/>
  <c r="D43" i="10"/>
  <c r="E43" i="10" s="1"/>
  <c r="C45" i="10" l="1"/>
  <c r="D44" i="10"/>
  <c r="E44" i="10" s="1"/>
  <c r="F43" i="10"/>
  <c r="I43" i="10"/>
  <c r="G43" i="10" s="1"/>
  <c r="H42" i="10" s="1"/>
  <c r="I44" i="10" l="1"/>
  <c r="G44" i="10" s="1"/>
  <c r="H43" i="10" s="1"/>
  <c r="F44" i="10"/>
  <c r="D45" i="10"/>
  <c r="E45" i="10" s="1"/>
  <c r="C46" i="10"/>
  <c r="F45" i="10" l="1"/>
  <c r="D46" i="10"/>
  <c r="E46" i="10" s="1"/>
  <c r="C47" i="10"/>
  <c r="I45" i="10"/>
  <c r="G45" i="10" s="1"/>
  <c r="H44" i="10" s="1"/>
  <c r="I46" i="10" l="1"/>
  <c r="G46" i="10" s="1"/>
  <c r="H45" i="10" s="1"/>
  <c r="C48" i="10"/>
  <c r="D47" i="10"/>
  <c r="E47" i="10" s="1"/>
  <c r="F46" i="10"/>
  <c r="F47" i="10" l="1"/>
  <c r="D48" i="10"/>
  <c r="E48" i="10" s="1"/>
  <c r="C49" i="10"/>
  <c r="I47" i="10"/>
  <c r="G47" i="10" s="1"/>
  <c r="H46" i="10" s="1"/>
  <c r="I48" i="10" l="1"/>
  <c r="G48" i="10" s="1"/>
  <c r="H47" i="10" s="1"/>
  <c r="F48" i="10"/>
  <c r="C50" i="10"/>
  <c r="D49" i="10"/>
  <c r="E49" i="10" s="1"/>
  <c r="C51" i="10" l="1"/>
  <c r="D50" i="10"/>
  <c r="E50" i="10" s="1"/>
  <c r="F49" i="10"/>
  <c r="I49" i="10"/>
  <c r="G49" i="10" s="1"/>
  <c r="H48" i="10" s="1"/>
  <c r="I50" i="10" l="1"/>
  <c r="G50" i="10" s="1"/>
  <c r="H49" i="10" s="1"/>
  <c r="F50" i="10"/>
  <c r="C52" i="10"/>
  <c r="D51" i="10"/>
  <c r="E51" i="10" s="1"/>
  <c r="D52" i="10" l="1"/>
  <c r="E52" i="10" s="1"/>
  <c r="C53" i="10"/>
  <c r="F51" i="10"/>
  <c r="I51" i="10"/>
  <c r="G51" i="10" s="1"/>
  <c r="H50" i="10" s="1"/>
  <c r="I52" i="10" l="1"/>
  <c r="C54" i="10"/>
  <c r="D53" i="10"/>
  <c r="E53" i="10" s="1"/>
  <c r="G52" i="10"/>
  <c r="H51" i="10" s="1"/>
  <c r="F52" i="10"/>
  <c r="F53" i="10" l="1"/>
  <c r="C55" i="10"/>
  <c r="D54" i="10"/>
  <c r="E54" i="10" s="1"/>
  <c r="I53" i="10"/>
  <c r="G53" i="10" s="1"/>
  <c r="H52" i="10" s="1"/>
  <c r="F54" i="10" l="1"/>
  <c r="C56" i="10"/>
  <c r="D55" i="10"/>
  <c r="E55" i="10" s="1"/>
  <c r="I54" i="10"/>
  <c r="G54" i="10" s="1"/>
  <c r="H53" i="10" s="1"/>
  <c r="I55" i="10" l="1"/>
  <c r="G55" i="10" s="1"/>
  <c r="H54" i="10" s="1"/>
  <c r="D56" i="10"/>
  <c r="E56" i="10" s="1"/>
  <c r="C57" i="10"/>
  <c r="F55" i="10"/>
  <c r="D57" i="10" l="1"/>
  <c r="E57" i="10" s="1"/>
  <c r="C58" i="10"/>
  <c r="F56" i="10"/>
  <c r="I56" i="10"/>
  <c r="G56" i="10" s="1"/>
  <c r="H55" i="10" s="1"/>
  <c r="I57" i="10" l="1"/>
  <c r="G57" i="10" s="1"/>
  <c r="H56" i="10" s="1"/>
  <c r="C59" i="10"/>
  <c r="D58" i="10"/>
  <c r="E58" i="10" s="1"/>
  <c r="F57" i="10"/>
  <c r="F58" i="10" l="1"/>
  <c r="C60" i="10"/>
  <c r="D59" i="10"/>
  <c r="E59" i="10" s="1"/>
  <c r="I58" i="10"/>
  <c r="G58" i="10" s="1"/>
  <c r="H57" i="10" s="1"/>
  <c r="F59" i="10" l="1"/>
  <c r="D60" i="10"/>
  <c r="E60" i="10" s="1"/>
  <c r="C61" i="10"/>
  <c r="I59" i="10"/>
  <c r="G59" i="10" s="1"/>
  <c r="H58" i="10" s="1"/>
  <c r="I60" i="10" l="1"/>
  <c r="G60" i="10" s="1"/>
  <c r="H59" i="10" s="1"/>
  <c r="F60" i="10"/>
  <c r="D61" i="10"/>
  <c r="E61" i="10" s="1"/>
  <c r="C62" i="10"/>
  <c r="F61" i="10" l="1"/>
  <c r="C63" i="10"/>
  <c r="D62" i="10"/>
  <c r="E62" i="10" s="1"/>
  <c r="I61" i="10"/>
  <c r="G61" i="10" s="1"/>
  <c r="H60" i="10" s="1"/>
  <c r="I62" i="10" l="1"/>
  <c r="G62" i="10" s="1"/>
  <c r="H61" i="10" s="1"/>
  <c r="F62" i="10"/>
  <c r="C64" i="10"/>
  <c r="D63" i="10"/>
  <c r="E63" i="10" s="1"/>
  <c r="O10" i="10"/>
  <c r="O9" i="10"/>
  <c r="O15" i="10"/>
  <c r="O18" i="10"/>
  <c r="T63" i="10" s="1"/>
  <c r="U63" i="10" s="1"/>
  <c r="V63" i="10" s="1"/>
  <c r="W63" i="10" s="1"/>
  <c r="X63" i="10" s="1"/>
  <c r="Y63" i="10" s="1"/>
  <c r="Z63" i="10" s="1"/>
  <c r="AA63" i="10" s="1"/>
  <c r="AB63" i="10" s="1"/>
  <c r="AC63" i="10" s="1"/>
  <c r="AD63" i="10" s="1"/>
  <c r="AE63" i="10" s="1"/>
  <c r="AF63" i="10" s="1"/>
  <c r="AG63" i="10" s="1"/>
  <c r="AH63" i="10" s="1"/>
  <c r="AI63" i="10" s="1"/>
  <c r="AJ63" i="10" s="1"/>
  <c r="AK63" i="10" s="1"/>
  <c r="AL63" i="10" s="1"/>
  <c r="AM63" i="10" s="1"/>
  <c r="AN63" i="10" s="1"/>
  <c r="AO63" i="10" s="1"/>
  <c r="AP63" i="10" s="1"/>
  <c r="AQ63" i="10" s="1"/>
  <c r="AR63" i="10" s="1"/>
  <c r="AS63" i="10" s="1"/>
  <c r="AT63" i="10" s="1"/>
  <c r="AU63" i="10" s="1"/>
  <c r="AV63" i="10" s="1"/>
  <c r="AW63" i="10" s="1"/>
  <c r="AX63" i="10" s="1"/>
  <c r="AY63" i="10" s="1"/>
  <c r="AZ63" i="10" s="1"/>
  <c r="BA63" i="10" s="1"/>
  <c r="BB63" i="10" s="1"/>
  <c r="BC63" i="10" s="1"/>
  <c r="BD63" i="10" s="1"/>
  <c r="BE63" i="10" s="1"/>
  <c r="BF63" i="10" s="1"/>
  <c r="BG63" i="10" s="1"/>
  <c r="BH63" i="10" s="1"/>
  <c r="BI63" i="10" s="1"/>
  <c r="BJ63" i="10" s="1"/>
  <c r="BK63" i="10" s="1"/>
  <c r="BL63" i="10" s="1"/>
  <c r="BM63" i="10" s="1"/>
  <c r="BN63" i="10" s="1"/>
  <c r="BO63" i="10" s="1"/>
  <c r="BP63" i="10" s="1"/>
  <c r="BQ63" i="10" s="1"/>
  <c r="BR63" i="10" s="1"/>
  <c r="BS63" i="10" s="1"/>
  <c r="BT63" i="10" s="1"/>
  <c r="BU63" i="10" s="1"/>
  <c r="BV63" i="10" s="1"/>
  <c r="BW63" i="10" s="1"/>
  <c r="BX63" i="10" s="1"/>
  <c r="BY63" i="10" s="1"/>
  <c r="BZ63" i="10" s="1"/>
  <c r="CA63" i="10" s="1"/>
  <c r="CB63" i="10" s="1"/>
  <c r="CC63" i="10" s="1"/>
  <c r="O8" i="10"/>
  <c r="T53" i="10" s="1"/>
  <c r="O13" i="10"/>
  <c r="O11" i="10"/>
  <c r="O16" i="10"/>
  <c r="T61" i="10" s="1"/>
  <c r="O22" i="10"/>
  <c r="O14" i="10"/>
  <c r="O19" i="10"/>
  <c r="T64" i="10" s="1"/>
  <c r="O21" i="10"/>
  <c r="O17" i="10"/>
  <c r="T62" i="10" s="1"/>
  <c r="O12" i="10"/>
  <c r="O20" i="10"/>
  <c r="U62" i="10" l="1"/>
  <c r="V62" i="10" s="1"/>
  <c r="W62" i="10" s="1"/>
  <c r="X62" i="10" s="1"/>
  <c r="Y62" i="10" s="1"/>
  <c r="Z62" i="10" s="1"/>
  <c r="AA62" i="10" s="1"/>
  <c r="AB62" i="10" s="1"/>
  <c r="AC62" i="10" s="1"/>
  <c r="AD62" i="10" s="1"/>
  <c r="AE62" i="10" s="1"/>
  <c r="AF62" i="10" s="1"/>
  <c r="AG62" i="10" s="1"/>
  <c r="AH62" i="10" s="1"/>
  <c r="AI62" i="10" s="1"/>
  <c r="AJ62" i="10" s="1"/>
  <c r="AK62" i="10" s="1"/>
  <c r="AL62" i="10" s="1"/>
  <c r="AM62" i="10" s="1"/>
  <c r="AN62" i="10" s="1"/>
  <c r="AO62" i="10" s="1"/>
  <c r="AP62" i="10" s="1"/>
  <c r="AQ62" i="10" s="1"/>
  <c r="AR62" i="10" s="1"/>
  <c r="AS62" i="10" s="1"/>
  <c r="AT62" i="10" s="1"/>
  <c r="AU62" i="10" s="1"/>
  <c r="AV62" i="10" s="1"/>
  <c r="AW62" i="10" s="1"/>
  <c r="AX62" i="10" s="1"/>
  <c r="AY62" i="10" s="1"/>
  <c r="AZ62" i="10" s="1"/>
  <c r="BA62" i="10" s="1"/>
  <c r="BB62" i="10" s="1"/>
  <c r="BC62" i="10" s="1"/>
  <c r="BD62" i="10" s="1"/>
  <c r="BE62" i="10" s="1"/>
  <c r="BF62" i="10" s="1"/>
  <c r="BG62" i="10" s="1"/>
  <c r="BH62" i="10" s="1"/>
  <c r="BI62" i="10" s="1"/>
  <c r="BJ62" i="10" s="1"/>
  <c r="BK62" i="10" s="1"/>
  <c r="BL62" i="10" s="1"/>
  <c r="BM62" i="10" s="1"/>
  <c r="BN62" i="10" s="1"/>
  <c r="BO62" i="10" s="1"/>
  <c r="BP62" i="10" s="1"/>
  <c r="BQ62" i="10" s="1"/>
  <c r="BR62" i="10" s="1"/>
  <c r="BS62" i="10" s="1"/>
  <c r="BT62" i="10" s="1"/>
  <c r="BU62" i="10" s="1"/>
  <c r="BV62" i="10" s="1"/>
  <c r="BW62" i="10" s="1"/>
  <c r="BX62" i="10" s="1"/>
  <c r="BY62" i="10" s="1"/>
  <c r="BZ62" i="10" s="1"/>
  <c r="CA62" i="10" s="1"/>
  <c r="CB62" i="10" s="1"/>
  <c r="CC62" i="10" s="1"/>
  <c r="U61" i="10"/>
  <c r="V61" i="10" s="1"/>
  <c r="W61" i="10" s="1"/>
  <c r="X61" i="10" s="1"/>
  <c r="Y61" i="10" s="1"/>
  <c r="Z61" i="10" s="1"/>
  <c r="AA61" i="10" s="1"/>
  <c r="AB61" i="10" s="1"/>
  <c r="AC61" i="10" s="1"/>
  <c r="AD61" i="10" s="1"/>
  <c r="AE61" i="10" s="1"/>
  <c r="AF61" i="10" s="1"/>
  <c r="AG61" i="10" s="1"/>
  <c r="AH61" i="10" s="1"/>
  <c r="AI61" i="10" s="1"/>
  <c r="AJ61" i="10" s="1"/>
  <c r="AK61" i="10" s="1"/>
  <c r="AL61" i="10" s="1"/>
  <c r="AM61" i="10" s="1"/>
  <c r="AN61" i="10" s="1"/>
  <c r="AO61" i="10" s="1"/>
  <c r="AP61" i="10" s="1"/>
  <c r="AQ61" i="10" s="1"/>
  <c r="AR61" i="10" s="1"/>
  <c r="AS61" i="10" s="1"/>
  <c r="AT61" i="10" s="1"/>
  <c r="AU61" i="10" s="1"/>
  <c r="AV61" i="10" s="1"/>
  <c r="AW61" i="10" s="1"/>
  <c r="AX61" i="10" s="1"/>
  <c r="AY61" i="10" s="1"/>
  <c r="AZ61" i="10" s="1"/>
  <c r="BA61" i="10" s="1"/>
  <c r="BB61" i="10" s="1"/>
  <c r="BC61" i="10" s="1"/>
  <c r="BD61" i="10" s="1"/>
  <c r="BE61" i="10" s="1"/>
  <c r="BF61" i="10" s="1"/>
  <c r="BG61" i="10" s="1"/>
  <c r="BH61" i="10" s="1"/>
  <c r="BI61" i="10" s="1"/>
  <c r="BJ61" i="10" s="1"/>
  <c r="BK61" i="10" s="1"/>
  <c r="BL61" i="10" s="1"/>
  <c r="BM61" i="10" s="1"/>
  <c r="BN61" i="10" s="1"/>
  <c r="BO61" i="10" s="1"/>
  <c r="BP61" i="10" s="1"/>
  <c r="BQ61" i="10" s="1"/>
  <c r="BR61" i="10" s="1"/>
  <c r="BS61" i="10" s="1"/>
  <c r="BT61" i="10" s="1"/>
  <c r="BU61" i="10" s="1"/>
  <c r="BV61" i="10" s="1"/>
  <c r="BW61" i="10" s="1"/>
  <c r="BX61" i="10" s="1"/>
  <c r="BY61" i="10" s="1"/>
  <c r="BZ61" i="10" s="1"/>
  <c r="CA61" i="10" s="1"/>
  <c r="CB61" i="10" s="1"/>
  <c r="CC61" i="10" s="1"/>
  <c r="U64" i="10"/>
  <c r="V64" i="10" s="1"/>
  <c r="W64" i="10" s="1"/>
  <c r="X64" i="10" s="1"/>
  <c r="Y64" i="10" s="1"/>
  <c r="Z64" i="10" s="1"/>
  <c r="AA64" i="10" s="1"/>
  <c r="AB64" i="10" s="1"/>
  <c r="AC64" i="10" s="1"/>
  <c r="AD64" i="10" s="1"/>
  <c r="AE64" i="10" s="1"/>
  <c r="AF64" i="10" s="1"/>
  <c r="AG64" i="10" s="1"/>
  <c r="AH64" i="10" s="1"/>
  <c r="AI64" i="10" s="1"/>
  <c r="AJ64" i="10" s="1"/>
  <c r="AK64" i="10" s="1"/>
  <c r="AL64" i="10" s="1"/>
  <c r="AM64" i="10" s="1"/>
  <c r="AN64" i="10" s="1"/>
  <c r="AO64" i="10" s="1"/>
  <c r="AP64" i="10" s="1"/>
  <c r="AQ64" i="10" s="1"/>
  <c r="AR64" i="10" s="1"/>
  <c r="AS64" i="10" s="1"/>
  <c r="AT64" i="10" s="1"/>
  <c r="AU64" i="10" s="1"/>
  <c r="AV64" i="10" s="1"/>
  <c r="AW64" i="10" s="1"/>
  <c r="AX64" i="10" s="1"/>
  <c r="AY64" i="10" s="1"/>
  <c r="AZ64" i="10" s="1"/>
  <c r="BA64" i="10" s="1"/>
  <c r="BB64" i="10" s="1"/>
  <c r="BC64" i="10" s="1"/>
  <c r="BD64" i="10" s="1"/>
  <c r="BE64" i="10" s="1"/>
  <c r="BF64" i="10" s="1"/>
  <c r="BG64" i="10" s="1"/>
  <c r="BH64" i="10" s="1"/>
  <c r="BI64" i="10" s="1"/>
  <c r="BJ64" i="10" s="1"/>
  <c r="BK64" i="10" s="1"/>
  <c r="BL64" i="10" s="1"/>
  <c r="BM64" i="10" s="1"/>
  <c r="BN64" i="10" s="1"/>
  <c r="BO64" i="10" s="1"/>
  <c r="BP64" i="10" s="1"/>
  <c r="BQ64" i="10" s="1"/>
  <c r="BR64" i="10" s="1"/>
  <c r="BS64" i="10" s="1"/>
  <c r="BT64" i="10" s="1"/>
  <c r="BU64" i="10" s="1"/>
  <c r="BV64" i="10" s="1"/>
  <c r="BW64" i="10" s="1"/>
  <c r="BX64" i="10" s="1"/>
  <c r="BY64" i="10" s="1"/>
  <c r="BZ64" i="10" s="1"/>
  <c r="CA64" i="10" s="1"/>
  <c r="CB64" i="10" s="1"/>
  <c r="CC64" i="10" s="1"/>
  <c r="P18" i="10"/>
  <c r="T65" i="10"/>
  <c r="P20" i="10"/>
  <c r="P19" i="10"/>
  <c r="T56" i="10"/>
  <c r="P11" i="10"/>
  <c r="T60" i="10"/>
  <c r="P15" i="10"/>
  <c r="D64" i="10"/>
  <c r="E64" i="10" s="1"/>
  <c r="C65" i="10"/>
  <c r="T66" i="10"/>
  <c r="P21" i="10"/>
  <c r="T57" i="10"/>
  <c r="P12" i="10"/>
  <c r="T59" i="10"/>
  <c r="P14" i="10"/>
  <c r="P13" i="10"/>
  <c r="T58" i="10"/>
  <c r="P9" i="10"/>
  <c r="T54" i="10"/>
  <c r="P16" i="10"/>
  <c r="P17" i="10"/>
  <c r="T67" i="10"/>
  <c r="P22" i="10"/>
  <c r="U53" i="10"/>
  <c r="T8" i="10"/>
  <c r="T55" i="10"/>
  <c r="P10" i="10"/>
  <c r="F63" i="10"/>
  <c r="I63" i="10"/>
  <c r="G63" i="10" s="1"/>
  <c r="H62" i="10" s="1"/>
  <c r="F4" i="1" l="1"/>
  <c r="F20" i="1" s="1"/>
  <c r="F19" i="1" s="1"/>
  <c r="I64" i="10"/>
  <c r="G64" i="10" s="1"/>
  <c r="H63" i="10" s="1"/>
  <c r="T16" i="10"/>
  <c r="F12" i="1" s="1"/>
  <c r="T13" i="10"/>
  <c r="F9" i="1" s="1"/>
  <c r="U58" i="10"/>
  <c r="D65" i="10"/>
  <c r="E65" i="10" s="1"/>
  <c r="C66" i="10"/>
  <c r="F64" i="10"/>
  <c r="T11" i="10"/>
  <c r="F7" i="1" s="1"/>
  <c r="U56" i="10"/>
  <c r="T20" i="10"/>
  <c r="U65" i="10"/>
  <c r="U67" i="10"/>
  <c r="T22" i="10"/>
  <c r="U57" i="10"/>
  <c r="T12" i="10"/>
  <c r="F8" i="1" s="1"/>
  <c r="U54" i="10"/>
  <c r="T9" i="10"/>
  <c r="F5" i="1" s="1"/>
  <c r="T10" i="10"/>
  <c r="F6" i="1" s="1"/>
  <c r="U55" i="10"/>
  <c r="U8" i="10"/>
  <c r="V53" i="10"/>
  <c r="T17" i="10"/>
  <c r="F13" i="1" s="1"/>
  <c r="T14" i="10"/>
  <c r="F10" i="1" s="1"/>
  <c r="U59" i="10"/>
  <c r="U66" i="10"/>
  <c r="T21" i="10"/>
  <c r="T15" i="10"/>
  <c r="F11" i="1" s="1"/>
  <c r="U60" i="10"/>
  <c r="T19" i="10"/>
  <c r="F15" i="1" s="1"/>
  <c r="T18" i="10"/>
  <c r="F14" i="1" s="1"/>
  <c r="G4" i="1" l="1"/>
  <c r="G20" i="1" s="1"/>
  <c r="F23" i="1"/>
  <c r="V54" i="10"/>
  <c r="U9" i="10"/>
  <c r="U19" i="10"/>
  <c r="G15" i="1" s="1"/>
  <c r="V66" i="10"/>
  <c r="U21" i="10"/>
  <c r="U12" i="10"/>
  <c r="G8" i="1" s="1"/>
  <c r="V57" i="10"/>
  <c r="U18" i="10"/>
  <c r="G14" i="1" s="1"/>
  <c r="U22" i="10"/>
  <c r="V67" i="10"/>
  <c r="U15" i="10"/>
  <c r="G11" i="1" s="1"/>
  <c r="V60" i="10"/>
  <c r="U14" i="10"/>
  <c r="G10" i="1" s="1"/>
  <c r="V59" i="10"/>
  <c r="V8" i="10"/>
  <c r="W53" i="10"/>
  <c r="U11" i="10"/>
  <c r="G7" i="1" s="1"/>
  <c r="V56" i="10"/>
  <c r="C67" i="10"/>
  <c r="D66" i="10"/>
  <c r="E66" i="10" s="1"/>
  <c r="U16" i="10"/>
  <c r="G12" i="1" s="1"/>
  <c r="F65" i="10"/>
  <c r="U17" i="10"/>
  <c r="G13" i="1" s="1"/>
  <c r="V55" i="10"/>
  <c r="U10" i="10"/>
  <c r="G6" i="1" s="1"/>
  <c r="U20" i="10"/>
  <c r="V65" i="10"/>
  <c r="U13" i="10"/>
  <c r="G9" i="1" s="1"/>
  <c r="V58" i="10"/>
  <c r="I65" i="10"/>
  <c r="G65" i="10" s="1"/>
  <c r="H64" i="10" s="1"/>
  <c r="H4" i="1" l="1"/>
  <c r="H20" i="1" s="1"/>
  <c r="G5" i="1"/>
  <c r="G23" i="1" s="1"/>
  <c r="V20" i="10"/>
  <c r="W65" i="10"/>
  <c r="V16" i="10"/>
  <c r="H12" i="1" s="1"/>
  <c r="W56" i="10"/>
  <c r="V11" i="10"/>
  <c r="H7" i="1" s="1"/>
  <c r="V14" i="10"/>
  <c r="H10" i="1" s="1"/>
  <c r="W59" i="10"/>
  <c r="V22" i="10"/>
  <c r="W67" i="10"/>
  <c r="V12" i="10"/>
  <c r="H8" i="1" s="1"/>
  <c r="W57" i="10"/>
  <c r="V19" i="10"/>
  <c r="H15" i="1" s="1"/>
  <c r="I66" i="10"/>
  <c r="G66" i="10" s="1"/>
  <c r="H65" i="10" s="1"/>
  <c r="V17" i="10"/>
  <c r="H13" i="1" s="1"/>
  <c r="F66" i="10"/>
  <c r="X53" i="10"/>
  <c r="W8" i="10"/>
  <c r="V15" i="10"/>
  <c r="H11" i="1" s="1"/>
  <c r="W60" i="10"/>
  <c r="V13" i="10"/>
  <c r="H9" i="1" s="1"/>
  <c r="W58" i="10"/>
  <c r="W55" i="10"/>
  <c r="V10" i="10"/>
  <c r="H6" i="1" s="1"/>
  <c r="C68" i="10"/>
  <c r="D67" i="10"/>
  <c r="E67" i="10" s="1"/>
  <c r="V18" i="10"/>
  <c r="H14" i="1" s="1"/>
  <c r="V21" i="10"/>
  <c r="W66" i="10"/>
  <c r="V9" i="10"/>
  <c r="H5" i="1" s="1"/>
  <c r="W54" i="10"/>
  <c r="I4" i="1" l="1"/>
  <c r="I20" i="1" s="1"/>
  <c r="H23" i="1"/>
  <c r="D68" i="10"/>
  <c r="E68" i="10" s="1"/>
  <c r="C69" i="10"/>
  <c r="Y53" i="10"/>
  <c r="X8" i="10"/>
  <c r="W17" i="10"/>
  <c r="I13" i="1" s="1"/>
  <c r="X57" i="10"/>
  <c r="W12" i="10"/>
  <c r="I8" i="1" s="1"/>
  <c r="W14" i="10"/>
  <c r="I10" i="1" s="1"/>
  <c r="X59" i="10"/>
  <c r="W16" i="10"/>
  <c r="I12" i="1" s="1"/>
  <c r="W9" i="10"/>
  <c r="X54" i="10"/>
  <c r="W15" i="10"/>
  <c r="I11" i="1" s="1"/>
  <c r="X60" i="10"/>
  <c r="I67" i="10"/>
  <c r="G67" i="10" s="1"/>
  <c r="H66" i="10" s="1"/>
  <c r="W21" i="10"/>
  <c r="X66" i="10"/>
  <c r="W18" i="10"/>
  <c r="I14" i="1" s="1"/>
  <c r="W10" i="10"/>
  <c r="I6" i="1" s="1"/>
  <c r="X55" i="10"/>
  <c r="W19" i="10"/>
  <c r="I15" i="1" s="1"/>
  <c r="W22" i="10"/>
  <c r="X67" i="10"/>
  <c r="W20" i="10"/>
  <c r="X65" i="10"/>
  <c r="F67" i="10"/>
  <c r="W13" i="10"/>
  <c r="I9" i="1" s="1"/>
  <c r="X58" i="10"/>
  <c r="X56" i="10"/>
  <c r="W11" i="10"/>
  <c r="I7" i="1" s="1"/>
  <c r="J4" i="1" l="1"/>
  <c r="J20" i="1" s="1"/>
  <c r="I5" i="1"/>
  <c r="I23" i="1" s="1"/>
  <c r="I68" i="10"/>
  <c r="X19" i="10"/>
  <c r="J15" i="1" s="1"/>
  <c r="X15" i="10"/>
  <c r="J11" i="1" s="1"/>
  <c r="Y60" i="10"/>
  <c r="X16" i="10"/>
  <c r="J12" i="1" s="1"/>
  <c r="X22" i="10"/>
  <c r="Y67" i="10"/>
  <c r="X10" i="10"/>
  <c r="J6" i="1" s="1"/>
  <c r="Y55" i="10"/>
  <c r="X21" i="10"/>
  <c r="Y66" i="10"/>
  <c r="Y57" i="10"/>
  <c r="X12" i="10"/>
  <c r="J8" i="1" s="1"/>
  <c r="Y8" i="10"/>
  <c r="Z53" i="10"/>
  <c r="X13" i="10"/>
  <c r="J9" i="1" s="1"/>
  <c r="Y58" i="10"/>
  <c r="X18" i="10"/>
  <c r="J14" i="1" s="1"/>
  <c r="X11" i="10"/>
  <c r="J7" i="1" s="1"/>
  <c r="Y56" i="10"/>
  <c r="Y54" i="10"/>
  <c r="X9" i="10"/>
  <c r="X14" i="10"/>
  <c r="J10" i="1" s="1"/>
  <c r="Y59" i="10"/>
  <c r="X17" i="10"/>
  <c r="J13" i="1" s="1"/>
  <c r="D69" i="10"/>
  <c r="E69" i="10" s="1"/>
  <c r="I69" i="10" s="1"/>
  <c r="C70" i="10"/>
  <c r="X20" i="10"/>
  <c r="Y65" i="10"/>
  <c r="G68" i="10"/>
  <c r="H67" i="10" s="1"/>
  <c r="F68" i="10"/>
  <c r="K4" i="1" l="1"/>
  <c r="K20" i="1" s="1"/>
  <c r="J5" i="1"/>
  <c r="J23" i="1" s="1"/>
  <c r="Z54" i="10"/>
  <c r="Y9" i="10"/>
  <c r="Z60" i="10"/>
  <c r="Y15" i="10"/>
  <c r="K11" i="1" s="1"/>
  <c r="C71" i="10"/>
  <c r="D70" i="10"/>
  <c r="E70" i="10" s="1"/>
  <c r="Z59" i="10"/>
  <c r="Y14" i="10"/>
  <c r="K10" i="1" s="1"/>
  <c r="Y11" i="10"/>
  <c r="K7" i="1" s="1"/>
  <c r="Z56" i="10"/>
  <c r="Y13" i="10"/>
  <c r="K9" i="1" s="1"/>
  <c r="Z58" i="10"/>
  <c r="Z55" i="10"/>
  <c r="Y10" i="10"/>
  <c r="K6" i="1" s="1"/>
  <c r="G69" i="10"/>
  <c r="H68" i="10" s="1"/>
  <c r="F69" i="10"/>
  <c r="Y12" i="10"/>
  <c r="K8" i="1" s="1"/>
  <c r="Z57" i="10"/>
  <c r="Y19" i="10"/>
  <c r="K15" i="1" s="1"/>
  <c r="Y20" i="10"/>
  <c r="Z65" i="10"/>
  <c r="Y17" i="10"/>
  <c r="K13" i="1" s="1"/>
  <c r="Y18" i="10"/>
  <c r="K14" i="1" s="1"/>
  <c r="Z8" i="10"/>
  <c r="AA53" i="10"/>
  <c r="Y21" i="10"/>
  <c r="Z66" i="10"/>
  <c r="Y22" i="10"/>
  <c r="Z67" i="10"/>
  <c r="Y16" i="10"/>
  <c r="K12" i="1" s="1"/>
  <c r="L4" i="1" l="1"/>
  <c r="L20" i="1" s="1"/>
  <c r="K5" i="1"/>
  <c r="K23" i="1" s="1"/>
  <c r="Z18" i="10"/>
  <c r="L14" i="1" s="1"/>
  <c r="AA59" i="10"/>
  <c r="Z14" i="10"/>
  <c r="L10" i="1" s="1"/>
  <c r="AA60" i="10"/>
  <c r="Z15" i="10"/>
  <c r="L11" i="1" s="1"/>
  <c r="F70" i="10"/>
  <c r="Z21" i="10"/>
  <c r="AA66" i="10"/>
  <c r="Z12" i="10"/>
  <c r="L8" i="1" s="1"/>
  <c r="AA57" i="10"/>
  <c r="AA56" i="10"/>
  <c r="Z11" i="10"/>
  <c r="L7" i="1" s="1"/>
  <c r="AA55" i="10"/>
  <c r="Z10" i="10"/>
  <c r="L6" i="1" s="1"/>
  <c r="C72" i="10"/>
  <c r="D71" i="10"/>
  <c r="E71" i="10" s="1"/>
  <c r="Z9" i="10"/>
  <c r="AA54" i="10"/>
  <c r="AA65" i="10"/>
  <c r="Z20" i="10"/>
  <c r="Z16" i="10"/>
  <c r="L12" i="1" s="1"/>
  <c r="Z22" i="10"/>
  <c r="AA67" i="10"/>
  <c r="AB53" i="10"/>
  <c r="AA8" i="10"/>
  <c r="Z17" i="10"/>
  <c r="L13" i="1" s="1"/>
  <c r="Z19" i="10"/>
  <c r="L15" i="1" s="1"/>
  <c r="AA58" i="10"/>
  <c r="Z13" i="10"/>
  <c r="L9" i="1" s="1"/>
  <c r="I70" i="10"/>
  <c r="G70" i="10" s="1"/>
  <c r="H69" i="10" s="1"/>
  <c r="M4" i="1" l="1"/>
  <c r="M20" i="1" s="1"/>
  <c r="L5" i="1"/>
  <c r="L23" i="1" s="1"/>
  <c r="AA19" i="10"/>
  <c r="M15" i="1" s="1"/>
  <c r="AA16" i="10"/>
  <c r="M12" i="1" s="1"/>
  <c r="AA9" i="10"/>
  <c r="AB54" i="10"/>
  <c r="AB57" i="10"/>
  <c r="AA12" i="10"/>
  <c r="M8" i="1" s="1"/>
  <c r="I71" i="10"/>
  <c r="G71" i="10" s="1"/>
  <c r="H70" i="10" s="1"/>
  <c r="AC53" i="10"/>
  <c r="AB8" i="10"/>
  <c r="AA10" i="10"/>
  <c r="M6" i="1" s="1"/>
  <c r="AB55" i="10"/>
  <c r="AA14" i="10"/>
  <c r="M10" i="1" s="1"/>
  <c r="AB59" i="10"/>
  <c r="F71" i="10"/>
  <c r="AA21" i="10"/>
  <c r="AB66" i="10"/>
  <c r="AA18" i="10"/>
  <c r="M14" i="1" s="1"/>
  <c r="AA17" i="10"/>
  <c r="M13" i="1" s="1"/>
  <c r="AB67" i="10"/>
  <c r="AA22" i="10"/>
  <c r="AB58" i="10"/>
  <c r="AA13" i="10"/>
  <c r="M9" i="1" s="1"/>
  <c r="AB65" i="10"/>
  <c r="AA20" i="10"/>
  <c r="D72" i="10"/>
  <c r="E72" i="10" s="1"/>
  <c r="C73" i="10"/>
  <c r="AB56" i="10"/>
  <c r="AA11" i="10"/>
  <c r="M7" i="1" s="1"/>
  <c r="AA15" i="10"/>
  <c r="M11" i="1" s="1"/>
  <c r="AB60" i="10"/>
  <c r="M5" i="1" l="1"/>
  <c r="M23" i="1" s="1"/>
  <c r="N4" i="1"/>
  <c r="N20" i="1" s="1"/>
  <c r="AB11" i="10"/>
  <c r="N7" i="1" s="1"/>
  <c r="AC56" i="10"/>
  <c r="AB20" i="10"/>
  <c r="AC65" i="10"/>
  <c r="AC67" i="10"/>
  <c r="AB22" i="10"/>
  <c r="AB16" i="10"/>
  <c r="N12" i="1" s="1"/>
  <c r="AB15" i="10"/>
  <c r="N11" i="1" s="1"/>
  <c r="AC60" i="10"/>
  <c r="D73" i="10"/>
  <c r="E73" i="10" s="1"/>
  <c r="C74" i="10"/>
  <c r="AB17" i="10"/>
  <c r="N13" i="1" s="1"/>
  <c r="AC66" i="10"/>
  <c r="AB21" i="10"/>
  <c r="AB14" i="10"/>
  <c r="N10" i="1" s="1"/>
  <c r="AC59" i="10"/>
  <c r="AC57" i="10"/>
  <c r="AB12" i="10"/>
  <c r="N8" i="1" s="1"/>
  <c r="F72" i="10"/>
  <c r="AB13" i="10"/>
  <c r="N9" i="1" s="1"/>
  <c r="AC58" i="10"/>
  <c r="AC8" i="10"/>
  <c r="AD53" i="10"/>
  <c r="AC54" i="10"/>
  <c r="AB9" i="10"/>
  <c r="AB18" i="10"/>
  <c r="N14" i="1" s="1"/>
  <c r="AB10" i="10"/>
  <c r="N6" i="1" s="1"/>
  <c r="AC55" i="10"/>
  <c r="I72" i="10"/>
  <c r="G72" i="10" s="1"/>
  <c r="H71" i="10" s="1"/>
  <c r="AB19" i="10"/>
  <c r="N15" i="1" s="1"/>
  <c r="F32" i="1"/>
  <c r="F31" i="1" s="1"/>
  <c r="O4" i="1" l="1"/>
  <c r="O20" i="1" s="1"/>
  <c r="N5" i="1"/>
  <c r="N23" i="1" s="1"/>
  <c r="AD54" i="10"/>
  <c r="AC9" i="10"/>
  <c r="AD66" i="10"/>
  <c r="AC21" i="10"/>
  <c r="AD55" i="10"/>
  <c r="AC10" i="10"/>
  <c r="O6" i="1" s="1"/>
  <c r="AC13" i="10"/>
  <c r="O9" i="1" s="1"/>
  <c r="AD58" i="10"/>
  <c r="C75" i="10"/>
  <c r="D74" i="10"/>
  <c r="E74" i="10" s="1"/>
  <c r="AC16" i="10"/>
  <c r="O12" i="1" s="1"/>
  <c r="AC20" i="10"/>
  <c r="AD65" i="10"/>
  <c r="F73" i="10"/>
  <c r="AC19" i="10"/>
  <c r="O15" i="1" s="1"/>
  <c r="AD8" i="10"/>
  <c r="AE53" i="10"/>
  <c r="AC14" i="10"/>
  <c r="O10" i="1" s="1"/>
  <c r="AD59" i="10"/>
  <c r="AC17" i="10"/>
  <c r="O13" i="1" s="1"/>
  <c r="AC15" i="10"/>
  <c r="O11" i="1" s="1"/>
  <c r="AD60" i="10"/>
  <c r="AC11" i="10"/>
  <c r="O7" i="1" s="1"/>
  <c r="AD56" i="10"/>
  <c r="AC12" i="10"/>
  <c r="O8" i="1" s="1"/>
  <c r="AD57" i="10"/>
  <c r="I73" i="10"/>
  <c r="G73" i="10" s="1"/>
  <c r="H72" i="10" s="1"/>
  <c r="AC18" i="10"/>
  <c r="O14" i="1" s="1"/>
  <c r="AC22" i="10"/>
  <c r="AD67" i="10"/>
  <c r="G32" i="1"/>
  <c r="G31" i="1" s="1"/>
  <c r="F35" i="1"/>
  <c r="F34" i="1" s="1"/>
  <c r="P4" i="1" l="1"/>
  <c r="P20" i="1" s="1"/>
  <c r="O5" i="1"/>
  <c r="O23" i="1" s="1"/>
  <c r="AD15" i="10"/>
  <c r="P11" i="1" s="1"/>
  <c r="AE60" i="10"/>
  <c r="AD20" i="10"/>
  <c r="AE65" i="10"/>
  <c r="AD18" i="10"/>
  <c r="P14" i="1" s="1"/>
  <c r="AE56" i="10"/>
  <c r="AD11" i="10"/>
  <c r="P7" i="1" s="1"/>
  <c r="AF53" i="10"/>
  <c r="AE8" i="10"/>
  <c r="AD16" i="10"/>
  <c r="P12" i="1" s="1"/>
  <c r="AD13" i="10"/>
  <c r="P9" i="1" s="1"/>
  <c r="AE58" i="10"/>
  <c r="AD14" i="10"/>
  <c r="P10" i="1" s="1"/>
  <c r="AE59" i="10"/>
  <c r="AD22" i="10"/>
  <c r="AE67" i="10"/>
  <c r="I74" i="10"/>
  <c r="G74" i="10" s="1"/>
  <c r="H73" i="10" s="1"/>
  <c r="AD17" i="10"/>
  <c r="P13" i="1" s="1"/>
  <c r="AD21" i="10"/>
  <c r="AE66" i="10"/>
  <c r="AD12" i="10"/>
  <c r="P8" i="1" s="1"/>
  <c r="AE57" i="10"/>
  <c r="F74" i="10"/>
  <c r="AD19" i="10"/>
  <c r="P15" i="1" s="1"/>
  <c r="C76" i="10"/>
  <c r="D75" i="10"/>
  <c r="E75" i="10" s="1"/>
  <c r="AE55" i="10"/>
  <c r="AD10" i="10"/>
  <c r="P6" i="1" s="1"/>
  <c r="AD9" i="10"/>
  <c r="AE54" i="10"/>
  <c r="G35" i="1"/>
  <c r="G34" i="1" s="1"/>
  <c r="H32" i="1"/>
  <c r="H31" i="1" s="1"/>
  <c r="G29" i="1"/>
  <c r="G28" i="1" s="1"/>
  <c r="P5" i="1" l="1"/>
  <c r="P23" i="1" s="1"/>
  <c r="Q4" i="1"/>
  <c r="Q20" i="1" s="1"/>
  <c r="AE10" i="10"/>
  <c r="Q6" i="1" s="1"/>
  <c r="AF55" i="10"/>
  <c r="AE17" i="10"/>
  <c r="Q13" i="1" s="1"/>
  <c r="AE14" i="10"/>
  <c r="Q10" i="1" s="1"/>
  <c r="AF59" i="10"/>
  <c r="AE16" i="10"/>
  <c r="Q12" i="1" s="1"/>
  <c r="AE20" i="10"/>
  <c r="AF65" i="10"/>
  <c r="F75" i="10"/>
  <c r="AE21" i="10"/>
  <c r="AF66" i="10"/>
  <c r="I75" i="10"/>
  <c r="G75" i="10" s="1"/>
  <c r="H74" i="10" s="1"/>
  <c r="AF56" i="10"/>
  <c r="AE11" i="10"/>
  <c r="Q7" i="1" s="1"/>
  <c r="D76" i="10"/>
  <c r="E76" i="10" s="1"/>
  <c r="C77" i="10"/>
  <c r="AE22" i="10"/>
  <c r="AF67" i="10"/>
  <c r="AE13" i="10"/>
  <c r="Q9" i="1" s="1"/>
  <c r="AF58" i="10"/>
  <c r="AE18" i="10"/>
  <c r="Q14" i="1" s="1"/>
  <c r="AE15" i="10"/>
  <c r="Q11" i="1" s="1"/>
  <c r="AF60" i="10"/>
  <c r="AE9" i="10"/>
  <c r="AF54" i="10"/>
  <c r="AE19" i="10"/>
  <c r="Q15" i="1" s="1"/>
  <c r="AF57" i="10"/>
  <c r="AE12" i="10"/>
  <c r="Q8" i="1" s="1"/>
  <c r="AG53" i="10"/>
  <c r="AF8" i="10"/>
  <c r="I32" i="1"/>
  <c r="I31" i="1" s="1"/>
  <c r="H35" i="1"/>
  <c r="H34" i="1" s="1"/>
  <c r="H29" i="1"/>
  <c r="H28" i="1" s="1"/>
  <c r="Q5" i="1" l="1"/>
  <c r="Q23" i="1" s="1"/>
  <c r="R4" i="1"/>
  <c r="R20" i="1" s="1"/>
  <c r="AG57" i="10"/>
  <c r="AF12" i="10"/>
  <c r="R8" i="1" s="1"/>
  <c r="AF11" i="10"/>
  <c r="R7" i="1" s="1"/>
  <c r="AG56" i="10"/>
  <c r="AF16" i="10"/>
  <c r="R12" i="1" s="1"/>
  <c r="AF17" i="10"/>
  <c r="R13" i="1" s="1"/>
  <c r="AF19" i="10"/>
  <c r="R15" i="1" s="1"/>
  <c r="AF15" i="10"/>
  <c r="R11" i="1" s="1"/>
  <c r="AG60" i="10"/>
  <c r="AF13" i="10"/>
  <c r="R9" i="1" s="1"/>
  <c r="AG58" i="10"/>
  <c r="D77" i="10"/>
  <c r="E77" i="10" s="1"/>
  <c r="C78" i="10"/>
  <c r="I76" i="10"/>
  <c r="G76" i="10" s="1"/>
  <c r="H75" i="10" s="1"/>
  <c r="F76" i="10"/>
  <c r="AF21" i="10"/>
  <c r="AG66" i="10"/>
  <c r="AF20" i="10"/>
  <c r="AG65" i="10"/>
  <c r="AF14" i="10"/>
  <c r="R10" i="1" s="1"/>
  <c r="AG59" i="10"/>
  <c r="AF10" i="10"/>
  <c r="R6" i="1" s="1"/>
  <c r="AG55" i="10"/>
  <c r="AG8" i="10"/>
  <c r="AH53" i="10"/>
  <c r="AG54" i="10"/>
  <c r="AF9" i="10"/>
  <c r="AF18" i="10"/>
  <c r="R14" i="1" s="1"/>
  <c r="AF22" i="10"/>
  <c r="AG67" i="10"/>
  <c r="I29" i="1"/>
  <c r="I28" i="1" s="1"/>
  <c r="J32" i="1"/>
  <c r="J31" i="1" s="1"/>
  <c r="I35" i="1"/>
  <c r="I34" i="1" s="1"/>
  <c r="I26" i="1"/>
  <c r="I25" i="1" s="1"/>
  <c r="R5" i="1" l="1"/>
  <c r="R23" i="1" s="1"/>
  <c r="S4" i="1"/>
  <c r="S20" i="1" s="1"/>
  <c r="AG22" i="10"/>
  <c r="AH67" i="10"/>
  <c r="AG20" i="10"/>
  <c r="AH65" i="10"/>
  <c r="C79" i="10"/>
  <c r="D78" i="10"/>
  <c r="E78" i="10" s="1"/>
  <c r="AH60" i="10"/>
  <c r="AG15" i="10"/>
  <c r="S11" i="1" s="1"/>
  <c r="AG17" i="10"/>
  <c r="S13" i="1" s="1"/>
  <c r="AG11" i="10"/>
  <c r="S7" i="1" s="1"/>
  <c r="AH56" i="10"/>
  <c r="F77" i="10"/>
  <c r="AH54" i="10"/>
  <c r="AG9" i="10"/>
  <c r="AG13" i="10"/>
  <c r="S9" i="1" s="1"/>
  <c r="AH58" i="10"/>
  <c r="AG19" i="10"/>
  <c r="S15" i="1" s="1"/>
  <c r="AH55" i="10"/>
  <c r="AG10" i="10"/>
  <c r="S6" i="1" s="1"/>
  <c r="AG18" i="10"/>
  <c r="S14" i="1" s="1"/>
  <c r="AH8" i="10"/>
  <c r="AI53" i="10"/>
  <c r="AH59" i="10"/>
  <c r="AG14" i="10"/>
  <c r="S10" i="1" s="1"/>
  <c r="AG21" i="10"/>
  <c r="AH66" i="10"/>
  <c r="I77" i="10"/>
  <c r="G77" i="10" s="1"/>
  <c r="H76" i="10" s="1"/>
  <c r="AG16" i="10"/>
  <c r="S12" i="1" s="1"/>
  <c r="AG12" i="10"/>
  <c r="S8" i="1" s="1"/>
  <c r="AH57" i="10"/>
  <c r="J29" i="1"/>
  <c r="J28" i="1" s="1"/>
  <c r="K32" i="1"/>
  <c r="K31" i="1" s="1"/>
  <c r="J35" i="1"/>
  <c r="J34" i="1" s="1"/>
  <c r="S5" i="1" l="1"/>
  <c r="S23" i="1" s="1"/>
  <c r="T4" i="1"/>
  <c r="T20" i="1" s="1"/>
  <c r="AH21" i="10"/>
  <c r="AI66" i="10"/>
  <c r="AH17" i="10"/>
  <c r="T13" i="1" s="1"/>
  <c r="AH16" i="10"/>
  <c r="T12" i="1" s="1"/>
  <c r="AH18" i="10"/>
  <c r="T14" i="1" s="1"/>
  <c r="AH19" i="10"/>
  <c r="T15" i="1" s="1"/>
  <c r="AI56" i="10"/>
  <c r="AH11" i="10"/>
  <c r="T7" i="1" s="1"/>
  <c r="AI65" i="10"/>
  <c r="AH20" i="10"/>
  <c r="AH12" i="10"/>
  <c r="T8" i="1" s="1"/>
  <c r="AI57" i="10"/>
  <c r="I78" i="10"/>
  <c r="AI59" i="10"/>
  <c r="AH14" i="10"/>
  <c r="T10" i="1" s="1"/>
  <c r="AH9" i="10"/>
  <c r="AI54" i="10"/>
  <c r="AI60" i="10"/>
  <c r="AH15" i="10"/>
  <c r="T11" i="1" s="1"/>
  <c r="F78" i="10"/>
  <c r="G78" i="10"/>
  <c r="H77" i="10" s="1"/>
  <c r="AH22" i="10"/>
  <c r="AI67" i="10"/>
  <c r="AJ53" i="10"/>
  <c r="AI8" i="10"/>
  <c r="AI58" i="10"/>
  <c r="AH13" i="10"/>
  <c r="T9" i="1" s="1"/>
  <c r="AI55" i="10"/>
  <c r="AH10" i="10"/>
  <c r="T6" i="1" s="1"/>
  <c r="C80" i="10"/>
  <c r="D79" i="10"/>
  <c r="E79" i="10" s="1"/>
  <c r="K29" i="1"/>
  <c r="K28" i="1" s="1"/>
  <c r="K35" i="1"/>
  <c r="K34" i="1" s="1"/>
  <c r="L32" i="1"/>
  <c r="L31" i="1" s="1"/>
  <c r="T5" i="1" l="1"/>
  <c r="T23" i="1" s="1"/>
  <c r="U4" i="1"/>
  <c r="U20" i="1" s="1"/>
  <c r="AI10" i="10"/>
  <c r="U6" i="1" s="1"/>
  <c r="AJ55" i="10"/>
  <c r="AK53" i="10"/>
  <c r="AJ8" i="10"/>
  <c r="AJ57" i="10"/>
  <c r="AI12" i="10"/>
  <c r="U8" i="1" s="1"/>
  <c r="AI18" i="10"/>
  <c r="U14" i="1" s="1"/>
  <c r="AI17" i="10"/>
  <c r="U13" i="1" s="1"/>
  <c r="F79" i="10"/>
  <c r="AJ67" i="10"/>
  <c r="AI22" i="10"/>
  <c r="AJ56" i="10"/>
  <c r="AI11" i="10"/>
  <c r="U7" i="1" s="1"/>
  <c r="D80" i="10"/>
  <c r="E80" i="10" s="1"/>
  <c r="C81" i="10"/>
  <c r="AJ58" i="10"/>
  <c r="AI13" i="10"/>
  <c r="U9" i="1" s="1"/>
  <c r="AI15" i="10"/>
  <c r="U11" i="1" s="1"/>
  <c r="AJ60" i="10"/>
  <c r="AI14" i="10"/>
  <c r="U10" i="1" s="1"/>
  <c r="AJ59" i="10"/>
  <c r="AI19" i="10"/>
  <c r="U15" i="1" s="1"/>
  <c r="AI16" i="10"/>
  <c r="U12" i="1" s="1"/>
  <c r="AI21" i="10"/>
  <c r="AJ66" i="10"/>
  <c r="AI9" i="10"/>
  <c r="AJ54" i="10"/>
  <c r="I79" i="10"/>
  <c r="G79" i="10" s="1"/>
  <c r="H78" i="10" s="1"/>
  <c r="AJ65" i="10"/>
  <c r="AI20" i="10"/>
  <c r="L29" i="1"/>
  <c r="L28" i="1" s="1"/>
  <c r="L26" i="1"/>
  <c r="L25" i="1" s="1"/>
  <c r="L35" i="1"/>
  <c r="L34" i="1" s="1"/>
  <c r="M32" i="1"/>
  <c r="M31" i="1" s="1"/>
  <c r="V4" i="1" l="1"/>
  <c r="V20" i="1" s="1"/>
  <c r="U5" i="1"/>
  <c r="U23" i="1" s="1"/>
  <c r="AJ19" i="10"/>
  <c r="V15" i="1" s="1"/>
  <c r="AK54" i="10"/>
  <c r="AJ9" i="10"/>
  <c r="AJ16" i="10"/>
  <c r="V12" i="1" s="1"/>
  <c r="AJ14" i="10"/>
  <c r="V10" i="1" s="1"/>
  <c r="AK59" i="10"/>
  <c r="AJ18" i="10"/>
  <c r="V14" i="1" s="1"/>
  <c r="AJ13" i="10"/>
  <c r="V9" i="1" s="1"/>
  <c r="AK58" i="10"/>
  <c r="AJ11" i="10"/>
  <c r="V7" i="1" s="1"/>
  <c r="AK56" i="10"/>
  <c r="AK8" i="10"/>
  <c r="AL53" i="10"/>
  <c r="I80" i="10"/>
  <c r="AJ20" i="10"/>
  <c r="AK65" i="10"/>
  <c r="AK66" i="10"/>
  <c r="AJ21" i="10"/>
  <c r="AJ15" i="10"/>
  <c r="V11" i="1" s="1"/>
  <c r="AK60" i="10"/>
  <c r="D81" i="10"/>
  <c r="E81" i="10" s="1"/>
  <c r="C82" i="10"/>
  <c r="AJ17" i="10"/>
  <c r="V13" i="1" s="1"/>
  <c r="AJ10" i="10"/>
  <c r="V6" i="1" s="1"/>
  <c r="AK55" i="10"/>
  <c r="G80" i="10"/>
  <c r="H79" i="10" s="1"/>
  <c r="F80" i="10"/>
  <c r="AK67" i="10"/>
  <c r="AJ22" i="10"/>
  <c r="AK57" i="10"/>
  <c r="AJ12" i="10"/>
  <c r="V8" i="1" s="1"/>
  <c r="N32" i="1"/>
  <c r="N31" i="1" s="1"/>
  <c r="M29" i="1"/>
  <c r="M28" i="1" s="1"/>
  <c r="M35" i="1"/>
  <c r="M34" i="1" s="1"/>
  <c r="V5" i="1" l="1"/>
  <c r="V23" i="1" s="1"/>
  <c r="W4" i="1"/>
  <c r="W20" i="1" s="1"/>
  <c r="F81" i="10"/>
  <c r="AL66" i="10"/>
  <c r="AK21" i="10"/>
  <c r="AL8" i="10"/>
  <c r="AM53" i="10"/>
  <c r="AK13" i="10"/>
  <c r="W9" i="1" s="1"/>
  <c r="AL58" i="10"/>
  <c r="AK14" i="10"/>
  <c r="W10" i="1" s="1"/>
  <c r="AL59" i="10"/>
  <c r="AK17" i="10"/>
  <c r="W13" i="1" s="1"/>
  <c r="AK15" i="10"/>
  <c r="W11" i="1" s="1"/>
  <c r="AL60" i="10"/>
  <c r="AK20" i="10"/>
  <c r="AL65" i="10"/>
  <c r="AL54" i="10"/>
  <c r="AK9" i="10"/>
  <c r="AK12" i="10"/>
  <c r="W8" i="1" s="1"/>
  <c r="AL57" i="10"/>
  <c r="AK11" i="10"/>
  <c r="W7" i="1" s="1"/>
  <c r="AL56" i="10"/>
  <c r="AK16" i="10"/>
  <c r="W12" i="1" s="1"/>
  <c r="AK22" i="10"/>
  <c r="AL67" i="10"/>
  <c r="AL55" i="10"/>
  <c r="AK10" i="10"/>
  <c r="W6" i="1" s="1"/>
  <c r="C83" i="10"/>
  <c r="D82" i="10"/>
  <c r="E82" i="10" s="1"/>
  <c r="I81" i="10"/>
  <c r="G81" i="10" s="1"/>
  <c r="H80" i="10" s="1"/>
  <c r="AK18" i="10"/>
  <c r="W14" i="1" s="1"/>
  <c r="AK19" i="10"/>
  <c r="W15" i="1" s="1"/>
  <c r="N29" i="1"/>
  <c r="N28" i="1" s="1"/>
  <c r="O32" i="1"/>
  <c r="O31" i="1" s="1"/>
  <c r="N35" i="1"/>
  <c r="N34" i="1" s="1"/>
  <c r="X4" i="1" l="1"/>
  <c r="X20" i="1" s="1"/>
  <c r="W5" i="1"/>
  <c r="W23" i="1" s="1"/>
  <c r="AL18" i="10"/>
  <c r="X14" i="1" s="1"/>
  <c r="AL16" i="10"/>
  <c r="X12" i="1" s="1"/>
  <c r="AL12" i="10"/>
  <c r="X8" i="1" s="1"/>
  <c r="AM57" i="10"/>
  <c r="AL20" i="10"/>
  <c r="AM65" i="10"/>
  <c r="AL13" i="10"/>
  <c r="X9" i="1" s="1"/>
  <c r="AM58" i="10"/>
  <c r="AL19" i="10"/>
  <c r="X15" i="1" s="1"/>
  <c r="I82" i="10"/>
  <c r="AM55" i="10"/>
  <c r="AL10" i="10"/>
  <c r="X6" i="1" s="1"/>
  <c r="AL17" i="10"/>
  <c r="X13" i="1" s="1"/>
  <c r="AL21" i="10"/>
  <c r="AM66" i="10"/>
  <c r="F82" i="10"/>
  <c r="G82" i="10"/>
  <c r="H81" i="10" s="1"/>
  <c r="AL22" i="10"/>
  <c r="AM67" i="10"/>
  <c r="AM56" i="10"/>
  <c r="AL11" i="10"/>
  <c r="X7" i="1" s="1"/>
  <c r="AL15" i="10"/>
  <c r="X11" i="1" s="1"/>
  <c r="AM60" i="10"/>
  <c r="AL14" i="10"/>
  <c r="X10" i="1" s="1"/>
  <c r="AM59" i="10"/>
  <c r="AN53" i="10"/>
  <c r="AM8" i="10"/>
  <c r="C84" i="10"/>
  <c r="D83" i="10"/>
  <c r="E83" i="10" s="1"/>
  <c r="AL9" i="10"/>
  <c r="AM54" i="10"/>
  <c r="O35" i="1"/>
  <c r="O34" i="1" s="1"/>
  <c r="O29" i="1"/>
  <c r="O28" i="1" s="1"/>
  <c r="P32" i="1"/>
  <c r="P31" i="1" s="1"/>
  <c r="Y4" i="1" l="1"/>
  <c r="Y20" i="1" s="1"/>
  <c r="X5" i="1"/>
  <c r="X23" i="1" s="1"/>
  <c r="D84" i="10"/>
  <c r="E84" i="10" s="1"/>
  <c r="C85" i="10"/>
  <c r="AN56" i="10"/>
  <c r="AM11" i="10"/>
  <c r="Y7" i="1" s="1"/>
  <c r="AM17" i="10"/>
  <c r="Y13" i="1" s="1"/>
  <c r="AM19" i="10"/>
  <c r="Y15" i="1" s="1"/>
  <c r="AM20" i="10"/>
  <c r="AN65" i="10"/>
  <c r="AM16" i="10"/>
  <c r="Y12" i="1" s="1"/>
  <c r="AM9" i="10"/>
  <c r="AN54" i="10"/>
  <c r="AM15" i="10"/>
  <c r="Y11" i="1" s="1"/>
  <c r="AN60" i="10"/>
  <c r="AM22" i="10"/>
  <c r="AN67" i="10"/>
  <c r="AM21" i="10"/>
  <c r="AN66" i="10"/>
  <c r="AO53" i="10"/>
  <c r="AN8" i="10"/>
  <c r="AM10" i="10"/>
  <c r="Y6" i="1" s="1"/>
  <c r="AN55" i="10"/>
  <c r="AM13" i="10"/>
  <c r="Y9" i="1" s="1"/>
  <c r="AN58" i="10"/>
  <c r="AN57" i="10"/>
  <c r="AM12" i="10"/>
  <c r="Y8" i="1" s="1"/>
  <c r="AM18" i="10"/>
  <c r="Y14" i="1" s="1"/>
  <c r="G83" i="10"/>
  <c r="H82" i="10" s="1"/>
  <c r="F83" i="10"/>
  <c r="AM14" i="10"/>
  <c r="Y10" i="1" s="1"/>
  <c r="AN59" i="10"/>
  <c r="I83" i="10"/>
  <c r="P35" i="1"/>
  <c r="P34" i="1" s="1"/>
  <c r="P29" i="1"/>
  <c r="P28" i="1" s="1"/>
  <c r="Q32" i="1"/>
  <c r="Q31" i="1" s="1"/>
  <c r="Z4" i="1" l="1"/>
  <c r="Z20" i="1" s="1"/>
  <c r="Y5" i="1"/>
  <c r="Y23" i="1" s="1"/>
  <c r="I84" i="10"/>
  <c r="AO8" i="10"/>
  <c r="AP53" i="10"/>
  <c r="AN10" i="10"/>
  <c r="Z6" i="1" s="1"/>
  <c r="AO55" i="10"/>
  <c r="AN21" i="10"/>
  <c r="AO66" i="10"/>
  <c r="AN15" i="10"/>
  <c r="Z11" i="1" s="1"/>
  <c r="AO60" i="10"/>
  <c r="AN16" i="10"/>
  <c r="Z12" i="1" s="1"/>
  <c r="AN19" i="10"/>
  <c r="Z15" i="1" s="1"/>
  <c r="AO57" i="10"/>
  <c r="AN12" i="10"/>
  <c r="Z8" i="1" s="1"/>
  <c r="AN11" i="10"/>
  <c r="Z7" i="1" s="1"/>
  <c r="AO56" i="10"/>
  <c r="AN14" i="10"/>
  <c r="Z10" i="1" s="1"/>
  <c r="AO59" i="10"/>
  <c r="AN18" i="10"/>
  <c r="Z14" i="1" s="1"/>
  <c r="AN13" i="10"/>
  <c r="Z9" i="1" s="1"/>
  <c r="AO58" i="10"/>
  <c r="AN22" i="10"/>
  <c r="AO67" i="10"/>
  <c r="AO54" i="10"/>
  <c r="AN9" i="10"/>
  <c r="AN20" i="10"/>
  <c r="AO65" i="10"/>
  <c r="AN17" i="10"/>
  <c r="Z13" i="1" s="1"/>
  <c r="D85" i="10"/>
  <c r="E85" i="10" s="1"/>
  <c r="C86" i="10"/>
  <c r="G84" i="10"/>
  <c r="H83" i="10" s="1"/>
  <c r="F84" i="10"/>
  <c r="R32" i="1"/>
  <c r="R31" i="1" s="1"/>
  <c r="Q35" i="1"/>
  <c r="Q34" i="1" s="1"/>
  <c r="Q29" i="1"/>
  <c r="Q28" i="1" s="1"/>
  <c r="Z5" i="1" l="1"/>
  <c r="Z23" i="1" s="1"/>
  <c r="AA4" i="1"/>
  <c r="AA20" i="1" s="1"/>
  <c r="G85" i="10"/>
  <c r="H84" i="10" s="1"/>
  <c r="F85" i="10"/>
  <c r="AO19" i="10"/>
  <c r="AA15" i="1" s="1"/>
  <c r="AP60" i="10"/>
  <c r="AO15" i="10"/>
  <c r="AA11" i="1" s="1"/>
  <c r="AP55" i="10"/>
  <c r="AO10" i="10"/>
  <c r="AA6" i="1" s="1"/>
  <c r="AO17" i="10"/>
  <c r="AA13" i="1" s="1"/>
  <c r="AO13" i="10"/>
  <c r="AA9" i="1" s="1"/>
  <c r="AP58" i="10"/>
  <c r="AP59" i="10"/>
  <c r="AO14" i="10"/>
  <c r="AA10" i="1" s="1"/>
  <c r="AP54" i="10"/>
  <c r="AO9" i="10"/>
  <c r="AO12" i="10"/>
  <c r="AA8" i="1" s="1"/>
  <c r="AP57" i="10"/>
  <c r="AO21" i="10"/>
  <c r="AP66" i="10"/>
  <c r="AP8" i="10"/>
  <c r="AQ53" i="10"/>
  <c r="C87" i="10"/>
  <c r="D86" i="10"/>
  <c r="E86" i="10" s="1"/>
  <c r="AO20" i="10"/>
  <c r="AP65" i="10"/>
  <c r="AO22" i="10"/>
  <c r="AP67" i="10"/>
  <c r="AO18" i="10"/>
  <c r="AA14" i="1" s="1"/>
  <c r="AO11" i="10"/>
  <c r="AA7" i="1" s="1"/>
  <c r="AP56" i="10"/>
  <c r="I85" i="10"/>
  <c r="AO16" i="10"/>
  <c r="AA12" i="1" s="1"/>
  <c r="R29" i="1"/>
  <c r="R28" i="1" s="1"/>
  <c r="S32" i="1"/>
  <c r="S31" i="1" s="1"/>
  <c r="R26" i="1"/>
  <c r="R25" i="1" s="1"/>
  <c r="R35" i="1"/>
  <c r="R34" i="1" s="1"/>
  <c r="AB4" i="1" l="1"/>
  <c r="AB20" i="1" s="1"/>
  <c r="AA5" i="1"/>
  <c r="AA23" i="1" s="1"/>
  <c r="F86" i="10"/>
  <c r="G86" i="10"/>
  <c r="H85" i="10" s="1"/>
  <c r="AP21" i="10"/>
  <c r="AQ66" i="10"/>
  <c r="AQ58" i="10"/>
  <c r="AP13" i="10"/>
  <c r="AB9" i="1" s="1"/>
  <c r="AP19" i="10"/>
  <c r="AB15" i="1" s="1"/>
  <c r="AQ56" i="10"/>
  <c r="AP11" i="10"/>
  <c r="AB7" i="1" s="1"/>
  <c r="C88" i="10"/>
  <c r="D87" i="10"/>
  <c r="E87" i="10" s="1"/>
  <c r="AP9" i="10"/>
  <c r="AQ54" i="10"/>
  <c r="AQ55" i="10"/>
  <c r="AP10" i="10"/>
  <c r="AB6" i="1" s="1"/>
  <c r="AP22" i="10"/>
  <c r="AQ67" i="10"/>
  <c r="AP16" i="10"/>
  <c r="AB12" i="1" s="1"/>
  <c r="AP18" i="10"/>
  <c r="AB14" i="1" s="1"/>
  <c r="AQ65" i="10"/>
  <c r="AP20" i="10"/>
  <c r="AR53" i="10"/>
  <c r="AQ8" i="10"/>
  <c r="AP12" i="10"/>
  <c r="AB8" i="1" s="1"/>
  <c r="AQ57" i="10"/>
  <c r="AP17" i="10"/>
  <c r="AB13" i="1" s="1"/>
  <c r="I86" i="10"/>
  <c r="AQ59" i="10"/>
  <c r="AP14" i="10"/>
  <c r="AB10" i="1" s="1"/>
  <c r="AQ60" i="10"/>
  <c r="AP15" i="10"/>
  <c r="AB11" i="1" s="1"/>
  <c r="S29" i="1"/>
  <c r="S28" i="1" s="1"/>
  <c r="T32" i="1"/>
  <c r="T31" i="1" s="1"/>
  <c r="S35" i="1"/>
  <c r="S34" i="1" s="1"/>
  <c r="AC4" i="1" l="1"/>
  <c r="AC20" i="1" s="1"/>
  <c r="AB5" i="1"/>
  <c r="AB23" i="1" s="1"/>
  <c r="G87" i="10"/>
  <c r="H86" i="10" s="1"/>
  <c r="F87" i="10"/>
  <c r="AQ19" i="10"/>
  <c r="AC15" i="1" s="1"/>
  <c r="AQ21" i="10"/>
  <c r="AR66" i="10"/>
  <c r="AR57" i="10"/>
  <c r="AQ12" i="10"/>
  <c r="AC8" i="1" s="1"/>
  <c r="AQ16" i="10"/>
  <c r="AC12" i="1" s="1"/>
  <c r="I87" i="10"/>
  <c r="AR65" i="10"/>
  <c r="AQ20" i="10"/>
  <c r="AQ10" i="10"/>
  <c r="AC6" i="1" s="1"/>
  <c r="AR55" i="10"/>
  <c r="D88" i="10"/>
  <c r="E88" i="10" s="1"/>
  <c r="C89" i="10"/>
  <c r="AQ14" i="10"/>
  <c r="AC10" i="1" s="1"/>
  <c r="AR59" i="10"/>
  <c r="AQ15" i="10"/>
  <c r="AC11" i="1" s="1"/>
  <c r="AR60" i="10"/>
  <c r="AQ17" i="10"/>
  <c r="AC13" i="1" s="1"/>
  <c r="AQ18" i="10"/>
  <c r="AC14" i="1" s="1"/>
  <c r="AR67" i="10"/>
  <c r="AQ22" i="10"/>
  <c r="AQ9" i="10"/>
  <c r="AR54" i="10"/>
  <c r="AS53" i="10"/>
  <c r="AR8" i="10"/>
  <c r="AR56" i="10"/>
  <c r="AQ11" i="10"/>
  <c r="AC7" i="1" s="1"/>
  <c r="AR58" i="10"/>
  <c r="AQ13" i="10"/>
  <c r="AC9" i="1" s="1"/>
  <c r="T35" i="1"/>
  <c r="T34" i="1" s="1"/>
  <c r="T29" i="1"/>
  <c r="T28" i="1" s="1"/>
  <c r="U32" i="1"/>
  <c r="U31" i="1" s="1"/>
  <c r="AC5" i="1" l="1"/>
  <c r="AC23" i="1" s="1"/>
  <c r="AD4" i="1"/>
  <c r="AD20" i="1" s="1"/>
  <c r="G88" i="10"/>
  <c r="H87" i="10" s="1"/>
  <c r="F88" i="10"/>
  <c r="AR20" i="10"/>
  <c r="AS65" i="10"/>
  <c r="AR11" i="10"/>
  <c r="AD7" i="1" s="1"/>
  <c r="AS56" i="10"/>
  <c r="AR17" i="10"/>
  <c r="AD13" i="1" s="1"/>
  <c r="AR14" i="10"/>
  <c r="AD10" i="1" s="1"/>
  <c r="AS59" i="10"/>
  <c r="AR10" i="10"/>
  <c r="AD6" i="1" s="1"/>
  <c r="AS55" i="10"/>
  <c r="I88" i="10"/>
  <c r="AS57" i="10"/>
  <c r="AR12" i="10"/>
  <c r="AD8" i="1" s="1"/>
  <c r="AR19" i="10"/>
  <c r="AD15" i="1" s="1"/>
  <c r="AR13" i="10"/>
  <c r="AD9" i="1" s="1"/>
  <c r="AS58" i="10"/>
  <c r="AS8" i="10"/>
  <c r="AT53" i="10"/>
  <c r="AS67" i="10"/>
  <c r="AR22" i="10"/>
  <c r="AR16" i="10"/>
  <c r="AD12" i="1" s="1"/>
  <c r="AS66" i="10"/>
  <c r="AR21" i="10"/>
  <c r="AS54" i="10"/>
  <c r="AR9" i="10"/>
  <c r="AR18" i="10"/>
  <c r="AD14" i="1" s="1"/>
  <c r="AR15" i="10"/>
  <c r="AD11" i="1" s="1"/>
  <c r="AS60" i="10"/>
  <c r="D89" i="10"/>
  <c r="E89" i="10" s="1"/>
  <c r="C90" i="10"/>
  <c r="V32" i="1"/>
  <c r="V31" i="1" s="1"/>
  <c r="U26" i="1"/>
  <c r="U25" i="1" s="1"/>
  <c r="U35" i="1"/>
  <c r="U34" i="1" s="1"/>
  <c r="U29" i="1"/>
  <c r="U28" i="1" s="1"/>
  <c r="AD5" i="1" l="1"/>
  <c r="AD23" i="1" s="1"/>
  <c r="AE4" i="1"/>
  <c r="AE20" i="1" s="1"/>
  <c r="AT54" i="10"/>
  <c r="AS9" i="10"/>
  <c r="AS19" i="10"/>
  <c r="AE15" i="1" s="1"/>
  <c r="AT55" i="10"/>
  <c r="AS10" i="10"/>
  <c r="AE6" i="1" s="1"/>
  <c r="AS17" i="10"/>
  <c r="AE13" i="1" s="1"/>
  <c r="AS20" i="10"/>
  <c r="AT65" i="10"/>
  <c r="C91" i="10"/>
  <c r="D90" i="10"/>
  <c r="E90" i="10" s="1"/>
  <c r="AS13" i="10"/>
  <c r="AE9" i="1" s="1"/>
  <c r="AT58" i="10"/>
  <c r="G89" i="10"/>
  <c r="H88" i="10" s="1"/>
  <c r="F89" i="10"/>
  <c r="AS18" i="10"/>
  <c r="AE14" i="1" s="1"/>
  <c r="AT66" i="10"/>
  <c r="AS21" i="10"/>
  <c r="AS22" i="10"/>
  <c r="AT67" i="10"/>
  <c r="AS12" i="10"/>
  <c r="AE8" i="1" s="1"/>
  <c r="AT57" i="10"/>
  <c r="AS14" i="10"/>
  <c r="AE10" i="1" s="1"/>
  <c r="AT59" i="10"/>
  <c r="AS11" i="10"/>
  <c r="AE7" i="1" s="1"/>
  <c r="AT56" i="10"/>
  <c r="AS15" i="10"/>
  <c r="AE11" i="1" s="1"/>
  <c r="AT60" i="10"/>
  <c r="AS16" i="10"/>
  <c r="AE12" i="1" s="1"/>
  <c r="AT8" i="10"/>
  <c r="AU53" i="10"/>
  <c r="I89" i="10"/>
  <c r="V29" i="1"/>
  <c r="V28" i="1" s="1"/>
  <c r="W32" i="1"/>
  <c r="W31" i="1" s="1"/>
  <c r="V35" i="1"/>
  <c r="V34" i="1" s="1"/>
  <c r="AE5" i="1" l="1"/>
  <c r="AE23" i="1" s="1"/>
  <c r="AF4" i="1"/>
  <c r="AF20" i="1" s="1"/>
  <c r="F90" i="10"/>
  <c r="G90" i="10"/>
  <c r="H89" i="10" s="1"/>
  <c r="AT17" i="10"/>
  <c r="AF13" i="1" s="1"/>
  <c r="AT19" i="10"/>
  <c r="AF15" i="1" s="1"/>
  <c r="AT16" i="10"/>
  <c r="AF12" i="1" s="1"/>
  <c r="I90" i="10"/>
  <c r="AT21" i="10"/>
  <c r="AU66" i="10"/>
  <c r="C92" i="10"/>
  <c r="D91" i="10"/>
  <c r="E91" i="10" s="1"/>
  <c r="AT12" i="10"/>
  <c r="AF8" i="1" s="1"/>
  <c r="AU57" i="10"/>
  <c r="AV53" i="10"/>
  <c r="AU8" i="10"/>
  <c r="AT15" i="10"/>
  <c r="AF11" i="1" s="1"/>
  <c r="AU60" i="10"/>
  <c r="AT14" i="10"/>
  <c r="AF10" i="1" s="1"/>
  <c r="AU59" i="10"/>
  <c r="AT22" i="10"/>
  <c r="AU67" i="10"/>
  <c r="AT13" i="10"/>
  <c r="AF9" i="1" s="1"/>
  <c r="AU58" i="10"/>
  <c r="AT20" i="10"/>
  <c r="AU65" i="10"/>
  <c r="AU56" i="10"/>
  <c r="AT11" i="10"/>
  <c r="AF7" i="1" s="1"/>
  <c r="AT18" i="10"/>
  <c r="AF14" i="1" s="1"/>
  <c r="AU55" i="10"/>
  <c r="AT10" i="10"/>
  <c r="AF6" i="1" s="1"/>
  <c r="AT9" i="10"/>
  <c r="AU54" i="10"/>
  <c r="X32" i="1"/>
  <c r="X31" i="1" s="1"/>
  <c r="W35" i="1"/>
  <c r="W34" i="1" s="1"/>
  <c r="W29" i="1"/>
  <c r="W28" i="1" s="1"/>
  <c r="AF5" i="1" l="1"/>
  <c r="AF23" i="1" s="1"/>
  <c r="AG4" i="1"/>
  <c r="AG20" i="1" s="1"/>
  <c r="AU10" i="10"/>
  <c r="AG6" i="1" s="1"/>
  <c r="AV55" i="10"/>
  <c r="AV56" i="10"/>
  <c r="AU11" i="10"/>
  <c r="AG7" i="1" s="1"/>
  <c r="AW53" i="10"/>
  <c r="AV8" i="10"/>
  <c r="D92" i="10"/>
  <c r="E92" i="10" s="1"/>
  <c r="C93" i="10"/>
  <c r="AU16" i="10"/>
  <c r="AG12" i="1" s="1"/>
  <c r="AU14" i="10"/>
  <c r="AG10" i="1" s="1"/>
  <c r="AV59" i="10"/>
  <c r="AU9" i="10"/>
  <c r="AV54" i="10"/>
  <c r="AU18" i="10"/>
  <c r="AG14" i="1" s="1"/>
  <c r="AU20" i="10"/>
  <c r="AV65" i="10"/>
  <c r="AU22" i="10"/>
  <c r="AV67" i="10"/>
  <c r="AU15" i="10"/>
  <c r="AG11" i="1" s="1"/>
  <c r="AV60" i="10"/>
  <c r="AV57" i="10"/>
  <c r="AU12" i="10"/>
  <c r="AG8" i="1" s="1"/>
  <c r="AU21" i="10"/>
  <c r="AV66" i="10"/>
  <c r="AU17" i="10"/>
  <c r="AG13" i="1" s="1"/>
  <c r="AU13" i="10"/>
  <c r="AG9" i="1" s="1"/>
  <c r="AV58" i="10"/>
  <c r="AU19" i="10"/>
  <c r="AG15" i="1" s="1"/>
  <c r="G91" i="10"/>
  <c r="H90" i="10" s="1"/>
  <c r="F91" i="10"/>
  <c r="I91" i="10"/>
  <c r="Y32" i="1"/>
  <c r="Y31" i="1" s="1"/>
  <c r="X29" i="1"/>
  <c r="X28" i="1" s="1"/>
  <c r="X35" i="1"/>
  <c r="X34" i="1" s="1"/>
  <c r="AG5" i="1" l="1"/>
  <c r="AG23" i="1" s="1"/>
  <c r="AH4" i="1"/>
  <c r="AH20" i="1" s="1"/>
  <c r="I92" i="10"/>
  <c r="AW57" i="10"/>
  <c r="AV12" i="10"/>
  <c r="AH8" i="1" s="1"/>
  <c r="AV19" i="10"/>
  <c r="AH15" i="1" s="1"/>
  <c r="AV17" i="10"/>
  <c r="AH13" i="1" s="1"/>
  <c r="AV22" i="10"/>
  <c r="AW67" i="10"/>
  <c r="AV18" i="10"/>
  <c r="AH14" i="1" s="1"/>
  <c r="AV14" i="10"/>
  <c r="AH10" i="1" s="1"/>
  <c r="AW59" i="10"/>
  <c r="D93" i="10"/>
  <c r="E93" i="10" s="1"/>
  <c r="C94" i="10"/>
  <c r="G92" i="10"/>
  <c r="H91" i="10" s="1"/>
  <c r="F92" i="10"/>
  <c r="AV11" i="10"/>
  <c r="AH7" i="1" s="1"/>
  <c r="AW56" i="10"/>
  <c r="AV13" i="10"/>
  <c r="AH9" i="1" s="1"/>
  <c r="AW58" i="10"/>
  <c r="AV21" i="10"/>
  <c r="AW66" i="10"/>
  <c r="AV15" i="10"/>
  <c r="AH11" i="1" s="1"/>
  <c r="AW60" i="10"/>
  <c r="AV20" i="10"/>
  <c r="AW65" i="10"/>
  <c r="AW54" i="10"/>
  <c r="AV9" i="10"/>
  <c r="AV16" i="10"/>
  <c r="AH12" i="1" s="1"/>
  <c r="AV10" i="10"/>
  <c r="AH6" i="1" s="1"/>
  <c r="AW55" i="10"/>
  <c r="AW8" i="10"/>
  <c r="AX53" i="10"/>
  <c r="Y26" i="1"/>
  <c r="Y25" i="1" s="1"/>
  <c r="Z32" i="1"/>
  <c r="Z31" i="1" s="1"/>
  <c r="Y29" i="1"/>
  <c r="Y28" i="1" s="1"/>
  <c r="Y35" i="1"/>
  <c r="Y34" i="1" s="1"/>
  <c r="AI4" i="1" l="1"/>
  <c r="AI20" i="1" s="1"/>
  <c r="AH5" i="1"/>
  <c r="AH23" i="1" s="1"/>
  <c r="AX54" i="10"/>
  <c r="AW9" i="10"/>
  <c r="AW16" i="10"/>
  <c r="AI12" i="1" s="1"/>
  <c r="AX8" i="10"/>
  <c r="AY53" i="10"/>
  <c r="AX65" i="10"/>
  <c r="AW20" i="10"/>
  <c r="AW21" i="10"/>
  <c r="AX66" i="10"/>
  <c r="AW11" i="10"/>
  <c r="AI7" i="1" s="1"/>
  <c r="AX56" i="10"/>
  <c r="C95" i="10"/>
  <c r="D94" i="10"/>
  <c r="E94" i="10" s="1"/>
  <c r="AW18" i="10"/>
  <c r="AI14" i="1" s="1"/>
  <c r="AW17" i="10"/>
  <c r="AI13" i="1" s="1"/>
  <c r="G93" i="10"/>
  <c r="H92" i="10" s="1"/>
  <c r="F93" i="10"/>
  <c r="AW12" i="10"/>
  <c r="AI8" i="1" s="1"/>
  <c r="AX57" i="10"/>
  <c r="AX55" i="10"/>
  <c r="AW10" i="10"/>
  <c r="AI6" i="1" s="1"/>
  <c r="AX60" i="10"/>
  <c r="AW15" i="10"/>
  <c r="AI11" i="1" s="1"/>
  <c r="AW13" i="10"/>
  <c r="AI9" i="1" s="1"/>
  <c r="AX58" i="10"/>
  <c r="AX59" i="10"/>
  <c r="AW14" i="10"/>
  <c r="AI10" i="1" s="1"/>
  <c r="AW22" i="10"/>
  <c r="AX67" i="10"/>
  <c r="AW19" i="10"/>
  <c r="AI15" i="1" s="1"/>
  <c r="I93" i="10"/>
  <c r="Z35" i="1"/>
  <c r="Z34" i="1" s="1"/>
  <c r="Z26" i="1"/>
  <c r="Z25" i="1" s="1"/>
  <c r="AA32" i="1"/>
  <c r="AA31" i="1" s="1"/>
  <c r="Z29" i="1"/>
  <c r="Z28" i="1" s="1"/>
  <c r="AJ4" i="1" l="1"/>
  <c r="AJ20" i="1" s="1"/>
  <c r="AI5" i="1"/>
  <c r="AI23" i="1" s="1"/>
  <c r="AX17" i="10"/>
  <c r="AJ13" i="1" s="1"/>
  <c r="AX22" i="10"/>
  <c r="AY67" i="10"/>
  <c r="AY58" i="10"/>
  <c r="AX13" i="10"/>
  <c r="AJ9" i="1" s="1"/>
  <c r="AX18" i="10"/>
  <c r="AJ14" i="1" s="1"/>
  <c r="AY56" i="10"/>
  <c r="AX11" i="10"/>
  <c r="AJ7" i="1" s="1"/>
  <c r="AX19" i="10"/>
  <c r="AJ15" i="1" s="1"/>
  <c r="I94" i="10"/>
  <c r="AY55" i="10"/>
  <c r="AX10" i="10"/>
  <c r="AJ6" i="1" s="1"/>
  <c r="AX20" i="10"/>
  <c r="AY65" i="10"/>
  <c r="AX16" i="10"/>
  <c r="AJ12" i="1" s="1"/>
  <c r="F94" i="10"/>
  <c r="G94" i="10"/>
  <c r="H93" i="10" s="1"/>
  <c r="AX21" i="10"/>
  <c r="AY66" i="10"/>
  <c r="AZ53" i="10"/>
  <c r="AY8" i="10"/>
  <c r="AX12" i="10"/>
  <c r="AJ8" i="1" s="1"/>
  <c r="AY57" i="10"/>
  <c r="AY59" i="10"/>
  <c r="AX14" i="10"/>
  <c r="AJ10" i="1" s="1"/>
  <c r="AY60" i="10"/>
  <c r="AX15" i="10"/>
  <c r="AJ11" i="1" s="1"/>
  <c r="C96" i="10"/>
  <c r="D95" i="10"/>
  <c r="E95" i="10" s="1"/>
  <c r="AX9" i="10"/>
  <c r="AY54" i="10"/>
  <c r="AA26" i="1"/>
  <c r="AA25" i="1" s="1"/>
  <c r="AA29" i="1"/>
  <c r="AA28" i="1" s="1"/>
  <c r="AA35" i="1"/>
  <c r="AA34" i="1" s="1"/>
  <c r="AB32" i="1"/>
  <c r="AB31" i="1" s="1"/>
  <c r="AJ5" i="1" l="1"/>
  <c r="AJ23" i="1" s="1"/>
  <c r="AK4" i="1"/>
  <c r="AK20" i="1" s="1"/>
  <c r="D96" i="10"/>
  <c r="E96" i="10" s="1"/>
  <c r="C97" i="10"/>
  <c r="AY14" i="10"/>
  <c r="AK10" i="1" s="1"/>
  <c r="AZ59" i="10"/>
  <c r="BA53" i="10"/>
  <c r="AZ8" i="10"/>
  <c r="AY19" i="10"/>
  <c r="AK15" i="1" s="1"/>
  <c r="AY18" i="10"/>
  <c r="AK14" i="1" s="1"/>
  <c r="AZ67" i="10"/>
  <c r="AY22" i="10"/>
  <c r="AY9" i="10"/>
  <c r="AZ54" i="10"/>
  <c r="AZ57" i="10"/>
  <c r="AY12" i="10"/>
  <c r="AK8" i="1" s="1"/>
  <c r="AY21" i="10"/>
  <c r="AZ66" i="10"/>
  <c r="AY16" i="10"/>
  <c r="AK12" i="1" s="1"/>
  <c r="AY15" i="10"/>
  <c r="AK11" i="1" s="1"/>
  <c r="AZ60" i="10"/>
  <c r="AY10" i="10"/>
  <c r="AK6" i="1" s="1"/>
  <c r="AZ55" i="10"/>
  <c r="AY17" i="10"/>
  <c r="AK13" i="1" s="1"/>
  <c r="G95" i="10"/>
  <c r="H94" i="10" s="1"/>
  <c r="F95" i="10"/>
  <c r="AY20" i="10"/>
  <c r="AZ65" i="10"/>
  <c r="I95" i="10"/>
  <c r="AZ56" i="10"/>
  <c r="AY11" i="10"/>
  <c r="AK7" i="1" s="1"/>
  <c r="AZ58" i="10"/>
  <c r="AY13" i="10"/>
  <c r="AK9" i="1" s="1"/>
  <c r="AB26" i="1"/>
  <c r="AB25" i="1" s="1"/>
  <c r="AC32" i="1"/>
  <c r="AC31" i="1" s="1"/>
  <c r="AB35" i="1"/>
  <c r="AB34" i="1" s="1"/>
  <c r="AB29" i="1"/>
  <c r="AB28" i="1" s="1"/>
  <c r="AK5" i="1" l="1"/>
  <c r="AK23" i="1" s="1"/>
  <c r="AL4" i="1"/>
  <c r="AL20" i="1" s="1"/>
  <c r="I96" i="10"/>
  <c r="AZ11" i="10"/>
  <c r="AL7" i="1" s="1"/>
  <c r="BA56" i="10"/>
  <c r="AZ10" i="10"/>
  <c r="AL6" i="1" s="1"/>
  <c r="BA55" i="10"/>
  <c r="AZ16" i="10"/>
  <c r="AL12" i="1" s="1"/>
  <c r="AZ14" i="10"/>
  <c r="AL10" i="1" s="1"/>
  <c r="BA59" i="10"/>
  <c r="BA57" i="10"/>
  <c r="AZ12" i="10"/>
  <c r="AL8" i="1" s="1"/>
  <c r="BA67" i="10"/>
  <c r="AZ22" i="10"/>
  <c r="AZ19" i="10"/>
  <c r="AL15" i="1" s="1"/>
  <c r="AZ13" i="10"/>
  <c r="AL9" i="1" s="1"/>
  <c r="BA58" i="10"/>
  <c r="AZ20" i="10"/>
  <c r="BA65" i="10"/>
  <c r="AZ17" i="10"/>
  <c r="AL13" i="1" s="1"/>
  <c r="AZ15" i="10"/>
  <c r="AL11" i="1" s="1"/>
  <c r="BA60" i="10"/>
  <c r="BA66" i="10"/>
  <c r="AZ21" i="10"/>
  <c r="BA54" i="10"/>
  <c r="AZ9" i="10"/>
  <c r="AZ18" i="10"/>
  <c r="AL14" i="1" s="1"/>
  <c r="D97" i="10"/>
  <c r="E97" i="10" s="1"/>
  <c r="C98" i="10"/>
  <c r="BA8" i="10"/>
  <c r="BB53" i="10"/>
  <c r="G96" i="10"/>
  <c r="H95" i="10" s="1"/>
  <c r="F96" i="10"/>
  <c r="AD32" i="1"/>
  <c r="AD31" i="1" s="1"/>
  <c r="AC29" i="1"/>
  <c r="AC28" i="1" s="1"/>
  <c r="AC35" i="1"/>
  <c r="AC34" i="1" s="1"/>
  <c r="AC26" i="1"/>
  <c r="AC25" i="1" s="1"/>
  <c r="AM4" i="1" l="1"/>
  <c r="AM20" i="1" s="1"/>
  <c r="AL5" i="1"/>
  <c r="AL23" i="1" s="1"/>
  <c r="BA18" i="10"/>
  <c r="AM14" i="1" s="1"/>
  <c r="BB66" i="10"/>
  <c r="BA21" i="10"/>
  <c r="BA22" i="10"/>
  <c r="BB67" i="10"/>
  <c r="BA14" i="10"/>
  <c r="AM10" i="1" s="1"/>
  <c r="BB59" i="10"/>
  <c r="BB55" i="10"/>
  <c r="BA10" i="10"/>
  <c r="AM6" i="1" s="1"/>
  <c r="C99" i="10"/>
  <c r="D98" i="10"/>
  <c r="E98" i="10" s="1"/>
  <c r="BA15" i="10"/>
  <c r="AM11" i="1" s="1"/>
  <c r="BB60" i="10"/>
  <c r="BB65" i="10"/>
  <c r="BA20" i="10"/>
  <c r="G97" i="10"/>
  <c r="H96" i="10" s="1"/>
  <c r="F97" i="10"/>
  <c r="BB54" i="10"/>
  <c r="BA9" i="10"/>
  <c r="BA19" i="10"/>
  <c r="AM15" i="1" s="1"/>
  <c r="BA12" i="10"/>
  <c r="AM8" i="1" s="1"/>
  <c r="BB57" i="10"/>
  <c r="BA16" i="10"/>
  <c r="AM12" i="1" s="1"/>
  <c r="BA11" i="10"/>
  <c r="AM7" i="1" s="1"/>
  <c r="BB56" i="10"/>
  <c r="BB8" i="10"/>
  <c r="BC53" i="10"/>
  <c r="BA17" i="10"/>
  <c r="AM13" i="1" s="1"/>
  <c r="BA13" i="10"/>
  <c r="AM9" i="1" s="1"/>
  <c r="BB58" i="10"/>
  <c r="I97" i="10"/>
  <c r="AD26" i="1"/>
  <c r="AD25" i="1" s="1"/>
  <c r="AD29" i="1"/>
  <c r="AD28" i="1" s="1"/>
  <c r="AE32" i="1"/>
  <c r="AE31" i="1" s="1"/>
  <c r="AD35" i="1"/>
  <c r="AD34" i="1" s="1"/>
  <c r="AN4" i="1" l="1"/>
  <c r="AN20" i="1" s="1"/>
  <c r="AM5" i="1"/>
  <c r="AM23" i="1" s="1"/>
  <c r="F98" i="10"/>
  <c r="G98" i="10"/>
  <c r="H97" i="10" s="1"/>
  <c r="BB14" i="10"/>
  <c r="AN10" i="1" s="1"/>
  <c r="BC59" i="10"/>
  <c r="I98" i="10"/>
  <c r="BB17" i="10"/>
  <c r="AN13" i="1" s="1"/>
  <c r="BB9" i="10"/>
  <c r="BC54" i="10"/>
  <c r="BB20" i="10"/>
  <c r="BC65" i="10"/>
  <c r="C100" i="10"/>
  <c r="D99" i="10"/>
  <c r="E99" i="10" s="1"/>
  <c r="BB21" i="10"/>
  <c r="BC66" i="10"/>
  <c r="BB12" i="10"/>
  <c r="AN8" i="1" s="1"/>
  <c r="BC57" i="10"/>
  <c r="BB13" i="10"/>
  <c r="AN9" i="1" s="1"/>
  <c r="BC58" i="10"/>
  <c r="BD53" i="10"/>
  <c r="BC8" i="10"/>
  <c r="BB16" i="10"/>
  <c r="AN12" i="1" s="1"/>
  <c r="BB19" i="10"/>
  <c r="AN15" i="1" s="1"/>
  <c r="BB15" i="10"/>
  <c r="AN11" i="1" s="1"/>
  <c r="BC60" i="10"/>
  <c r="BB22" i="10"/>
  <c r="BC67" i="10"/>
  <c r="BC56" i="10"/>
  <c r="BB11" i="10"/>
  <c r="AN7" i="1" s="1"/>
  <c r="BC55" i="10"/>
  <c r="BB10" i="10"/>
  <c r="AN6" i="1" s="1"/>
  <c r="BB18" i="10"/>
  <c r="AN14" i="1" s="1"/>
  <c r="AF32" i="1"/>
  <c r="AF31" i="1" s="1"/>
  <c r="AE29" i="1"/>
  <c r="AE28" i="1" s="1"/>
  <c r="AE35" i="1"/>
  <c r="AE34" i="1" s="1"/>
  <c r="AE26" i="1"/>
  <c r="AE25" i="1" s="1"/>
  <c r="AO4" i="1" l="1"/>
  <c r="AO20" i="1" s="1"/>
  <c r="AN5" i="1"/>
  <c r="AN23" i="1" s="1"/>
  <c r="BD57" i="10"/>
  <c r="BC12" i="10"/>
  <c r="BC10" i="10"/>
  <c r="BD55" i="10"/>
  <c r="BE53" i="10"/>
  <c r="BD8" i="10"/>
  <c r="D100" i="10"/>
  <c r="E100" i="10" s="1"/>
  <c r="C101" i="10"/>
  <c r="D101" i="10" s="1"/>
  <c r="E101" i="10" s="1"/>
  <c r="BC14" i="10"/>
  <c r="AO10" i="1" s="1"/>
  <c r="BD59" i="10"/>
  <c r="BC19" i="10"/>
  <c r="AO15" i="1" s="1"/>
  <c r="BC18" i="10"/>
  <c r="AO14" i="1" s="1"/>
  <c r="BC15" i="10"/>
  <c r="AO11" i="1" s="1"/>
  <c r="BD60" i="10"/>
  <c r="BC16" i="10"/>
  <c r="AO12" i="1" s="1"/>
  <c r="BC13" i="10"/>
  <c r="BD58" i="10"/>
  <c r="BC21" i="10"/>
  <c r="BD66" i="10"/>
  <c r="BC20" i="10"/>
  <c r="BD65" i="10"/>
  <c r="BC22" i="10"/>
  <c r="BD67" i="10"/>
  <c r="BD56" i="10"/>
  <c r="BC11" i="10"/>
  <c r="BC17" i="10"/>
  <c r="AO13" i="1" s="1"/>
  <c r="G99" i="10"/>
  <c r="H98" i="10" s="1"/>
  <c r="F99" i="10"/>
  <c r="BC9" i="10"/>
  <c r="AO5" i="1" s="1"/>
  <c r="BD54" i="10"/>
  <c r="I99" i="10"/>
  <c r="AF26" i="1"/>
  <c r="AF25" i="1" s="1"/>
  <c r="AF35" i="1"/>
  <c r="AF34" i="1" s="1"/>
  <c r="AG32" i="1"/>
  <c r="AG31" i="1" s="1"/>
  <c r="AF29" i="1"/>
  <c r="AF28" i="1" s="1"/>
  <c r="AO6" i="1" l="1"/>
  <c r="AO26" i="1" s="1"/>
  <c r="AO25" i="1" s="1"/>
  <c r="AO9" i="1"/>
  <c r="AO35" i="1" s="1"/>
  <c r="AO34" i="1" s="1"/>
  <c r="AP4" i="1"/>
  <c r="AP20" i="1" s="1"/>
  <c r="AO8" i="1"/>
  <c r="AO32" i="1" s="1"/>
  <c r="AO31" i="1" s="1"/>
  <c r="AO7" i="1"/>
  <c r="AO29" i="1" s="1"/>
  <c r="AO28" i="1" s="1"/>
  <c r="AO23" i="1"/>
  <c r="AO22" i="1" s="1"/>
  <c r="I100" i="10"/>
  <c r="I101" i="10" s="1"/>
  <c r="BD15" i="10"/>
  <c r="AP11" i="1" s="1"/>
  <c r="BE60" i="10"/>
  <c r="G101" i="10"/>
  <c r="F101" i="10"/>
  <c r="BD10" i="10"/>
  <c r="BE55" i="10"/>
  <c r="BD13" i="10"/>
  <c r="BE58" i="10"/>
  <c r="G100" i="10"/>
  <c r="H99" i="10" s="1"/>
  <c r="F100" i="10"/>
  <c r="BD11" i="10"/>
  <c r="BE56" i="10"/>
  <c r="BD17" i="10"/>
  <c r="AP13" i="1" s="1"/>
  <c r="BD22" i="10"/>
  <c r="BE67" i="10"/>
  <c r="BD21" i="10"/>
  <c r="BE66" i="10"/>
  <c r="BD16" i="10"/>
  <c r="AP12" i="1" s="1"/>
  <c r="BD18" i="10"/>
  <c r="AP14" i="1" s="1"/>
  <c r="BD14" i="10"/>
  <c r="AP10" i="1" s="1"/>
  <c r="BE59" i="10"/>
  <c r="BD20" i="10"/>
  <c r="BE65" i="10"/>
  <c r="BD19" i="10"/>
  <c r="AP15" i="1" s="1"/>
  <c r="BE54" i="10"/>
  <c r="BD9" i="10"/>
  <c r="AP5" i="1" s="1"/>
  <c r="BE8" i="10"/>
  <c r="AQ4" i="1" s="1"/>
  <c r="BF53" i="10"/>
  <c r="BE57" i="10"/>
  <c r="BD12" i="10"/>
  <c r="AG29" i="1"/>
  <c r="AG28" i="1" s="1"/>
  <c r="AG35" i="1"/>
  <c r="AG34" i="1" s="1"/>
  <c r="AH32" i="1"/>
  <c r="AH31" i="1" s="1"/>
  <c r="AG26" i="1"/>
  <c r="AG25" i="1" s="1"/>
  <c r="AP7" i="1" l="1"/>
  <c r="AP29" i="1" s="1"/>
  <c r="AP28" i="1" s="1"/>
  <c r="AP9" i="1"/>
  <c r="AP35" i="1" s="1"/>
  <c r="AP34" i="1" s="1"/>
  <c r="AP8" i="1"/>
  <c r="AP32" i="1" s="1"/>
  <c r="AP31" i="1" s="1"/>
  <c r="AP6" i="1"/>
  <c r="AP26" i="1" s="1"/>
  <c r="AP25" i="1" s="1"/>
  <c r="AQ20" i="1"/>
  <c r="AQ19" i="1" s="1"/>
  <c r="AP23" i="1"/>
  <c r="AP22" i="1" s="1"/>
  <c r="BF8" i="10"/>
  <c r="AR4" i="1" s="1"/>
  <c r="BG53" i="10"/>
  <c r="BE19" i="10"/>
  <c r="AQ15" i="1" s="1"/>
  <c r="BF59" i="10"/>
  <c r="BE14" i="10"/>
  <c r="AQ10" i="1" s="1"/>
  <c r="BE22" i="10"/>
  <c r="BF67" i="10"/>
  <c r="BE11" i="10"/>
  <c r="BF56" i="10"/>
  <c r="BE13" i="10"/>
  <c r="BF58" i="10"/>
  <c r="BE16" i="10"/>
  <c r="AQ12" i="1" s="1"/>
  <c r="H100" i="10"/>
  <c r="H101" i="10"/>
  <c r="BF65" i="10"/>
  <c r="BE20" i="10"/>
  <c r="BE18" i="10"/>
  <c r="AQ14" i="1" s="1"/>
  <c r="BE21" i="10"/>
  <c r="BF66" i="10"/>
  <c r="BE17" i="10"/>
  <c r="AQ13" i="1" s="1"/>
  <c r="BF55" i="10"/>
  <c r="BE10" i="10"/>
  <c r="BF60" i="10"/>
  <c r="BE15" i="10"/>
  <c r="AQ11" i="1" s="1"/>
  <c r="BE12" i="10"/>
  <c r="BF57" i="10"/>
  <c r="BF54" i="10"/>
  <c r="BE9" i="10"/>
  <c r="AQ5" i="1" s="1"/>
  <c r="AH26" i="1"/>
  <c r="AH25" i="1" s="1"/>
  <c r="AI32" i="1"/>
  <c r="AI31" i="1" s="1"/>
  <c r="AH35" i="1"/>
  <c r="AH34" i="1" s="1"/>
  <c r="AH29" i="1"/>
  <c r="AH28" i="1" s="1"/>
  <c r="AQ6" i="1" l="1"/>
  <c r="AQ26" i="1" s="1"/>
  <c r="AQ25" i="1" s="1"/>
  <c r="AQ9" i="1"/>
  <c r="AQ35" i="1" s="1"/>
  <c r="AQ34" i="1" s="1"/>
  <c r="AQ8" i="1"/>
  <c r="AQ32" i="1" s="1"/>
  <c r="AQ31" i="1" s="1"/>
  <c r="AQ7" i="1"/>
  <c r="AQ29" i="1" s="1"/>
  <c r="AQ28" i="1" s="1"/>
  <c r="AR20" i="1"/>
  <c r="AR19" i="1" s="1"/>
  <c r="AQ23" i="1"/>
  <c r="AQ22" i="1" s="1"/>
  <c r="BF17" i="10"/>
  <c r="AR13" i="1" s="1"/>
  <c r="BF18" i="10"/>
  <c r="AR14" i="1" s="1"/>
  <c r="BG58" i="10"/>
  <c r="BF13" i="10"/>
  <c r="BF22" i="10"/>
  <c r="BG67" i="10"/>
  <c r="BF19" i="10"/>
  <c r="AR15" i="1" s="1"/>
  <c r="BF9" i="10"/>
  <c r="AR5" i="1" s="1"/>
  <c r="BG54" i="10"/>
  <c r="BG60" i="10"/>
  <c r="BF15" i="10"/>
  <c r="AR11" i="1" s="1"/>
  <c r="BF12" i="10"/>
  <c r="BG57" i="10"/>
  <c r="BF21" i="10"/>
  <c r="BG66" i="10"/>
  <c r="BG56" i="10"/>
  <c r="BF11" i="10"/>
  <c r="BH53" i="10"/>
  <c r="BG8" i="10"/>
  <c r="AS4" i="1" s="1"/>
  <c r="BG55" i="10"/>
  <c r="BF10" i="10"/>
  <c r="BF20" i="10"/>
  <c r="BG65" i="10"/>
  <c r="BF16" i="10"/>
  <c r="AR12" i="1" s="1"/>
  <c r="BG59" i="10"/>
  <c r="BF14" i="10"/>
  <c r="AR10" i="1" s="1"/>
  <c r="AI26" i="1"/>
  <c r="AI25" i="1" s="1"/>
  <c r="AI35" i="1"/>
  <c r="AI34" i="1" s="1"/>
  <c r="AI29" i="1"/>
  <c r="AI28" i="1" s="1"/>
  <c r="AJ32" i="1"/>
  <c r="AJ31" i="1" s="1"/>
  <c r="AR6" i="1" l="1"/>
  <c r="AR26" i="1" s="1"/>
  <c r="AR25" i="1" s="1"/>
  <c r="AR7" i="1"/>
  <c r="AR29" i="1" s="1"/>
  <c r="AR28" i="1" s="1"/>
  <c r="AR8" i="1"/>
  <c r="AR32" i="1" s="1"/>
  <c r="AR31" i="1" s="1"/>
  <c r="AR9" i="1"/>
  <c r="AR35" i="1" s="1"/>
  <c r="AR34" i="1" s="1"/>
  <c r="AS20" i="1"/>
  <c r="AS19" i="1" s="1"/>
  <c r="AR23" i="1"/>
  <c r="AR22" i="1" s="1"/>
  <c r="BG16" i="10"/>
  <c r="AS12" i="1" s="1"/>
  <c r="BH57" i="10"/>
  <c r="BG12" i="10"/>
  <c r="BG9" i="10"/>
  <c r="AS5" i="1" s="1"/>
  <c r="BH54" i="10"/>
  <c r="BH67" i="10"/>
  <c r="BG22" i="10"/>
  <c r="BG18" i="10"/>
  <c r="AS14" i="1" s="1"/>
  <c r="BG10" i="10"/>
  <c r="BH55" i="10"/>
  <c r="BH56" i="10"/>
  <c r="BG11" i="10"/>
  <c r="BG20" i="10"/>
  <c r="BH65" i="10"/>
  <c r="BG21" i="10"/>
  <c r="BH66" i="10"/>
  <c r="BG19" i="10"/>
  <c r="AS15" i="1" s="1"/>
  <c r="BG17" i="10"/>
  <c r="AS13" i="1" s="1"/>
  <c r="BG14" i="10"/>
  <c r="AS10" i="1" s="1"/>
  <c r="BH59" i="10"/>
  <c r="BI53" i="10"/>
  <c r="BH8" i="10"/>
  <c r="AT4" i="1" s="1"/>
  <c r="BG15" i="10"/>
  <c r="AS11" i="1" s="1"/>
  <c r="BH60" i="10"/>
  <c r="BH58" i="10"/>
  <c r="BG13" i="10"/>
  <c r="AJ29" i="1"/>
  <c r="AJ28" i="1" s="1"/>
  <c r="AK32" i="1"/>
  <c r="AK31" i="1" s="1"/>
  <c r="AJ35" i="1"/>
  <c r="AJ34" i="1" s="1"/>
  <c r="AJ26" i="1"/>
  <c r="AJ25" i="1" s="1"/>
  <c r="AS6" i="1" l="1"/>
  <c r="AS26" i="1" s="1"/>
  <c r="AS25" i="1" s="1"/>
  <c r="AS7" i="1"/>
  <c r="AS29" i="1" s="1"/>
  <c r="AS28" i="1" s="1"/>
  <c r="AS9" i="1"/>
  <c r="AS35" i="1" s="1"/>
  <c r="AS34" i="1" s="1"/>
  <c r="AS8" i="1"/>
  <c r="AS32" i="1" s="1"/>
  <c r="AS31" i="1" s="1"/>
  <c r="AT20" i="1"/>
  <c r="AT19" i="1" s="1"/>
  <c r="AS23" i="1"/>
  <c r="AS22" i="1" s="1"/>
  <c r="BH15" i="10"/>
  <c r="AT11" i="1" s="1"/>
  <c r="BI60" i="10"/>
  <c r="BH14" i="10"/>
  <c r="AT10" i="1" s="1"/>
  <c r="BI59" i="10"/>
  <c r="BH20" i="10"/>
  <c r="BI65" i="10"/>
  <c r="BH10" i="10"/>
  <c r="BI55" i="10"/>
  <c r="BH19" i="10"/>
  <c r="AT15" i="1" s="1"/>
  <c r="BI67" i="10"/>
  <c r="BH22" i="10"/>
  <c r="BI57" i="10"/>
  <c r="BH12" i="10"/>
  <c r="BH17" i="10"/>
  <c r="AT13" i="1" s="1"/>
  <c r="BI66" i="10"/>
  <c r="BH21" i="10"/>
  <c r="BH18" i="10"/>
  <c r="AT14" i="1" s="1"/>
  <c r="BI54" i="10"/>
  <c r="BH9" i="10"/>
  <c r="AT5" i="1" s="1"/>
  <c r="BH16" i="10"/>
  <c r="AT12" i="1" s="1"/>
  <c r="BH13" i="10"/>
  <c r="BI58" i="10"/>
  <c r="BI8" i="10"/>
  <c r="AU4" i="1" s="1"/>
  <c r="BJ53" i="10"/>
  <c r="BH11" i="10"/>
  <c r="BI56" i="10"/>
  <c r="AK26" i="1"/>
  <c r="AK25" i="1" s="1"/>
  <c r="AL32" i="1"/>
  <c r="AL31" i="1" s="1"/>
  <c r="AK29" i="1"/>
  <c r="AK28" i="1" s="1"/>
  <c r="AK35" i="1"/>
  <c r="AK34" i="1" s="1"/>
  <c r="AT7" i="1" l="1"/>
  <c r="AT29" i="1" s="1"/>
  <c r="AT28" i="1" s="1"/>
  <c r="AT9" i="1"/>
  <c r="AT35" i="1" s="1"/>
  <c r="AT34" i="1" s="1"/>
  <c r="AT8" i="1"/>
  <c r="AT32" i="1" s="1"/>
  <c r="AT31" i="1" s="1"/>
  <c r="AT6" i="1"/>
  <c r="AT26" i="1" s="1"/>
  <c r="AT25" i="1" s="1"/>
  <c r="AU20" i="1"/>
  <c r="AU19" i="1" s="1"/>
  <c r="AT23" i="1"/>
  <c r="AT22" i="1" s="1"/>
  <c r="BJ8" i="10"/>
  <c r="AV4" i="1" s="1"/>
  <c r="BK53" i="10"/>
  <c r="BI16" i="10"/>
  <c r="AU12" i="1" s="1"/>
  <c r="BI17" i="10"/>
  <c r="AU13" i="1" s="1"/>
  <c r="BJ55" i="10"/>
  <c r="BI10" i="10"/>
  <c r="BI14" i="10"/>
  <c r="AU10" i="1" s="1"/>
  <c r="BJ59" i="10"/>
  <c r="BI18" i="10"/>
  <c r="AU14" i="1" s="1"/>
  <c r="BI22" i="10"/>
  <c r="BJ67" i="10"/>
  <c r="BI13" i="10"/>
  <c r="BJ58" i="10"/>
  <c r="BJ65" i="10"/>
  <c r="BI20" i="10"/>
  <c r="BI15" i="10"/>
  <c r="AU11" i="1" s="1"/>
  <c r="BJ60" i="10"/>
  <c r="BI11" i="10"/>
  <c r="BJ56" i="10"/>
  <c r="BJ54" i="10"/>
  <c r="BI9" i="10"/>
  <c r="AU5" i="1" s="1"/>
  <c r="BJ66" i="10"/>
  <c r="BI21" i="10"/>
  <c r="BI12" i="10"/>
  <c r="BJ57" i="10"/>
  <c r="BI19" i="10"/>
  <c r="AU15" i="1" s="1"/>
  <c r="AL26" i="1"/>
  <c r="AL25" i="1" s="1"/>
  <c r="AL29" i="1"/>
  <c r="AL28" i="1" s="1"/>
  <c r="AN32" i="1"/>
  <c r="AN31" i="1" s="1"/>
  <c r="AL35" i="1"/>
  <c r="AL34" i="1" s="1"/>
  <c r="AM32" i="1"/>
  <c r="AM31" i="1" s="1"/>
  <c r="AU7" i="1" l="1"/>
  <c r="AU29" i="1" s="1"/>
  <c r="AU28" i="1" s="1"/>
  <c r="AU6" i="1"/>
  <c r="AU26" i="1" s="1"/>
  <c r="AU25" i="1" s="1"/>
  <c r="AU9" i="1"/>
  <c r="AU35" i="1" s="1"/>
  <c r="AU34" i="1" s="1"/>
  <c r="AU8" i="1"/>
  <c r="AU32" i="1" s="1"/>
  <c r="AU31" i="1" s="1"/>
  <c r="AV20" i="1"/>
  <c r="AV19" i="1" s="1"/>
  <c r="AU23" i="1"/>
  <c r="AU22" i="1" s="1"/>
  <c r="BJ12" i="10"/>
  <c r="BK57" i="10"/>
  <c r="BJ15" i="10"/>
  <c r="AV11" i="1" s="1"/>
  <c r="BK60" i="10"/>
  <c r="BJ13" i="10"/>
  <c r="BK58" i="10"/>
  <c r="BJ16" i="10"/>
  <c r="AV12" i="1" s="1"/>
  <c r="BJ9" i="10"/>
  <c r="AV5" i="1" s="1"/>
  <c r="BK54" i="10"/>
  <c r="BJ18" i="10"/>
  <c r="AV14" i="1" s="1"/>
  <c r="BK55" i="10"/>
  <c r="BJ10" i="10"/>
  <c r="BJ19" i="10"/>
  <c r="AV15" i="1" s="1"/>
  <c r="BK56" i="10"/>
  <c r="BJ11" i="10"/>
  <c r="BJ22" i="10"/>
  <c r="BK67" i="10"/>
  <c r="BJ14" i="10"/>
  <c r="AV10" i="1" s="1"/>
  <c r="BK59" i="10"/>
  <c r="BL53" i="10"/>
  <c r="BK8" i="10"/>
  <c r="AW4" i="1" s="1"/>
  <c r="BJ21" i="10"/>
  <c r="BK66" i="10"/>
  <c r="BJ20" i="10"/>
  <c r="BK65" i="10"/>
  <c r="BJ17" i="10"/>
  <c r="AV13" i="1" s="1"/>
  <c r="AN26" i="1"/>
  <c r="AN25" i="1" s="1"/>
  <c r="AN29" i="1"/>
  <c r="AN28" i="1" s="1"/>
  <c r="AN35" i="1"/>
  <c r="AN34" i="1" s="1"/>
  <c r="AM29" i="1"/>
  <c r="AM28" i="1" s="1"/>
  <c r="AM26" i="1"/>
  <c r="AM25" i="1" s="1"/>
  <c r="AM35" i="1"/>
  <c r="AM34" i="1" s="1"/>
  <c r="AV9" i="1" l="1"/>
  <c r="AV35" i="1" s="1"/>
  <c r="AV34" i="1" s="1"/>
  <c r="AV8" i="1"/>
  <c r="AV32" i="1" s="1"/>
  <c r="AV31" i="1" s="1"/>
  <c r="AV6" i="1"/>
  <c r="AV26" i="1" s="1"/>
  <c r="AV25" i="1" s="1"/>
  <c r="AV7" i="1"/>
  <c r="AV29" i="1" s="1"/>
  <c r="AV28" i="1" s="1"/>
  <c r="AW20" i="1"/>
  <c r="AW19" i="1" s="1"/>
  <c r="AV23" i="1"/>
  <c r="AV22" i="1" s="1"/>
  <c r="BK20" i="10"/>
  <c r="BL65" i="10"/>
  <c r="BK22" i="10"/>
  <c r="BL67" i="10"/>
  <c r="BK19" i="10"/>
  <c r="AW15" i="1" s="1"/>
  <c r="BK18" i="10"/>
  <c r="AW14" i="1" s="1"/>
  <c r="BK16" i="10"/>
  <c r="AW12" i="1" s="1"/>
  <c r="BK15" i="10"/>
  <c r="AW11" i="1" s="1"/>
  <c r="BL60" i="10"/>
  <c r="BM53" i="10"/>
  <c r="BL8" i="10"/>
  <c r="AX4" i="1" s="1"/>
  <c r="BK21" i="10"/>
  <c r="BL66" i="10"/>
  <c r="BK14" i="10"/>
  <c r="AW10" i="1" s="1"/>
  <c r="BL59" i="10"/>
  <c r="BK9" i="10"/>
  <c r="AW5" i="1" s="1"/>
  <c r="BL54" i="10"/>
  <c r="BK13" i="10"/>
  <c r="BL58" i="10"/>
  <c r="BL57" i="10"/>
  <c r="BK12" i="10"/>
  <c r="BK17" i="10"/>
  <c r="AW13" i="1" s="1"/>
  <c r="BL56" i="10"/>
  <c r="BK11" i="10"/>
  <c r="BK10" i="10"/>
  <c r="BL55" i="10"/>
  <c r="AW6" i="1" l="1"/>
  <c r="AW26" i="1" s="1"/>
  <c r="AW25" i="1" s="1"/>
  <c r="AW8" i="1"/>
  <c r="AW32" i="1" s="1"/>
  <c r="AW31" i="1" s="1"/>
  <c r="AW9" i="1"/>
  <c r="AW35" i="1" s="1"/>
  <c r="AW34" i="1" s="1"/>
  <c r="AW7" i="1"/>
  <c r="AW29" i="1" s="1"/>
  <c r="AW28" i="1" s="1"/>
  <c r="AX20" i="1"/>
  <c r="AX19" i="1" s="1"/>
  <c r="AW23" i="1"/>
  <c r="AW22" i="1" s="1"/>
  <c r="BM54" i="10"/>
  <c r="BL9" i="10"/>
  <c r="AX5" i="1" s="1"/>
  <c r="BL21" i="10"/>
  <c r="BM66" i="10"/>
  <c r="BL15" i="10"/>
  <c r="AX11" i="1" s="1"/>
  <c r="BM60" i="10"/>
  <c r="BL18" i="10"/>
  <c r="AX14" i="1" s="1"/>
  <c r="BL22" i="10"/>
  <c r="BM67" i="10"/>
  <c r="BL11" i="10"/>
  <c r="BM56" i="10"/>
  <c r="BM57" i="10"/>
  <c r="BL12" i="10"/>
  <c r="BL10" i="10"/>
  <c r="BM55" i="10"/>
  <c r="BL17" i="10"/>
  <c r="AX13" i="1" s="1"/>
  <c r="BL13" i="10"/>
  <c r="BM58" i="10"/>
  <c r="BL14" i="10"/>
  <c r="AX10" i="1" s="1"/>
  <c r="BM59" i="10"/>
  <c r="BL16" i="10"/>
  <c r="AX12" i="1" s="1"/>
  <c r="BL19" i="10"/>
  <c r="AX15" i="1" s="1"/>
  <c r="BL20" i="10"/>
  <c r="BM65" i="10"/>
  <c r="BM8" i="10"/>
  <c r="AY4" i="1" s="1"/>
  <c r="BN53" i="10"/>
  <c r="AX7" i="1" l="1"/>
  <c r="AX29" i="1" s="1"/>
  <c r="AX28" i="1" s="1"/>
  <c r="AX9" i="1"/>
  <c r="AX35" i="1" s="1"/>
  <c r="AX34" i="1" s="1"/>
  <c r="AX8" i="1"/>
  <c r="AX32" i="1" s="1"/>
  <c r="AX31" i="1" s="1"/>
  <c r="AX6" i="1"/>
  <c r="AX26" i="1" s="1"/>
  <c r="AX25" i="1" s="1"/>
  <c r="AY20" i="1"/>
  <c r="AY19" i="1" s="1"/>
  <c r="AX23" i="1"/>
  <c r="AX22" i="1" s="1"/>
  <c r="BN65" i="10"/>
  <c r="BM20" i="10"/>
  <c r="BM13" i="10"/>
  <c r="BN58" i="10"/>
  <c r="BN55" i="10"/>
  <c r="BM10" i="10"/>
  <c r="BM11" i="10"/>
  <c r="BN56" i="10"/>
  <c r="BM18" i="10"/>
  <c r="AY14" i="1" s="1"/>
  <c r="BM21" i="10"/>
  <c r="BN66" i="10"/>
  <c r="BM16" i="10"/>
  <c r="AY12" i="1" s="1"/>
  <c r="BN8" i="10"/>
  <c r="AZ4" i="1" s="1"/>
  <c r="BO53" i="10"/>
  <c r="BM19" i="10"/>
  <c r="AY15" i="1" s="1"/>
  <c r="BN59" i="10"/>
  <c r="BM14" i="10"/>
  <c r="AY10" i="1" s="1"/>
  <c r="BM17" i="10"/>
  <c r="AY13" i="1" s="1"/>
  <c r="BM22" i="10"/>
  <c r="BN67" i="10"/>
  <c r="BN60" i="10"/>
  <c r="BM15" i="10"/>
  <c r="AY11" i="1" s="1"/>
  <c r="BM12" i="10"/>
  <c r="BN57" i="10"/>
  <c r="BN54" i="10"/>
  <c r="BM9" i="10"/>
  <c r="AY5" i="1" s="1"/>
  <c r="AY6" i="1" l="1"/>
  <c r="AY26" i="1" s="1"/>
  <c r="AY25" i="1" s="1"/>
  <c r="AY8" i="1"/>
  <c r="AY32" i="1" s="1"/>
  <c r="AY31" i="1" s="1"/>
  <c r="AY7" i="1"/>
  <c r="AY29" i="1" s="1"/>
  <c r="AY28" i="1" s="1"/>
  <c r="AY9" i="1"/>
  <c r="AY35" i="1" s="1"/>
  <c r="AY34" i="1" s="1"/>
  <c r="AZ20" i="1"/>
  <c r="AZ19" i="1" s="1"/>
  <c r="AY23" i="1"/>
  <c r="AY22" i="1" s="1"/>
  <c r="BN12" i="10"/>
  <c r="BO57" i="10"/>
  <c r="BN22" i="10"/>
  <c r="BO67" i="10"/>
  <c r="BP53" i="10"/>
  <c r="BO8" i="10"/>
  <c r="BA4" i="1" s="1"/>
  <c r="BN21" i="10"/>
  <c r="BO66" i="10"/>
  <c r="BO56" i="10"/>
  <c r="BN11" i="10"/>
  <c r="BO58" i="10"/>
  <c r="BN13" i="10"/>
  <c r="BO59" i="10"/>
  <c r="BN14" i="10"/>
  <c r="AZ10" i="1" s="1"/>
  <c r="BN17" i="10"/>
  <c r="AZ13" i="1" s="1"/>
  <c r="BN19" i="10"/>
  <c r="AZ15" i="1" s="1"/>
  <c r="BN18" i="10"/>
  <c r="AZ14" i="1" s="1"/>
  <c r="BN9" i="10"/>
  <c r="AZ5" i="1" s="1"/>
  <c r="BO54" i="10"/>
  <c r="BO60" i="10"/>
  <c r="BN15" i="10"/>
  <c r="AZ11" i="1" s="1"/>
  <c r="BN16" i="10"/>
  <c r="AZ12" i="1" s="1"/>
  <c r="BO55" i="10"/>
  <c r="BN10" i="10"/>
  <c r="BN20" i="10"/>
  <c r="BO65" i="10"/>
  <c r="AZ8" i="1" l="1"/>
  <c r="AZ32" i="1" s="1"/>
  <c r="AZ31" i="1" s="1"/>
  <c r="AZ9" i="1"/>
  <c r="AZ35" i="1" s="1"/>
  <c r="AZ34" i="1" s="1"/>
  <c r="AZ7" i="1"/>
  <c r="AZ29" i="1" s="1"/>
  <c r="AZ28" i="1" s="1"/>
  <c r="AZ6" i="1"/>
  <c r="AZ26" i="1" s="1"/>
  <c r="AZ25" i="1" s="1"/>
  <c r="BA20" i="1"/>
  <c r="BA19" i="1" s="1"/>
  <c r="AZ23" i="1"/>
  <c r="AZ22" i="1" s="1"/>
  <c r="BO16" i="10"/>
  <c r="BA12" i="1" s="1"/>
  <c r="BO18" i="10"/>
  <c r="BA14" i="1" s="1"/>
  <c r="BO17" i="10"/>
  <c r="BA13" i="1" s="1"/>
  <c r="BO21" i="10"/>
  <c r="BP66" i="10"/>
  <c r="BP67" i="10"/>
  <c r="BO22" i="10"/>
  <c r="BO20" i="10"/>
  <c r="BP65" i="10"/>
  <c r="BO10" i="10"/>
  <c r="BP55" i="10"/>
  <c r="BO15" i="10"/>
  <c r="BA11" i="1" s="1"/>
  <c r="BP60" i="10"/>
  <c r="BP58" i="10"/>
  <c r="BO13" i="10"/>
  <c r="BO19" i="10"/>
  <c r="BA15" i="1" s="1"/>
  <c r="BP57" i="10"/>
  <c r="BO12" i="10"/>
  <c r="BO9" i="10"/>
  <c r="BA5" i="1" s="1"/>
  <c r="BP54" i="10"/>
  <c r="BO14" i="10"/>
  <c r="BA10" i="1" s="1"/>
  <c r="BP59" i="10"/>
  <c r="BP56" i="10"/>
  <c r="BO11" i="10"/>
  <c r="BQ53" i="10"/>
  <c r="BP8" i="10"/>
  <c r="BB4" i="1" s="1"/>
  <c r="BA7" i="1" l="1"/>
  <c r="BA29" i="1" s="1"/>
  <c r="BA28" i="1" s="1"/>
  <c r="BA8" i="1"/>
  <c r="BA32" i="1" s="1"/>
  <c r="BA31" i="1" s="1"/>
  <c r="BA6" i="1"/>
  <c r="BA26" i="1" s="1"/>
  <c r="BA25" i="1" s="1"/>
  <c r="BA9" i="1"/>
  <c r="BA35" i="1" s="1"/>
  <c r="BA34" i="1" s="1"/>
  <c r="BB20" i="1"/>
  <c r="BB19" i="1" s="1"/>
  <c r="BA23" i="1"/>
  <c r="BA22" i="1" s="1"/>
  <c r="BQ54" i="10"/>
  <c r="BP9" i="10"/>
  <c r="BB5" i="1" s="1"/>
  <c r="BP20" i="10"/>
  <c r="BQ65" i="10"/>
  <c r="BP11" i="10"/>
  <c r="BQ56" i="10"/>
  <c r="BP19" i="10"/>
  <c r="BB15" i="1" s="1"/>
  <c r="BP15" i="10"/>
  <c r="BB11" i="1" s="1"/>
  <c r="BQ60" i="10"/>
  <c r="BP18" i="10"/>
  <c r="BB14" i="1" s="1"/>
  <c r="BP14" i="10"/>
  <c r="BB10" i="1" s="1"/>
  <c r="BQ59" i="10"/>
  <c r="BP10" i="10"/>
  <c r="BQ55" i="10"/>
  <c r="BP17" i="10"/>
  <c r="BB13" i="1" s="1"/>
  <c r="BP16" i="10"/>
  <c r="BB12" i="1" s="1"/>
  <c r="BQ66" i="10"/>
  <c r="BP21" i="10"/>
  <c r="BQ8" i="10"/>
  <c r="BC4" i="1" s="1"/>
  <c r="BR53" i="10"/>
  <c r="BQ57" i="10"/>
  <c r="BP12" i="10"/>
  <c r="BP13" i="10"/>
  <c r="BQ58" i="10"/>
  <c r="BQ67" i="10"/>
  <c r="BP22" i="10"/>
  <c r="BB6" i="1" l="1"/>
  <c r="BB26" i="1" s="1"/>
  <c r="BB25" i="1" s="1"/>
  <c r="BB7" i="1"/>
  <c r="BB29" i="1" s="1"/>
  <c r="BB28" i="1" s="1"/>
  <c r="BB8" i="1"/>
  <c r="BB32" i="1" s="1"/>
  <c r="BB31" i="1" s="1"/>
  <c r="BB9" i="1"/>
  <c r="BB35" i="1" s="1"/>
  <c r="BB34" i="1" s="1"/>
  <c r="BC20" i="1"/>
  <c r="BC19" i="1" s="1"/>
  <c r="BB23" i="1"/>
  <c r="BB22" i="1" s="1"/>
  <c r="BR8" i="10"/>
  <c r="BD4" i="1" s="1"/>
  <c r="BS53" i="10"/>
  <c r="BR65" i="10"/>
  <c r="BQ20" i="10"/>
  <c r="BQ18" i="10"/>
  <c r="BC14" i="1" s="1"/>
  <c r="BQ19" i="10"/>
  <c r="BC15" i="1" s="1"/>
  <c r="BQ13" i="10"/>
  <c r="BR58" i="10"/>
  <c r="BR55" i="10"/>
  <c r="BQ10" i="10"/>
  <c r="BQ17" i="10"/>
  <c r="BC13" i="1" s="1"/>
  <c r="BQ14" i="10"/>
  <c r="BC10" i="1" s="1"/>
  <c r="BR59" i="10"/>
  <c r="BQ15" i="10"/>
  <c r="BC11" i="1" s="1"/>
  <c r="BR60" i="10"/>
  <c r="BQ11" i="10"/>
  <c r="BR56" i="10"/>
  <c r="BQ16" i="10"/>
  <c r="BC12" i="1" s="1"/>
  <c r="BQ22" i="10"/>
  <c r="BR67" i="10"/>
  <c r="BQ12" i="10"/>
  <c r="BR57" i="10"/>
  <c r="BR66" i="10"/>
  <c r="BQ21" i="10"/>
  <c r="BR54" i="10"/>
  <c r="BQ9" i="10"/>
  <c r="BC5" i="1" s="1"/>
  <c r="BC6" i="1" l="1"/>
  <c r="BC26" i="1" s="1"/>
  <c r="BC25" i="1" s="1"/>
  <c r="BC8" i="1"/>
  <c r="BC32" i="1" s="1"/>
  <c r="BC31" i="1" s="1"/>
  <c r="BC7" i="1"/>
  <c r="BC29" i="1" s="1"/>
  <c r="BC28" i="1" s="1"/>
  <c r="BC9" i="1"/>
  <c r="BC35" i="1" s="1"/>
  <c r="BC34" i="1" s="1"/>
  <c r="BD20" i="1"/>
  <c r="BD19" i="1" s="1"/>
  <c r="BC23" i="1"/>
  <c r="BC22" i="1" s="1"/>
  <c r="BR22" i="10"/>
  <c r="BS67" i="10"/>
  <c r="BR21" i="10"/>
  <c r="BS66" i="10"/>
  <c r="BS55" i="10"/>
  <c r="BR10" i="10"/>
  <c r="BR20" i="10"/>
  <c r="BS65" i="10"/>
  <c r="BS56" i="10"/>
  <c r="BR11" i="10"/>
  <c r="BR19" i="10"/>
  <c r="BD15" i="1" s="1"/>
  <c r="BR12" i="10"/>
  <c r="BS57" i="10"/>
  <c r="BR16" i="10"/>
  <c r="BD12" i="1" s="1"/>
  <c r="BR15" i="10"/>
  <c r="BD11" i="1" s="1"/>
  <c r="BS60" i="10"/>
  <c r="BR13" i="10"/>
  <c r="BS58" i="10"/>
  <c r="BT53" i="10"/>
  <c r="BS8" i="10"/>
  <c r="BE4" i="1" s="1"/>
  <c r="BR14" i="10"/>
  <c r="BD10" i="1" s="1"/>
  <c r="BS59" i="10"/>
  <c r="BR9" i="10"/>
  <c r="BD5" i="1" s="1"/>
  <c r="BS54" i="10"/>
  <c r="BR17" i="10"/>
  <c r="BD13" i="1" s="1"/>
  <c r="BR18" i="10"/>
  <c r="BD14" i="1" s="1"/>
  <c r="BD9" i="1" l="1"/>
  <c r="BD35" i="1" s="1"/>
  <c r="BD34" i="1" s="1"/>
  <c r="BD7" i="1"/>
  <c r="BD29" i="1" s="1"/>
  <c r="BD28" i="1" s="1"/>
  <c r="BD8" i="1"/>
  <c r="BD32" i="1" s="1"/>
  <c r="BD31" i="1" s="1"/>
  <c r="BD6" i="1"/>
  <c r="BD26" i="1" s="1"/>
  <c r="BD25" i="1" s="1"/>
  <c r="BE20" i="1"/>
  <c r="BE19" i="1" s="1"/>
  <c r="BD23" i="1"/>
  <c r="BD22" i="1" s="1"/>
  <c r="BT59" i="10"/>
  <c r="BS14" i="10"/>
  <c r="BE10" i="1" s="1"/>
  <c r="BS19" i="10"/>
  <c r="BE15" i="1" s="1"/>
  <c r="BS17" i="10"/>
  <c r="BE13" i="1" s="1"/>
  <c r="BS13" i="10"/>
  <c r="BT58" i="10"/>
  <c r="BS21" i="10"/>
  <c r="BT66" i="10"/>
  <c r="BS18" i="10"/>
  <c r="BE14" i="1" s="1"/>
  <c r="BS9" i="10"/>
  <c r="BE5" i="1" s="1"/>
  <c r="BT54" i="10"/>
  <c r="BS15" i="10"/>
  <c r="BE11" i="1" s="1"/>
  <c r="BT60" i="10"/>
  <c r="BT57" i="10"/>
  <c r="BS12" i="10"/>
  <c r="BS22" i="10"/>
  <c r="BT67" i="10"/>
  <c r="BS16" i="10"/>
  <c r="BE12" i="1" s="1"/>
  <c r="BS20" i="10"/>
  <c r="BT65" i="10"/>
  <c r="BU53" i="10"/>
  <c r="BT8" i="10"/>
  <c r="BF4" i="1" s="1"/>
  <c r="BT56" i="10"/>
  <c r="BS11" i="10"/>
  <c r="BS10" i="10"/>
  <c r="BT55" i="10"/>
  <c r="BE6" i="1" l="1"/>
  <c r="BE26" i="1" s="1"/>
  <c r="BE25" i="1" s="1"/>
  <c r="BE9" i="1"/>
  <c r="BE35" i="1" s="1"/>
  <c r="BE34" i="1" s="1"/>
  <c r="BE7" i="1"/>
  <c r="BE29" i="1" s="1"/>
  <c r="BE28" i="1" s="1"/>
  <c r="BE8" i="1"/>
  <c r="BE32" i="1" s="1"/>
  <c r="BE31" i="1" s="1"/>
  <c r="BF20" i="1"/>
  <c r="BF19" i="1" s="1"/>
  <c r="BE23" i="1"/>
  <c r="BE22" i="1" s="1"/>
  <c r="BT22" i="10"/>
  <c r="BU67" i="10"/>
  <c r="BT18" i="10"/>
  <c r="BF14" i="1" s="1"/>
  <c r="BT19" i="10"/>
  <c r="BF15" i="1" s="1"/>
  <c r="BT11" i="10"/>
  <c r="BU56" i="10"/>
  <c r="BT15" i="10"/>
  <c r="BF11" i="1" s="1"/>
  <c r="BU60" i="10"/>
  <c r="BT13" i="10"/>
  <c r="BU58" i="10"/>
  <c r="BT10" i="10"/>
  <c r="BU55" i="10"/>
  <c r="BT16" i="10"/>
  <c r="BF12" i="1" s="1"/>
  <c r="BU54" i="10"/>
  <c r="BT9" i="10"/>
  <c r="BF5" i="1" s="1"/>
  <c r="BT21" i="10"/>
  <c r="BU66" i="10"/>
  <c r="BT17" i="10"/>
  <c r="BF13" i="1" s="1"/>
  <c r="BT20" i="10"/>
  <c r="BU65" i="10"/>
  <c r="BU8" i="10"/>
  <c r="BG4" i="1" s="1"/>
  <c r="BV53" i="10"/>
  <c r="BU57" i="10"/>
  <c r="BT12" i="10"/>
  <c r="BT14" i="10"/>
  <c r="BF10" i="1" s="1"/>
  <c r="BU59" i="10"/>
  <c r="BF9" i="1" l="1"/>
  <c r="BF35" i="1" s="1"/>
  <c r="BF34" i="1" s="1"/>
  <c r="BF7" i="1"/>
  <c r="BF29" i="1" s="1"/>
  <c r="BF28" i="1" s="1"/>
  <c r="BF8" i="1"/>
  <c r="BF32" i="1" s="1"/>
  <c r="BF31" i="1" s="1"/>
  <c r="BF6" i="1"/>
  <c r="BF26" i="1" s="1"/>
  <c r="BF25" i="1" s="1"/>
  <c r="BG20" i="1"/>
  <c r="BG19" i="1" s="1"/>
  <c r="BF23" i="1"/>
  <c r="BF22" i="1" s="1"/>
  <c r="BV65" i="10"/>
  <c r="BU20" i="10"/>
  <c r="BU13" i="10"/>
  <c r="BV58" i="10"/>
  <c r="BU16" i="10"/>
  <c r="BG12" i="1" s="1"/>
  <c r="BU21" i="10"/>
  <c r="BV66" i="10"/>
  <c r="BU11" i="10"/>
  <c r="BV56" i="10"/>
  <c r="BU12" i="10"/>
  <c r="BV57" i="10"/>
  <c r="BU14" i="10"/>
  <c r="BG10" i="1" s="1"/>
  <c r="BV59" i="10"/>
  <c r="BV8" i="10"/>
  <c r="BH4" i="1" s="1"/>
  <c r="BW53" i="10"/>
  <c r="BU17" i="10"/>
  <c r="BG13" i="1" s="1"/>
  <c r="BV55" i="10"/>
  <c r="BU10" i="10"/>
  <c r="BV60" i="10"/>
  <c r="BU15" i="10"/>
  <c r="BG11" i="1" s="1"/>
  <c r="BU19" i="10"/>
  <c r="BG15" i="1" s="1"/>
  <c r="BU22" i="10"/>
  <c r="BV67" i="10"/>
  <c r="BU18" i="10"/>
  <c r="BG14" i="1" s="1"/>
  <c r="BV54" i="10"/>
  <c r="BU9" i="10"/>
  <c r="BG5" i="1" s="1"/>
  <c r="BG8" i="1" l="1"/>
  <c r="BG32" i="1" s="1"/>
  <c r="BG31" i="1" s="1"/>
  <c r="BG6" i="1"/>
  <c r="BG26" i="1" s="1"/>
  <c r="BG25" i="1" s="1"/>
  <c r="BG7" i="1"/>
  <c r="BG29" i="1" s="1"/>
  <c r="BG28" i="1" s="1"/>
  <c r="BG9" i="1"/>
  <c r="BG35" i="1" s="1"/>
  <c r="BG34" i="1" s="1"/>
  <c r="BH20" i="1"/>
  <c r="BH19" i="1" s="1"/>
  <c r="BG23" i="1"/>
  <c r="BG22" i="1" s="1"/>
  <c r="BV18" i="10"/>
  <c r="BH14" i="1" s="1"/>
  <c r="BX53" i="10"/>
  <c r="BW8" i="10"/>
  <c r="BI4" i="1" s="1"/>
  <c r="BW58" i="10"/>
  <c r="BV13" i="10"/>
  <c r="BW55" i="10"/>
  <c r="BV10" i="10"/>
  <c r="BV19" i="10"/>
  <c r="BH15" i="1" s="1"/>
  <c r="BV21" i="10"/>
  <c r="BW66" i="10"/>
  <c r="BV22" i="10"/>
  <c r="BW67" i="10"/>
  <c r="BV17" i="10"/>
  <c r="BH13" i="1" s="1"/>
  <c r="BV14" i="10"/>
  <c r="BH10" i="1" s="1"/>
  <c r="BW59" i="10"/>
  <c r="BW56" i="10"/>
  <c r="BV11" i="10"/>
  <c r="BV12" i="10"/>
  <c r="BW57" i="10"/>
  <c r="BV9" i="10"/>
  <c r="BH5" i="1" s="1"/>
  <c r="BW54" i="10"/>
  <c r="BW60" i="10"/>
  <c r="BV15" i="10"/>
  <c r="BH11" i="1" s="1"/>
  <c r="BV16" i="10"/>
  <c r="BH12" i="1" s="1"/>
  <c r="BV20" i="10"/>
  <c r="BW65" i="10"/>
  <c r="BH8" i="1" l="1"/>
  <c r="BH32" i="1" s="1"/>
  <c r="BH31" i="1" s="1"/>
  <c r="BH7" i="1"/>
  <c r="BH29" i="1" s="1"/>
  <c r="BH28" i="1" s="1"/>
  <c r="BH9" i="1"/>
  <c r="BH35" i="1" s="1"/>
  <c r="BH34" i="1" s="1"/>
  <c r="BH6" i="1"/>
  <c r="BH26" i="1" s="1"/>
  <c r="BH25" i="1" s="1"/>
  <c r="BI20" i="1"/>
  <c r="BI19" i="1" s="1"/>
  <c r="BH23" i="1"/>
  <c r="BH22" i="1" s="1"/>
  <c r="BW21" i="10"/>
  <c r="BX66" i="10"/>
  <c r="BW10" i="10"/>
  <c r="BX55" i="10"/>
  <c r="BX57" i="10"/>
  <c r="BW12" i="10"/>
  <c r="BW14" i="10"/>
  <c r="BI10" i="1" s="1"/>
  <c r="BX59" i="10"/>
  <c r="BX67" i="10"/>
  <c r="BW22" i="10"/>
  <c r="BW19" i="10"/>
  <c r="BI15" i="1" s="1"/>
  <c r="BW18" i="10"/>
  <c r="BI14" i="1" s="1"/>
  <c r="BW16" i="10"/>
  <c r="BI12" i="1" s="1"/>
  <c r="BW9" i="10"/>
  <c r="BI5" i="1" s="1"/>
  <c r="BX54" i="10"/>
  <c r="BW17" i="10"/>
  <c r="BI13" i="1" s="1"/>
  <c r="BX56" i="10"/>
  <c r="BW11" i="10"/>
  <c r="BY53" i="10"/>
  <c r="BX8" i="10"/>
  <c r="BJ4" i="1" s="1"/>
  <c r="BW20" i="10"/>
  <c r="BX65" i="10"/>
  <c r="BW15" i="10"/>
  <c r="BI11" i="1" s="1"/>
  <c r="BX60" i="10"/>
  <c r="BX58" i="10"/>
  <c r="BW13" i="10"/>
  <c r="BI9" i="1" l="1"/>
  <c r="BI35" i="1" s="1"/>
  <c r="BI34" i="1" s="1"/>
  <c r="BI7" i="1"/>
  <c r="BI29" i="1" s="1"/>
  <c r="BI28" i="1" s="1"/>
  <c r="BI8" i="1"/>
  <c r="BI32" i="1" s="1"/>
  <c r="BI31" i="1" s="1"/>
  <c r="BI6" i="1"/>
  <c r="BI26" i="1" s="1"/>
  <c r="BI25" i="1" s="1"/>
  <c r="BJ20" i="1"/>
  <c r="BJ19" i="1" s="1"/>
  <c r="BI23" i="1"/>
  <c r="BI22" i="1" s="1"/>
  <c r="BX17" i="10"/>
  <c r="BJ13" i="1" s="1"/>
  <c r="BY66" i="10"/>
  <c r="BX21" i="10"/>
  <c r="BX15" i="10"/>
  <c r="BJ11" i="1" s="1"/>
  <c r="BY60" i="10"/>
  <c r="BX16" i="10"/>
  <c r="BJ12" i="1" s="1"/>
  <c r="BX14" i="10"/>
  <c r="BJ10" i="1" s="1"/>
  <c r="BY59" i="10"/>
  <c r="BX10" i="10"/>
  <c r="BY55" i="10"/>
  <c r="BY8" i="10"/>
  <c r="BK4" i="1" s="1"/>
  <c r="BZ53" i="10"/>
  <c r="BX19" i="10"/>
  <c r="BJ15" i="1" s="1"/>
  <c r="BX20" i="10"/>
  <c r="BY65" i="10"/>
  <c r="BY54" i="10"/>
  <c r="BX9" i="10"/>
  <c r="BJ5" i="1" s="1"/>
  <c r="BX18" i="10"/>
  <c r="BJ14" i="1" s="1"/>
  <c r="BX13" i="10"/>
  <c r="BY58" i="10"/>
  <c r="BX11" i="10"/>
  <c r="BY56" i="10"/>
  <c r="BY67" i="10"/>
  <c r="BX22" i="10"/>
  <c r="BY57" i="10"/>
  <c r="BX12" i="10"/>
  <c r="BJ7" i="1" l="1"/>
  <c r="BJ29" i="1" s="1"/>
  <c r="BJ28" i="1" s="1"/>
  <c r="BJ6" i="1"/>
  <c r="BJ26" i="1" s="1"/>
  <c r="BJ25" i="1" s="1"/>
  <c r="BJ8" i="1"/>
  <c r="BJ32" i="1" s="1"/>
  <c r="BJ31" i="1" s="1"/>
  <c r="BJ9" i="1"/>
  <c r="BJ35" i="1" s="1"/>
  <c r="BJ34" i="1" s="1"/>
  <c r="BK20" i="1"/>
  <c r="BK19" i="1" s="1"/>
  <c r="BJ23" i="1"/>
  <c r="BJ22" i="1" s="1"/>
  <c r="BZ55" i="10"/>
  <c r="BY10" i="10"/>
  <c r="BY22" i="10"/>
  <c r="BZ67" i="10"/>
  <c r="BZ54" i="10"/>
  <c r="BY9" i="10"/>
  <c r="BK5" i="1" s="1"/>
  <c r="BY19" i="10"/>
  <c r="BK15" i="1" s="1"/>
  <c r="BZ66" i="10"/>
  <c r="BY21" i="10"/>
  <c r="BY13" i="10"/>
  <c r="BZ58" i="10"/>
  <c r="BY16" i="10"/>
  <c r="BK12" i="1" s="1"/>
  <c r="BY11" i="10"/>
  <c r="BZ56" i="10"/>
  <c r="BZ65" i="10"/>
  <c r="BY20" i="10"/>
  <c r="BZ8" i="10"/>
  <c r="BL4" i="1" s="1"/>
  <c r="CA53" i="10"/>
  <c r="BY14" i="10"/>
  <c r="BK10" i="1" s="1"/>
  <c r="BZ59" i="10"/>
  <c r="BY15" i="10"/>
  <c r="BK11" i="1" s="1"/>
  <c r="BZ60" i="10"/>
  <c r="BY17" i="10"/>
  <c r="BK13" i="1" s="1"/>
  <c r="BY12" i="10"/>
  <c r="BZ57" i="10"/>
  <c r="BY18" i="10"/>
  <c r="BK14" i="1" s="1"/>
  <c r="BK9" i="1" l="1"/>
  <c r="BK35" i="1" s="1"/>
  <c r="BK34" i="1" s="1"/>
  <c r="BK7" i="1"/>
  <c r="BK29" i="1" s="1"/>
  <c r="BK28" i="1" s="1"/>
  <c r="BK6" i="1"/>
  <c r="BK26" i="1" s="1"/>
  <c r="BK25" i="1" s="1"/>
  <c r="BK8" i="1"/>
  <c r="BK32" i="1" s="1"/>
  <c r="BK31" i="1" s="1"/>
  <c r="BL20" i="1"/>
  <c r="BL19" i="1" s="1"/>
  <c r="BK23" i="1"/>
  <c r="BK22" i="1" s="1"/>
  <c r="BZ12" i="10"/>
  <c r="CA57" i="10"/>
  <c r="CB53" i="10"/>
  <c r="CA8" i="10"/>
  <c r="BM4" i="1" s="1"/>
  <c r="BZ22" i="10"/>
  <c r="CA67" i="10"/>
  <c r="BZ13" i="10"/>
  <c r="CA58" i="10"/>
  <c r="BZ14" i="10"/>
  <c r="BL10" i="1" s="1"/>
  <c r="CA59" i="10"/>
  <c r="BZ16" i="10"/>
  <c r="BL12" i="1" s="1"/>
  <c r="BZ15" i="10"/>
  <c r="BL11" i="1" s="1"/>
  <c r="CA60" i="10"/>
  <c r="CA56" i="10"/>
  <c r="BZ11" i="10"/>
  <c r="BZ19" i="10"/>
  <c r="BL15" i="1" s="1"/>
  <c r="BZ18" i="10"/>
  <c r="BL14" i="1" s="1"/>
  <c r="BZ17" i="10"/>
  <c r="BL13" i="1" s="1"/>
  <c r="BZ20" i="10"/>
  <c r="CA65" i="10"/>
  <c r="BZ21" i="10"/>
  <c r="CA66" i="10"/>
  <c r="BZ9" i="10"/>
  <c r="BL5" i="1" s="1"/>
  <c r="CA54" i="10"/>
  <c r="CA55" i="10"/>
  <c r="BZ10" i="10"/>
  <c r="BL8" i="1" l="1"/>
  <c r="BL32" i="1" s="1"/>
  <c r="BL31" i="1" s="1"/>
  <c r="BL6" i="1"/>
  <c r="BL26" i="1" s="1"/>
  <c r="BL25" i="1" s="1"/>
  <c r="BL7" i="1"/>
  <c r="BL29" i="1" s="1"/>
  <c r="BL28" i="1" s="1"/>
  <c r="BL9" i="1"/>
  <c r="BL35" i="1" s="1"/>
  <c r="BL34" i="1" s="1"/>
  <c r="BM20" i="1"/>
  <c r="BM19" i="1" s="1"/>
  <c r="BL23" i="1"/>
  <c r="BL22" i="1" s="1"/>
  <c r="CA20" i="10"/>
  <c r="CB65" i="10"/>
  <c r="CA18" i="10"/>
  <c r="BM14" i="1" s="1"/>
  <c r="CA16" i="10"/>
  <c r="BM12" i="1" s="1"/>
  <c r="CB56" i="10"/>
  <c r="CA11" i="10"/>
  <c r="CC53" i="10"/>
  <c r="CC8" i="10" s="1"/>
  <c r="CB8" i="10"/>
  <c r="CA9" i="10"/>
  <c r="BM5" i="1" s="1"/>
  <c r="CB54" i="10"/>
  <c r="CA13" i="10"/>
  <c r="CB58" i="10"/>
  <c r="CA21" i="10"/>
  <c r="CB66" i="10"/>
  <c r="CA19" i="10"/>
  <c r="BM15" i="1" s="1"/>
  <c r="CA15" i="10"/>
  <c r="BM11" i="1" s="1"/>
  <c r="CB60" i="10"/>
  <c r="CA14" i="10"/>
  <c r="BM10" i="1" s="1"/>
  <c r="CB59" i="10"/>
  <c r="CA22" i="10"/>
  <c r="CB67" i="10"/>
  <c r="CB57" i="10"/>
  <c r="CA12" i="10"/>
  <c r="CA10" i="10"/>
  <c r="CB55" i="10"/>
  <c r="CA17" i="10"/>
  <c r="BM13" i="1" s="1"/>
  <c r="BM7" i="1" l="1"/>
  <c r="BM29" i="1" s="1"/>
  <c r="BM28" i="1" s="1"/>
  <c r="BM6" i="1"/>
  <c r="BM8" i="1"/>
  <c r="BM32" i="1" s="1"/>
  <c r="BM31" i="1" s="1"/>
  <c r="BM9" i="1"/>
  <c r="BM35" i="1" s="1"/>
  <c r="BM34" i="1" s="1"/>
  <c r="C12" i="1"/>
  <c r="BM23" i="1"/>
  <c r="BM22" i="1" s="1"/>
  <c r="CB10" i="10"/>
  <c r="CC55" i="10"/>
  <c r="CC10" i="10" s="1"/>
  <c r="CB22" i="10"/>
  <c r="CC67" i="10"/>
  <c r="CC22" i="10" s="1"/>
  <c r="CC54" i="10"/>
  <c r="CC9" i="10" s="1"/>
  <c r="CB9" i="10"/>
  <c r="CB18" i="10"/>
  <c r="CC18" i="10"/>
  <c r="CB11" i="10"/>
  <c r="CC56" i="10"/>
  <c r="CC11" i="10" s="1"/>
  <c r="CC57" i="10"/>
  <c r="CC12" i="10" s="1"/>
  <c r="CB12" i="10"/>
  <c r="CB15" i="10"/>
  <c r="CC60" i="10"/>
  <c r="CC15" i="10" s="1"/>
  <c r="CB21" i="10"/>
  <c r="CC66" i="10"/>
  <c r="CC21" i="10" s="1"/>
  <c r="CB17" i="10"/>
  <c r="CC17" i="10"/>
  <c r="CB14" i="10"/>
  <c r="CC59" i="10"/>
  <c r="CC14" i="10" s="1"/>
  <c r="CB19" i="10"/>
  <c r="CC19" i="10"/>
  <c r="CB13" i="10"/>
  <c r="CC58" i="10"/>
  <c r="CC13" i="10" s="1"/>
  <c r="CC16" i="10"/>
  <c r="CB16" i="10"/>
  <c r="CB20" i="10"/>
  <c r="CC65" i="10"/>
  <c r="CC20" i="10" s="1"/>
  <c r="C5" i="1" l="1"/>
  <c r="C28" i="1"/>
  <c r="C21" i="1"/>
  <c r="C3" i="1"/>
  <c r="C24" i="1"/>
  <c r="C13" i="1"/>
  <c r="C20" i="1"/>
  <c r="C8" i="1"/>
  <c r="C25" i="1"/>
  <c r="C9" i="1"/>
  <c r="C10" i="1"/>
  <c r="C18" i="1"/>
  <c r="BM26" i="1"/>
  <c r="BM25" i="1" s="1"/>
  <c r="C26" i="1"/>
  <c r="C6" i="1"/>
  <c r="C15" i="1"/>
  <c r="C17" i="1"/>
  <c r="C22" i="1"/>
  <c r="C16" i="1"/>
  <c r="C7" i="1"/>
  <c r="C14" i="1"/>
  <c r="C23" i="1"/>
  <c r="C11" i="1"/>
  <c r="C4" i="1"/>
  <c r="C27" i="1"/>
  <c r="C19" i="1"/>
  <c r="X22" i="1"/>
  <c r="T19" i="1"/>
  <c r="K26" i="1"/>
  <c r="K25" i="1" s="1"/>
  <c r="W26" i="1"/>
  <c r="W25" i="1" s="1"/>
  <c r="Z22" i="1"/>
  <c r="AI22" i="1" l="1"/>
  <c r="Q22" i="1" l="1"/>
  <c r="M26" i="1"/>
  <c r="M25" i="1" s="1"/>
  <c r="Q26" i="1"/>
  <c r="Q25" i="1" s="1"/>
  <c r="V26" i="1"/>
  <c r="V25" i="1" s="1"/>
  <c r="AL22" i="1" l="1"/>
  <c r="U19" i="1" l="1"/>
  <c r="O22" i="1"/>
  <c r="J22" i="1"/>
  <c r="O26" i="1"/>
  <c r="O25" i="1" s="1"/>
  <c r="R19" i="1"/>
  <c r="AL19" i="1"/>
  <c r="AI19" i="1" l="1"/>
  <c r="N22" i="1" l="1"/>
  <c r="AE22" i="1" l="1"/>
  <c r="AN22" i="1"/>
  <c r="H19" i="1"/>
  <c r="K19" i="1" l="1"/>
  <c r="T22" i="1"/>
  <c r="P26" i="1"/>
  <c r="P25" i="1" s="1"/>
  <c r="Y22" i="1"/>
  <c r="AN19" i="1"/>
  <c r="AD22" i="1" l="1"/>
  <c r="S22" i="1"/>
  <c r="AG19" i="1"/>
  <c r="AO19" i="1"/>
  <c r="G26" i="1"/>
  <c r="G25" i="1" s="1"/>
  <c r="M22" i="1"/>
  <c r="N26" i="1"/>
  <c r="N25" i="1" s="1"/>
  <c r="T26" i="1"/>
  <c r="T25" i="1" s="1"/>
  <c r="AG22" i="1"/>
  <c r="K22" i="1"/>
  <c r="AK19" i="1" l="1"/>
  <c r="J26" i="1"/>
  <c r="J25" i="1" s="1"/>
  <c r="AF22" i="1" l="1"/>
  <c r="I22" i="1"/>
  <c r="I19" i="1"/>
  <c r="Y19" i="1"/>
  <c r="F22" i="1"/>
  <c r="R22" i="1"/>
  <c r="S19" i="1"/>
  <c r="AE19" i="1"/>
  <c r="Q19" i="1"/>
  <c r="AM19" i="1"/>
  <c r="L19" i="1"/>
  <c r="AF19" i="1"/>
  <c r="F29" i="1"/>
  <c r="F28" i="1" s="1"/>
  <c r="V22" i="1" l="1"/>
  <c r="G22" i="1"/>
  <c r="AB22" i="1"/>
  <c r="AC22" i="1"/>
  <c r="AK22" i="1"/>
  <c r="G19" i="1"/>
  <c r="AA19" i="1"/>
  <c r="AD19" i="1"/>
  <c r="X19" i="1"/>
  <c r="AH19" i="1"/>
  <c r="M19" i="1"/>
  <c r="P22" i="1"/>
  <c r="S26" i="1"/>
  <c r="S25" i="1" s="1"/>
  <c r="X26" i="1"/>
  <c r="X25" i="1" s="1"/>
  <c r="AM22" i="1"/>
  <c r="O19" i="1"/>
  <c r="W19" i="1"/>
  <c r="AJ19" i="1"/>
  <c r="Z19" i="1"/>
  <c r="H22" i="1" l="1"/>
  <c r="H26" i="1"/>
  <c r="H25" i="1" s="1"/>
  <c r="W22" i="1"/>
  <c r="V19" i="1"/>
  <c r="J19" i="1"/>
  <c r="AB19" i="1" l="1"/>
  <c r="AH22" i="1"/>
  <c r="AJ22" i="1"/>
  <c r="AC19" i="1"/>
  <c r="N19" i="1"/>
  <c r="F26" i="1" l="1"/>
  <c r="F25" i="1" s="1"/>
  <c r="U22" i="1"/>
  <c r="P19" i="1" l="1"/>
  <c r="L22" i="1"/>
  <c r="AA22" i="1"/>
  <c r="AP19" i="1"/>
  <c r="F35" i="9" a="1"/>
  <c r="F35" i="9" l="1"/>
  <c r="G35" i="9" s="1"/>
  <c r="H35" i="9" s="1"/>
  <c r="F36" i="9" l="1" a="1"/>
  <c r="F36" i="9" l="1"/>
  <c r="G36" i="9" s="1"/>
  <c r="H36" i="9" s="1"/>
  <c r="F37" i="9" l="1" a="1"/>
  <c r="F37" i="9"/>
  <c r="G37" i="9" s="1"/>
  <c r="H37" i="9" s="1"/>
  <c r="F38" i="9" a="1"/>
  <c r="F38" i="9"/>
  <c r="G38" i="9" s="1"/>
  <c r="H38" i="9" s="1"/>
  <c r="F39" i="9" a="1"/>
  <c r="F39" i="9"/>
  <c r="G39" i="9" s="1"/>
  <c r="H39" i="9" s="1"/>
  <c r="F40" i="9" a="1"/>
  <c r="F40" i="9"/>
  <c r="G40" i="9" s="1"/>
  <c r="H40" i="9" s="1"/>
  <c r="F41" i="9" a="1"/>
  <c r="F41" i="9"/>
  <c r="G41" i="9" s="1"/>
  <c r="H41" i="9" s="1"/>
  <c r="F42" i="9" a="1"/>
  <c r="F42" i="9"/>
  <c r="G42" i="9" s="1"/>
  <c r="H42" i="9" s="1"/>
  <c r="F43" i="9" a="1"/>
  <c r="F43" i="9"/>
  <c r="G43" i="9" s="1"/>
  <c r="H43" i="9" s="1"/>
  <c r="F44" i="9" a="1"/>
  <c r="F44" i="9"/>
  <c r="G44" i="9" s="1"/>
  <c r="H44" i="9" s="1"/>
  <c r="F45" i="9" a="1"/>
  <c r="F45" i="9"/>
  <c r="G45" i="9" s="1"/>
  <c r="H45" i="9" s="1"/>
  <c r="F46" i="9" a="1"/>
  <c r="F46" i="9"/>
  <c r="G46" i="9" s="1"/>
  <c r="H46" i="9" s="1"/>
  <c r="F47" i="9" a="1"/>
  <c r="F47" i="9"/>
  <c r="G47" i="9" s="1"/>
  <c r="H47" i="9" s="1"/>
  <c r="F48" i="9" a="1"/>
  <c r="F48" i="9"/>
  <c r="G48" i="9" s="1"/>
  <c r="H48" i="9" s="1"/>
  <c r="F49" i="9" a="1"/>
  <c r="F49" i="9"/>
  <c r="G49" i="9" s="1"/>
  <c r="H49" i="9" s="1"/>
  <c r="F50" i="9" a="1"/>
  <c r="F50" i="9"/>
  <c r="G50" i="9" s="1"/>
  <c r="H50" i="9" s="1"/>
  <c r="F51" i="9" a="1"/>
  <c r="F51" i="9"/>
  <c r="G51" i="9" s="1"/>
  <c r="H51" i="9" s="1"/>
  <c r="F52" i="9" a="1"/>
  <c r="F52" i="9"/>
  <c r="G52" i="9" s="1"/>
  <c r="H52" i="9" s="1"/>
  <c r="F53" i="9" a="1"/>
  <c r="F53" i="9"/>
  <c r="G53" i="9" s="1"/>
  <c r="H53" i="9" s="1"/>
  <c r="F54" i="9" a="1"/>
  <c r="F54" i="9"/>
  <c r="G54" i="9" s="1"/>
  <c r="H54" i="9" s="1"/>
  <c r="F55" i="9" a="1"/>
  <c r="F55" i="9"/>
  <c r="G55" i="9" s="1"/>
  <c r="H55" i="9" s="1"/>
  <c r="F56" i="9" a="1"/>
  <c r="F56" i="9"/>
  <c r="G56" i="9" s="1"/>
  <c r="H56" i="9" s="1"/>
  <c r="F57" i="9" a="1"/>
  <c r="F57" i="9"/>
  <c r="G57" i="9" s="1"/>
  <c r="H57" i="9" s="1"/>
  <c r="F58" i="9" a="1"/>
  <c r="F58" i="9"/>
  <c r="G58" i="9" s="1"/>
  <c r="H58" i="9" s="1"/>
  <c r="F59" i="9" a="1"/>
  <c r="F59" i="9"/>
  <c r="G59" i="9" s="1"/>
  <c r="H59" i="9" s="1"/>
  <c r="I34" i="9" s="1"/>
</calcChain>
</file>

<file path=xl/sharedStrings.xml><?xml version="1.0" encoding="utf-8"?>
<sst xmlns="http://schemas.openxmlformats.org/spreadsheetml/2006/main" count="1178" uniqueCount="683">
  <si>
    <t>,</t>
  </si>
  <si>
    <t xml:space="preserve"> </t>
  </si>
  <si>
    <t>.</t>
  </si>
  <si>
    <t>-</t>
  </si>
  <si>
    <t>E</t>
  </si>
  <si>
    <t>B</t>
  </si>
  <si>
    <t>U</t>
  </si>
  <si>
    <t>A</t>
  </si>
  <si>
    <t>D</t>
  </si>
  <si>
    <t>L</t>
  </si>
  <si>
    <t>M</t>
  </si>
  <si>
    <t>Y</t>
  </si>
  <si>
    <t>S</t>
  </si>
  <si>
    <t>F</t>
  </si>
  <si>
    <t>R</t>
  </si>
  <si>
    <t>T</t>
  </si>
  <si>
    <t>I</t>
  </si>
  <si>
    <t>O</t>
  </si>
  <si>
    <t>C</t>
  </si>
  <si>
    <t>G</t>
  </si>
  <si>
    <t>H</t>
  </si>
  <si>
    <t>J</t>
  </si>
  <si>
    <t>K</t>
  </si>
  <si>
    <t>N</t>
  </si>
  <si>
    <t>P</t>
  </si>
  <si>
    <t>Q</t>
  </si>
  <si>
    <t>V</t>
  </si>
  <si>
    <t>W</t>
  </si>
  <si>
    <t>X</t>
  </si>
  <si>
    <t>Z</t>
  </si>
  <si>
    <t>''</t>
  </si>
  <si>
    <t>PUZZLE MAKER - ENTER THE PUZZLE IN THE BOX. THE PUZZLE WILL APPEAR ABOVE IN BOLD</t>
  </si>
  <si>
    <t>`</t>
  </si>
  <si>
    <t>~</t>
  </si>
  <si>
    <t>PUZZLE</t>
  </si>
  <si>
    <t>SOLUTION</t>
  </si>
  <si>
    <t/>
  </si>
  <si>
    <t>words</t>
  </si>
  <si>
    <t>cumulative chars (including spaces</t>
  </si>
  <si>
    <t>chars</t>
  </si>
  <si>
    <t>characters (inc spaces)</t>
  </si>
  <si>
    <t>linebreaks after x characters</t>
  </si>
  <si>
    <t>determine line breaks</t>
  </si>
  <si>
    <t>Row 1</t>
  </si>
  <si>
    <t>Row 2</t>
  </si>
  <si>
    <t>Row 3</t>
  </si>
  <si>
    <t>Row 4</t>
  </si>
  <si>
    <t>Row 5</t>
  </si>
  <si>
    <t>Row 6</t>
  </si>
  <si>
    <t>Row 7</t>
  </si>
  <si>
    <t>Row 8</t>
  </si>
  <si>
    <t>Row 9</t>
  </si>
  <si>
    <t>char at new row</t>
  </si>
  <si>
    <t>Row 10</t>
  </si>
  <si>
    <t>Row 11</t>
  </si>
  <si>
    <t>intervals of</t>
  </si>
  <si>
    <t>starting character</t>
  </si>
  <si>
    <t>characters in row</t>
  </si>
  <si>
    <t>Row Number</t>
  </si>
  <si>
    <t>Word Number</t>
  </si>
  <si>
    <t>Row 12</t>
  </si>
  <si>
    <t>Row 13</t>
  </si>
  <si>
    <t>Row 14</t>
  </si>
  <si>
    <t>Row 15</t>
  </si>
  <si>
    <t>Quote</t>
  </si>
  <si>
    <t>Number</t>
  </si>
  <si>
    <t>Characters</t>
  </si>
  <si>
    <t>HARD WORK PAYS OFF IN THE FUTURE. LAZINESS PAYS OFF NOW.</t>
  </si>
  <si>
    <t>THREE OUT OF FOUR PEOPLE MAKE UP 75% OF THE POPULATION.</t>
  </si>
  <si>
    <t>A BANKER IS A FELLOW WHO LENDS YOU HIS UMBRELLA WHEN THE SUN IS SHINING AND WANTS IT BACK THE MINUTE IT BEGINS TO RAIN. - MARK TWAIN</t>
  </si>
  <si>
    <t>ACCOMPLISHING THE IMPOSSIBLE MEANS ONLY THAT THE BOSS WILL ADD IT TO YOUR REGULAR DUTIES. -DOUG LARSON</t>
  </si>
  <si>
    <t>A CHICKEN IS AN EGG'S WAY OF MAKING ANOTHER EGG</t>
  </si>
  <si>
    <t>A CLOSED MOUTH GATHERS NO FOOT.</t>
  </si>
  <si>
    <t>A CONSCIENCE IS WHAT HURTS WHEN ALL YOUR OTHER PARTS FEEL SO GOOD.</t>
  </si>
  <si>
    <t>A DAY FOR FIRM DECISIONS! OR IS IT?</t>
  </si>
  <si>
    <t>A DEVICE THAT WILL CUT YOUR FUEL BILLS IN HALF - SCISSORS</t>
  </si>
  <si>
    <t>A DOG IS A DOG UNLESS HE IS FACING YOU. THEN HE IS MR. DOG.</t>
  </si>
  <si>
    <t>A GOVERNMENT THAT ROBS PETER TO PAY PAUL CAN ALWAYS DEPEND ON THE SUPPORT OF PAUL. -GEORGE BERNARD SHAW</t>
  </si>
  <si>
    <t>ALWAYS TRY TO MAKE OTHER PEOPLE HAPPY, EVEN IF YOU HAVE TO LEAVE THEM ALONE TO DO IT</t>
  </si>
  <si>
    <t>A NEAT DESK IS A SIGN OF A CLUTTERED DESK DRAWER.</t>
  </si>
  <si>
    <t>A NEAT DESK IS THE SIGN OF A SICK MIND.</t>
  </si>
  <si>
    <t>A SENTENCE IS SOMETHING YOU SHOULD NEVER PUT A PREPOSITION AT THE END OF.</t>
  </si>
  <si>
    <t>A SIGNATURE ALWAYS REVEALS A MAN'S CHARACTER - AND SOMETIMES EVEN HIS NAME.</t>
  </si>
  <si>
    <t>A SINE CURVE GOES OFF TO INFINITY, OR AT LEAST TO THE END OF THE BLACKBOARD.</t>
  </si>
  <si>
    <t>A SURE CURE FOR SEASICKNESS IS TO SIT UNDER A TREE. -SPIKE MILLIGAN.</t>
  </si>
  <si>
    <t>ALL MEN CAN FLY, BUT SADLY, ONLY IN ONE DIRECTION - DOWN.</t>
  </si>
  <si>
    <t>ALL MY LIFE I WANTED TO BE SOMEONE. I GUESS I SHOULD HAVE BEEN MORE SPECIFIC.</t>
  </si>
  <si>
    <t>ANYONE WHO ISN'T CONFUSED REALLY DOESN'T UNDERSTAND THE SITUATION. -EDWARD R. MURROW</t>
  </si>
  <si>
    <t>ALWAYS REMEMBER YOU'RE UNIQUE, JUST LIKE EVERYONE ELSE.</t>
  </si>
  <si>
    <t>ANYTHING WORTH TAKING SERIOUSLY IS WORTH MAKING FUN OF.</t>
  </si>
  <si>
    <t>ARTIFICIAL INTELLIGENCE IS NO MATCH FOR NATURAL STUPIDITY.</t>
  </si>
  <si>
    <t>BEAUTY IS ONLY SKIN DEEP, BUT UGLY GOES RIGHT TO THE BONE</t>
  </si>
  <si>
    <t>BEFORE YOU CRITICIZE SOMEONE, YOU SHOULD WALK A MILE IN THEIR SHOES. THAT WAY, WHEN YOU CRITICIZE THEM, YOU'RE A MILE AWAY, AND YOU HAVE THEIR SHOES</t>
  </si>
  <si>
    <t>BE NICE TO YOUR KIDS. THEY'LL CHOOSE YOUR NURSING HOME.</t>
  </si>
  <si>
    <t>BOOMERANGS ARE COMING BACK, SKI SLOPES ARE GOING DOWNHILL, BUT EXIT SIGNS ARE ON THE WAY OUT.</t>
  </si>
  <si>
    <t>BREAKING THE LAW OF GRAVITY ISN'T PAINFUL IT'S GETTING CAUGHT THAT HURTS.</t>
  </si>
  <si>
    <t>CAUTION: DO NOT LOOK INTO LASER WITH REMAINING EYE.</t>
  </si>
  <si>
    <t>CHANGE IS INEVITABLE, EXCEPT FROM A VENDING MACHINE.</t>
  </si>
  <si>
    <t>DEMOCRACY IS FOUR WOLVES AND A LAMB VOTING ON WHAT TO HAVE FOR LUNCH.</t>
  </si>
  <si>
    <t>DID YOU KNOW THE WORD GULLIBLE IS NOT IN THE DICTIONARY?</t>
  </si>
  <si>
    <t>DIPLOMACY IS THE ART OF SAYING 'GOOD DOGGIE' WHILE LOOKING FOR A BIGGER STICK.</t>
  </si>
  <si>
    <t>DON'T PERSONIFY COMPUTERS - WE DON'T LIKE IT.</t>
  </si>
  <si>
    <t>DON'T USE A BIG WORD WHERE A DIMINUTIVE ONE WILL SUFFICE.</t>
  </si>
  <si>
    <t>DON'T WORRY ABOUT AVOIDING TEMPTATION - AS YOU GROW OLDER, IT STARTS AVOIDING YOU.</t>
  </si>
  <si>
    <t>DON'T WORRY ABOUT THE WORLD ENDING TODAY, IT'S ALREADY TOMORROW IN AUSTRALIA</t>
  </si>
  <si>
    <t>EAGLES MAY SOAR, BUT WEASELS DON'T GET SUCKED INTO JET ENGINES.</t>
  </si>
  <si>
    <t>ENTERTAINMENT IS JUST TALKING LOUDER THAN THE AUDIENCE.</t>
  </si>
  <si>
    <t>EVERYONE HAS A PHOTOGRAPHIC MEMORY, SOME JUST DON'T HAVE FILM.</t>
  </si>
  <si>
    <t>EVERYONE IS SOMEONE ELSE'S WEIRDO.</t>
  </si>
  <si>
    <t>EXPERIENCE IS SOMETHING YOU GET JUST AFTER YOU NEED IT.</t>
  </si>
  <si>
    <t>FREE JAZZ IS SO CALLED BECAUSE NO-ONE WOULD EVER BUY IT.</t>
  </si>
  <si>
    <t>FRISBEETARIANISM: THE BELIEF THAT WHEN YOU DIE, YOUR SOUL GOES UP ON THE ROOF AND GETS STUCK.</t>
  </si>
  <si>
    <t>GIVE A MAN A FISH AND YOU FEED HIM FOR A DAY. TEACH A MAN TO FISH, AND YOU CAN SELL HIM SOME TACKLE</t>
  </si>
  <si>
    <t>"GRANDMA USED TO SAY…'MONEY IS NOT THE KEY TO HAPPINESS. IF YOU HAVE MONEY YOU CAN ALWAYS HAVE A KEY MADE.</t>
  </si>
  <si>
    <t>HANGOVER: THE WRATH OF GRAPES.</t>
  </si>
  <si>
    <t>HAPPINESS MAKES UP IN HEIGHT WHAT IT LACKS IN LENGTH.</t>
  </si>
  <si>
    <t>AS A COMPUTER, I FIND YOUR FAITH IN TECHNOLOGY AMUSING.</t>
  </si>
  <si>
    <t>ASK ME ABOUT MY VOW OF SILENCE.</t>
  </si>
  <si>
    <t>ATHEISM IS A NON-PROPHET ORGANISATION.</t>
  </si>
  <si>
    <t>HE WHO LAUGHS LAST DIDN'T UNDERSTAND THE JOKE</t>
  </si>
  <si>
    <t>HE'S SUPPOSED TO SOUND LIKE HE'S IN PAIN, HE'S A FOLK SINGER.</t>
  </si>
  <si>
    <t>HOW DO YOU TELL WHEN YOU RUN OUT OF INVISIBLE INK?</t>
  </si>
  <si>
    <t>I AM NOT YOUNG ENOUGH TO KNOW EVERYTHING. - OSCAR WILDE</t>
  </si>
  <si>
    <t>I DIDN'T SAY IT WAS YOUR FAULT. I SAID I WAS GOING TO BLAME YOU.</t>
  </si>
  <si>
    <t>I REFUSE TO HAVE A BATTLE OF WITS WITH AN UNARMED OPPONENT.</t>
  </si>
  <si>
    <t>I USED TO BE INDECISIVE, NOW I'M NOT SO SURE.</t>
  </si>
  <si>
    <t>I WONDER HOW MUCH DEEPER THE OCEAN WOULD BE WITHOUT SPONGES</t>
  </si>
  <si>
    <t>IF YOU TELL THE TRUTH, YOU DON'T HAVE TO REMEMBER ANYTHING.</t>
  </si>
  <si>
    <t>IF YOU THINK NOBODY CARES ABOUT YOU, TRY MISSING A COUPLE OF MORTGAGE PAYMENTS.</t>
  </si>
  <si>
    <t>I'M FEELING ARGUMENTATIVE. PLEASE CONTRADICT ME.</t>
  </si>
  <si>
    <t>I'M HAVING A DEJA VU EXPERIENCE, JUST LIKE LAST TIME.</t>
  </si>
  <si>
    <t>IF IT WEREN'T FOR THE LAST MINUTE, NOTHING WOULD GET DONE.</t>
  </si>
  <si>
    <t>IF LIFE WAS FAIR, ELVIS WOULD BE ALIVE AND ALL THE IMPERSONATORS WOULD BE DEAD. JOHNNY CARSON</t>
  </si>
  <si>
    <t>IF ONE SYNCHRONIZED SWIMMER DROWNS, DO THE REST HAVE TO DROWN TOO?</t>
  </si>
  <si>
    <t>IF TODAY IS THE FIRST DAY OF THE REST OF YOUR LIFE, WHAT WAS YESTERDAY?</t>
  </si>
  <si>
    <t>IF YOU ATE PASTA AND ANTIPASTA, WOULD YOU STILL BE HUNGRY?</t>
  </si>
  <si>
    <t>IF YOU STRANGLE A SMURF, WHAT COLOR DOES IT TURN?</t>
  </si>
  <si>
    <t>IF YOU LEND SOMEONE £20, AND NEVER SEE THAT PERSON AGAIN, IT WAS PROBABLY WORTH IT.</t>
  </si>
  <si>
    <t>IF YOU WANT SOMEONE TO CATCH SOMETHING, THROW IT AT THEIR NOSE.</t>
  </si>
  <si>
    <t>IT DOESN'T MATTER HOW YOU GET THERE IF YOU DON'T KNOW WHERE YOU'RE GOING.</t>
  </si>
  <si>
    <t>IT IS DANGEROUS TO BE RIGHT IN MATTERS ON WHICH THE ESTABLISHED AUTHORITIES ARE WRONG. -VOLTAIRE</t>
  </si>
  <si>
    <t>IT'S A SMALL WORLD, BUT I'D HATE TO HAVE TO PAINT IT.</t>
  </si>
  <si>
    <t>IT'S NOT THE HEIGHTS THAT BOTHER ME IT'S FALLING ON THE BOTTOMS OF THEM.</t>
  </si>
  <si>
    <t>I'VE GOT A MIND LIKE A.. A.. WHAT'S THAT THING CALLED?</t>
  </si>
  <si>
    <t>I'VE HAD AMNESIA FOR AS LONG AS I CAN REMEMBER</t>
  </si>
  <si>
    <t>LIFE IS WHAT HAPPENS TO YOU WHILE YOU'RE BUSY MAKING OTHER PLANS. - JOHN LENNON</t>
  </si>
  <si>
    <t>MILLIONS YEARN FOR IMMORTALITY WHO DON'T KNOW WHAT TO DO WITH THEMSELVES ON A RAINY SUNDAY AFTERNOON. - SUSAN ERTZ</t>
  </si>
  <si>
    <t>MY FAVOURITE SCIENTIFIC THEORY IS THAT THE RINGS OF SATURN ARE MADE OF LOST AIRLINE LUGGAGE.</t>
  </si>
  <si>
    <t>MY SUPPLY OF BRAIN CELLS IS FINALLY DOWN TO A MANAGEABLE SIZE</t>
  </si>
  <si>
    <t>NEVER ASK A BARBER IF HE THINKS YOU NEED A HAIRCUT.</t>
  </si>
  <si>
    <t>NEVER ATTRIBUTE TO MALICE WHAT CAN BE ADEQUATELY EXPLAINED BY STUPIDITY.</t>
  </si>
  <si>
    <t>NEVER TEST THE DEPTH OF THE WATER WITH BOTH FEET.</t>
  </si>
  <si>
    <t>NO ISSUE IS SO SMALL THAT IT CAN'T BE BLOWN OUT OF PROPORTION. -STUART HUGHES</t>
  </si>
  <si>
    <t>NO ONE IS LISTENING UNTIL YOU MAKE A MISTAKE.</t>
  </si>
  <si>
    <t>NO PROBLEM IS SO BIG THAT YOU CAN'T RUN AWAY FROM IT.</t>
  </si>
  <si>
    <t>OF COURSE, YOU MAY SMOKE - BUT PLEASE DON'T EXHALE.</t>
  </si>
  <si>
    <t>ON THE OTHER HAND, I HAVE SOME FINGERS.</t>
  </si>
  <si>
    <t>PERSONIFIERS OF THE WORLD! UNITE! YOU HAVE NOTHING TO LOSE BUT MR. DIGNITY!</t>
  </si>
  <si>
    <t>POUND FOR POUND, THE AMOEBA IS THE MOST VICIOUS ANIMAL ON EARTH.</t>
  </si>
  <si>
    <t>ROME WASN'T BUILT IN A DAY, IT JUST LOOKS LIKE THAT.</t>
  </si>
  <si>
    <t>SMASH FOREHEAD ON KEYBOARD TO CONTINUE.</t>
  </si>
  <si>
    <t>SOME DAYS YOU ARE THE FLY, OTHER DAYS YOU ARE THE WINDSCREEN.</t>
  </si>
  <si>
    <t>THAT'S OK. I DON'T REMEMBER MY NAME EITHER.</t>
  </si>
  <si>
    <t>THE AMOUNT OF SLEEP NEEDED BY THE AVERAGE PERSON IS TEN MINUTES MORE.</t>
  </si>
  <si>
    <t>THE EARLY BIRD GETS THE WORM, BUT THE EARLY WORM GETS EATEN.</t>
  </si>
  <si>
    <t>THE FACE OF A CHILD CAN SAY IT ALL, ESPECIALLY THE MOUTH PART OF THE FACE.</t>
  </si>
  <si>
    <t>THE LION AND THE CALF SHALL LIE DOWN TOGETHER BUT THE CALF WON'T GET MUCH SLEEP. -WOODY ALLEN</t>
  </si>
  <si>
    <t>THE RACE IS NOT ALWAYS TO THE SWIFT, NOR THE BATTLE TO THE STRONG - BUT THAT'S THE WAY TO BET. - DAMON RUNYON</t>
  </si>
  <si>
    <t>THE TROUBLE WITH BEING PUNCTUAL IS THAT NOBODY'S THERE TO APPRECIATE IT. -FRANKLIN P. JONES</t>
  </si>
  <si>
    <t>THERE ARE TWO KINDS OF PEOPLE, THOSE WHO DO THE WORK AND THOSE WHO TAKE THE CREDIT. TRY TO BE IN THE FIRST GROUP; THERE IS LESS COMPETITION THERE. - INDIRA GANDHI</t>
  </si>
  <si>
    <t>THERE ARE THREE KINDS OF PEOPLE - THOSE WHO CAN COUNT, AND THOSE WHO CAN'T.</t>
  </si>
  <si>
    <t>THERE'S NO FUTURE IN TIME TRAVEL.</t>
  </si>
  <si>
    <t>TIME FLIES LIKE AN ARROW, FRUIT FLIES LIKE A BANANA</t>
  </si>
  <si>
    <t>TO STEAL IDEAS FROM ONE PERSON IS PLAGIARISM; TO STEAL FROM MANY IS RESEARCH.</t>
  </si>
  <si>
    <t>'VENI, VIDI, VELCRO' - I CAME, I SAW, I STUCK AROUND.</t>
  </si>
  <si>
    <t>'VENI, VIDI, VISA'. I CAME. I SAW. I DID A LITTLE SHOPPING.</t>
  </si>
  <si>
    <t>WHAT SETS US APART FROM ANIMALS IS THAT WE'RE NOT AFRAID OF VACUUM CLEANERS.</t>
  </si>
  <si>
    <t>WHEN A STUPID MAN IS DOING SOMETHING HE IS ASHAMED OF, HE ALWAYS DECLARES THAT IT IS HIS DUTY. -GEORGE BERNARD SHAW</t>
  </si>
  <si>
    <t>YOU DON'T NEED AN ENGINE TO GO DOWNHILL.</t>
  </si>
  <si>
    <t>IT'S IMPORTANT TO HAVE AN OPEN MIND, BUT NOT SO OPEN THAT YOUR BRAINS FALL OUT.</t>
  </si>
  <si>
    <t>THE DOPELER EFFECT IS THE TENDENCY OF STUPID IDEAS TO SEEM SMARTER WHEN THEY COME AT YOU RAPIDLY</t>
  </si>
  <si>
    <t>25% OF THE GENERAL POPULATION BELIEVE IN STATISTICS. THE OTHER 80% DON'T TRUST THEM AT ALL.</t>
  </si>
  <si>
    <t>95% OF STATISTICS ARE JUST MADE UP ANYWAY.</t>
  </si>
  <si>
    <t>A NEW STUDY SHOWS THAT LICKING THE SWEAT OFF A FROG CAN CURE DEPRESSION. THE DOWN SIDE IS, THE MINUTE YOU STOP LICKING, THE FROG GETS DEPRESSED AGAIN.</t>
  </si>
  <si>
    <t>ANYTHING NOT NAILED DOWN IS MINE. ANYTHING I CAN PRY LOOSE IS NOT NAILED DOWN.</t>
  </si>
  <si>
    <t>I ALWAYS WIN. EXCEPT WHEN I LOSE, BUT THEN I JUST DON'T COUNT IT.</t>
  </si>
  <si>
    <t>I WENT TO A RESTAURANT THAT WAS SO EXPENSIVE THAT THEY DIDN'T HAVE PRICES ON THE MENU - JUST LITTLE FACES WITH VARYING EXPRESSIONS OF HORROR.</t>
  </si>
  <si>
    <t>THE PERSON WHO KNOWS HOW TO LAUGH AT HIMSELF WILL NEVER CEASE TO BE AMUSED</t>
  </si>
  <si>
    <t>WHERE IN THE NURSERY RHYME DOES IT SAY HUMPTY DUMPTY IS AN EGG?</t>
  </si>
  <si>
    <t>IT IS IMPOSSIBLE TO MAKE ANYTHING FOOLPROOF BECAUSE FOOLS ARE SO INGENIOUS.</t>
  </si>
  <si>
    <t>THE TROUBLE WITH DOING SOMETHING RIGHT THE FIRST TIME, IS NOBODY APPRECIATES HOW DIFFICULT IT WAS.</t>
  </si>
  <si>
    <t>EVERYBODY LIES, BUT IT DOESN'T MATTER SINCE NOBODY LISTENS.</t>
  </si>
  <si>
    <t>WHEN I WAS BORN, I WAS SO SURPRISED, I COULDN'T TALK FOR A YEAR AND A HALF!</t>
  </si>
  <si>
    <t>TO ERR IS HUMAN, TO BLAME THE NEXT GUY EVEN MORE SO.</t>
  </si>
  <si>
    <t>THERE ARE TWO RULES FOR SUCCESS... 1) NEVER TELL EVERYTHING YOU KNOW.</t>
  </si>
  <si>
    <t>BE NICE TO OTHER PEOPLE; THEY OUTNUMBER YOU 5.5 BILLION TO ONE.</t>
  </si>
  <si>
    <t>COURAGE IS THE ART OF BEING THE ONLY ONE THAT KNOWS YOU'RE SCARED TO DEATH. -EARL WILSON</t>
  </si>
  <si>
    <t>EVEN IF YOU'RE ON THE RIGHT TRACK, YOU'LL GET RUN OVER IF YOU JUST SIT THERE. -WILL ROGERS</t>
  </si>
  <si>
    <t>I HAVE GIVEN UP ANARCHY. TOO MANY RULES - HATING THE GOVERNMENT AND ALL THAT STUFF. -G.H. HILL</t>
  </si>
  <si>
    <t>THE ONLY REASON SOME PEOPLE GET LOST IN THOUGHT BECAUSE IT IS UNFAMILIAR TERRITORY.</t>
  </si>
  <si>
    <t>TALK IS CHEAP BECAUSE SUPPLY EXCEEDS DEMAND</t>
  </si>
  <si>
    <t>START EVERY DAY OFF WITH A SMILE AND GET IT OVER WITH.</t>
  </si>
  <si>
    <t>JUST BECAUSE SOMETHING DOESN'T DO WHAT YOU PLANNED IT TO DO DOESN'T MEAN IT'S USELESS.</t>
  </si>
  <si>
    <t>THERE ARE TWO KINDS OF PEOPLE, THOSE WHO FINISH WHAT THEY START AND SO ON.</t>
  </si>
  <si>
    <t>IT IS THE DULL MAN WHO IS ALWAYS SURE, AND THE SURE MAN WHO IS ALWAYS DULL. - H. L. MENCKEN</t>
  </si>
  <si>
    <t>A GREAT MANY PEOPLE THINK THEY ARE THINKING WHEN THEY ARE MERELY REARRANGING THEIR PREJUDICES. - WILLIAM JAMES</t>
  </si>
  <si>
    <t>HALF OF THE PEOPLE IN THE WORLD ARE BELOW AVERAGE.</t>
  </si>
  <si>
    <t>MALE ZEBRAS HAVE WHITE STRIPES, FEMALE ZEBRAS HAVE BLACK STRIPES.</t>
  </si>
  <si>
    <t>COMPUTERS ARE USELESS. THEY CAN ONLY GIVE ANSWERS.</t>
  </si>
  <si>
    <t>THERE HAS BEEN AN ALARMING INCREASE IN THE NUMBER OF THINGS YOU KNOW ABSOLUTELY NOTHING ABOUT.</t>
  </si>
  <si>
    <t>NEVER KEEP UP WITH THE JONESES. DRAG THEM DOWN TO YOUR LEVEL. IT'S CHEAPER. -QUENTIN CRISP</t>
  </si>
  <si>
    <t>THERE ARE ONLY TWO INDUSTRIES THAT REFER TO THEIR CUSTOMERS AS 'USERS'. -EDWARD TUFTE</t>
  </si>
  <si>
    <t>I LOATHE PEOPLE WHO KEEP DOGS. THEY ARE COWARDS WHO HAVEN'T GOT THE GUTS TO BITE PEOPLE THEMSELVES. -AUGUST STRINDBERG</t>
  </si>
  <si>
    <t>EVEN IF YOU WIN THE RAT RACE, YOU'RE STILL A RAT.</t>
  </si>
  <si>
    <t>FOR EVERY PROBLEM THERE IS A SOLUTION WHICH IS SIMPLE, NEAT AND WRONG.</t>
  </si>
  <si>
    <t>NATIVES WHO BEAT DRUMS TO DRIVE OFF EVIL SPIRITS ARE OBJECTS OF SCORN TO SMART PEOPLE WHO BLOW HORNS TO BREAK UP TRAFFIC JAMS.</t>
  </si>
  <si>
    <t>ALL SWEEPING GENERALISATIONS ARE WRONG.</t>
  </si>
  <si>
    <t>I AVOID CLICHÉS LIKE THE PLAGUE.</t>
  </si>
  <si>
    <t>MY SOURCES ARE UNRELIABLE, BUT THEIR INFORMATION IS FASCINATING.</t>
  </si>
  <si>
    <t>BELIEVE THOSE WHO SEEK THE TRUTH; DOUBT THOSE THAT FIND IT. -ANDRE GIDE</t>
  </si>
  <si>
    <t>WHEN YOU FIND YOURSELF IN A HOLE, THE FIRST THING TO DO IS STOP DIGGING.</t>
  </si>
  <si>
    <t>DEMOCRACY IS THE WORST POSSIBLE FORM OF GOVERNMENT, EXCEPT FOR ALL THE OTHERS.</t>
  </si>
  <si>
    <t>WE HAVE THE FINEST POLITICIANS THAT MONEY CAN BUY.</t>
  </si>
  <si>
    <t>NEVER EXPLAIN -- YOUR FRIENDS DO NOT NEED IT AND YOUR ENEMIES WILL NOT BELIEVE YOU ANYWAY.</t>
  </si>
  <si>
    <t>IT IS A MIRACLE THAT CURIOSITY SURVIVES FORMAL EDUCATION. - ALBERT EINSTEIN</t>
  </si>
  <si>
    <t>I USED TO KNOW EVERYTHING, TILL EVERYTHING CHANGED. -SGT PHIL GIRVAN</t>
  </si>
  <si>
    <t>YOU CAN HAVE PEACE, OR YOU CAN HAVE FREEDOM. DON'T EVER COUNT ON HAVING BOTH AT ONCE.</t>
  </si>
  <si>
    <t>ANYTHING FREE IS WORTH THE PRICE.</t>
  </si>
  <si>
    <t>ALWAYS LISTEN TO EXPERTS. THEY'LL TELL YOU WHAT CAN'T BE DONE, AND WHY. THEN GO AND DO IT ANYWAY.</t>
  </si>
  <si>
    <t>ALL THAT IS NECESSARY FOR THE FORCES OF EVIL TO TAKE ROOT IN THE WORLD IS FOR ENOUGH GOOD MEN TO DO NOTHING. - EDMUND BURKE</t>
  </si>
  <si>
    <t>I FIND TELEVISION VERY EDUCATIONAL. EVERY TIME SOMEONE SWITCHES IT ON I GO INTO ANOTHER ROOM AND READ A GOOD BOOK. -GROUCHO MARX</t>
  </si>
  <si>
    <t>WISDOM HAS TWO PARTS: 1) HAVING A LOT TO SAY, AND 2) NOT SAYING IT.</t>
  </si>
  <si>
    <t>I'M NOT STUPID. I JUST HAVE A COMMAND OF THOROUGHLY USELESS INFORMATION.</t>
  </si>
  <si>
    <t>PEOPLE WILL ACCEPT YOUR IDEAS MUCH MORE READILY IF YOU TELL THEM BENJAMIN FRANKLIN SAID IT FIRST.</t>
  </si>
  <si>
    <t>THE TWO MOST COMMON ELEMENTS IN THE UNIVERSE ARE HYDROGEN AND STUPIDITY. -ISAAC ASIMOV</t>
  </si>
  <si>
    <t>COMPROMISE IS THE ART OF DIVIDING A CAKE SO EVERYONE BELIEVES HE GOT THE BIGGEST PIECE. -LUDWIG ERHARD</t>
  </si>
  <si>
    <t>IT IS THE NATURE OF EMERGENCIES TO BE INCONVENIENT. -TERRI WEINER</t>
  </si>
  <si>
    <t>IT'S EXTREMELY UNLUCKY TO BE SUPERSTITIOUS, FOR NO OTHER REASON THAN IT IS ALWAYS UNLUCKY TO BE COLOSSALLY STUPID. -STEPHEN FRY</t>
  </si>
  <si>
    <t>OPPORTUNITY IS MISSED BY MOST PEOPLE BECAUSE IT IS DRESSED IN OVERALLS AND LOOKS LIKE WORK. -THOMAS EDISON</t>
  </si>
  <si>
    <t>DON'T GO AROUND SAYING THE WORLD OWES YOU A LIVING. THE WORLD OWES YOU NOTHING; IT WAS HERE FIRST. -MARK TWAIN</t>
  </si>
  <si>
    <t>IT'S BETTER TO BE BOLDLY DECISIVE AND RISK BEING WRONG THAN TO AGONIZE AT LENGTH AND BE RIGHT TOO LATE. -MARILYN KENNEDY</t>
  </si>
  <si>
    <t>A GOOD PLAN TODAY IS BETTER THAN A PERFECT PLAN TOMORROW. -GEN. GEORGE PATTON</t>
  </si>
  <si>
    <t>MAN WILL OCCASSIONALLY STUMBLE OVER THE TRUTH, BUT MOST OF THE TIME HE WILL PICK HIMSELF UP AND CONTINUE ON. -WINSTON CHURCHILL</t>
  </si>
  <si>
    <t>IT IS BETTER TO HAVE ENOUGH IDEAS FOR SOME OF THEM TO BE WRONG THAN TO ALWAYS BE RIGHT BY HAVING NO IDEAS AT ALL. -EDWARD DE BONO</t>
  </si>
  <si>
    <t>THE WORLD IS MOVING SO FAST THESE DAYS THAT THE MAN WHO SAYS IT CAN'T BE DONE IS GENERALLY INTERRUPTED BY SOMEONE DOING IT. -ELBERT HUBBARD</t>
  </si>
  <si>
    <t>IT'S A SMALL WORLD, BUT I WOULDN'T LIKE TO PAINT IT.</t>
  </si>
  <si>
    <t>I DON'T SUFFER FROM INSANITY, I ENJOY EVERY MINUTE OF IT.</t>
  </si>
  <si>
    <t>IT'S LONELY AT THE TOP, BUT THE FOOD IS BETTER.</t>
  </si>
  <si>
    <t>PRIDE IS WHAT WE HAVE.  VANITY IS WHAT OTHERS HAVE.</t>
  </si>
  <si>
    <t>GIVE ME AMBIGUITY OR GIVE ME SOMETHING ELSE.</t>
  </si>
  <si>
    <t>CONSCIOUSNESS: THAT ANNOYING TIME BETWEEN NAPS.</t>
  </si>
  <si>
    <t>WHY IS ABBREVIATION SUCH A LONG WORD?</t>
  </si>
  <si>
    <t>WE HAVE ENOUGH YOUTH, HOW ABOUT A FOUNTAIN OF SMART?</t>
  </si>
  <si>
    <t>TIME IS WHAT KEEPS EVERYTHING FROM HAPPENING ALL AT ONCE.</t>
  </si>
  <si>
    <t>COMPUTERS IN THE FUTURE MAY WEIGH NO MORE THAN 1.5 TONS. -POPULAR MECHANICS, 1949</t>
  </si>
  <si>
    <t>I THINK THERE IS A WORLD MARKET FOR MAYBE FIVE COMPUTERS. -THOMAS WATSON, CHAIRMAN OF IBM, 1943</t>
  </si>
  <si>
    <t>IF YOU DON'T FIND WHAT YOU WANT IN THE INDEX, LOOK VERY CAREFULLY THROUGH THE ENTIRE CATALOGUE.</t>
  </si>
  <si>
    <t>COMPUTERS MAKE VERY FAST, VERY ACCURATE MISTAKES.</t>
  </si>
  <si>
    <t>COMPUTERS ARE NOT INTELLIGENT. THEY ONLY THINK THEY ARE.</t>
  </si>
  <si>
    <t>IMAGINE IF EVERY THURSDAY YOUR SHOES EXPLODED IF YOU TIED THEM IN THE USUAL WAY. THIS HAPPENS TO US ALL THE TIME WITH COMPUTERS, AND NOBODY THINKS OF COMPLAINING!</t>
  </si>
  <si>
    <t>TELL A MAN THERE ARE 300 BILLION STARS IN THE UNIVERSE AND HE'LL BELIEVE YOU. TELL HIM A SEAT HAS WET PAINT ON IT AND HE'LL HAVE TO TOUCH IT TO BE SURE.</t>
  </si>
  <si>
    <t>IF YOU NEED ANYTHING PLEASE DON'T HESITATE TO ASK SOMEONE ELSE FIRST.</t>
  </si>
  <si>
    <t>SOME MORNINGS, IT'S JUST NOT WORTH CHEWING THROUGH THE LEATHER STRAPS.</t>
  </si>
  <si>
    <t>THE STATISTICS ON SANITY ARE THAT ONE OUT OF EVERY FOUR PEOPLE IS SUFFERING FROM SOME FORM OF MENTAL ILLNESS. THINK OF YOUR THREE BEST FRIENDS. IF THEY'RE OKAY, THEN IT'S YOU.</t>
  </si>
  <si>
    <t>IF IT WEREN'T FOR ELECTRICITY WE'D ALL BE WATCHING TELEVISION BY CANDLELIGHT.</t>
  </si>
  <si>
    <t>YOU CANNOT HAVE EVERYTHING. I MEAN, WHERE WOULD YOU PUT IT?</t>
  </si>
  <si>
    <t>I WILL NOT EAT OYSTERS. I WANT MY FOOD DEAD. NOT SICK, NOT WOUNDED, DEAD. -WOODY ALLEN</t>
  </si>
  <si>
    <t>IF TOAST ALWAYS LANDS BUTTER-SIDE DOWN, AND CATS ALWAYS LAND ON THEIR FEET, WHAT HAPPENS IF YOU DROP A BUTTERED CAT?</t>
  </si>
  <si>
    <t>NOUVELLE CUISINE, ROUGHLY TRANSLATED, MEANS: I CAN'T BELIEVE I PAID NINETY-SIX POUNDS AND I'M STILL HUNGRY.</t>
  </si>
  <si>
    <t>I WENT TO A RESTAURANT THAT SERVES 'BREAKFAST AT ANY TIME'. SO I ORDERED FRENCH TOAST DURING THE RENAISSANCE.</t>
  </si>
  <si>
    <t>I WENT TO A GENERAL STORE, BUT THEY WOULDN'T SELL ME ANYTHING SPECIFIC.</t>
  </si>
  <si>
    <t>A POSITIVE ATTITUDE WILL NOT SOLVE ALL YOUR PROBLEMS, BUT IT WILL ANNOY ENOUGH PEOPLE TO MAKE IT WORTH THE EFFORT.</t>
  </si>
  <si>
    <t>THIS YEAR'S PSYCHIC FAIR WILL BE HELD ON JUNE 23RD. IN THE EVENT OF RAIN, IT WILL BE HELD THE PREVIOUS SATURDAY.</t>
  </si>
  <si>
    <t>'OF COURSE,' SAID MY GRANDFATHER, PULLING A GUN FROM HIS BELT AS HE STEPPED FROM THE TIME MACHINE, 'THERE'S NO PARADOX IF I SHOOT YOU'.</t>
  </si>
  <si>
    <t>IN THEORY, THERE IS NO DIFFERENCE BETWEEN THEORY AND PRACTICE. BUT, IN PRACTICE, THERE IS.</t>
  </si>
  <si>
    <t>THE ONLY DIFFERENCE BETWEEN ME AND A MADMAN IS THAT I'M NOT MAD. - SALVADOR DALI</t>
  </si>
  <si>
    <t>NEVER INTERRUPT YOUR ENEMY WHEN HE IS MAKING A MISTAKE. - NAPOLEON BONAPARTE</t>
  </si>
  <si>
    <t>I HAVE NOT FAILED. I'VE JUST FOUND 10,000 WAYS THAT WON'T WORK. - THOMAS ALVA EDISON</t>
  </si>
  <si>
    <t>A WITTY SAYING PROVES NOTHING. - VOLTAIRE</t>
  </si>
  <si>
    <t>SOME DRINK AT THE FOUNTAIN OF KNOWLEDGE...OTHERS JUST GARGLE.</t>
  </si>
  <si>
    <t>IT'S NOT AN OPTICAL ILLUSION, IT JUST LOOKS THAT WAY.</t>
  </si>
  <si>
    <t>WHEN ALL ELSE FAILS, READ THE INSTRUCTIONS.</t>
  </si>
  <si>
    <t>SMILE, IT MAKES PEOPLE WONDER WHAT YOU'RE THINKING.</t>
  </si>
  <si>
    <t>IF YOU CAN REMEMBER THE '60S, THEN YOU WEREN'T THERE.</t>
  </si>
  <si>
    <t>THERE IS NO SURER WAY TO RUIN A GOOD DISCUSSION THAN TO CONTAMINATE IT WITH FACTS.</t>
  </si>
  <si>
    <t>I CAN'T MAKE PREDICTIONS AND I NEVER WILL</t>
  </si>
  <si>
    <t>THE SECOND BEST POLICY IS DISHONESTY</t>
  </si>
  <si>
    <t>IF IT BOILS AND IS WATCHED, IT CAN'T BE A POT.</t>
  </si>
  <si>
    <t>I ARGUE VERY WELL. ASK ANY OF MY REMAINING FRIENDS. I CAN WIN AN ARGUMENT ON ANY TOPIC, AGAINST ANY OPPONENT. PEOPLE KNOW THIS, AND STEER CLEAR OF ME AT PARTIES.</t>
  </si>
  <si>
    <t>IF AT FIRST YOU DON'T SUCCEED, THEN SKYDIVING DEFINITELY ISN'T FOR YOU.</t>
  </si>
  <si>
    <t>IF A VEGETARIAN EATS VEGETABLES, WHAT DOES A HUMANITARIAN EAT?</t>
  </si>
  <si>
    <t>HOW CAN A SLIM CHANCE AND A FAT CHANCE BE THE SAME?</t>
  </si>
  <si>
    <t>FOR BUSINESS REASONS, I MUST MAINTAIN THE OUTWARD SIGNS OF SANITY. -MARK TWAIN</t>
  </si>
  <si>
    <t>THE TROUBLE WITH THE WORLD IS THAT THE STUPID ARE COCKSURE AND THE INTELLIGENT ARE FULL OF DOUBT. - BERTRAND RUSSELL</t>
  </si>
  <si>
    <t>ONLY NEWSPAPER EDITORS AND PEOPLE WITH TAPEWORMS SHOULD EVER REFER TO THEMSELVES AS, 'WE'' - MARK TWAIN</t>
  </si>
  <si>
    <t>IT IS BETTER TO REMAIN SILENT AND BE THOUGHT A FOOL THAN TO OPEN ONE'S MOUTH AND REMOVE ALL DOUBT' - MARK TWAIN</t>
  </si>
  <si>
    <t>"NEVER PRECEED ANYTHING MORE COMPLEX THAN A FRISBEE THROW WITH, 'HEY BOSS, WATCH THIS!</t>
  </si>
  <si>
    <t>IT IS BEST TO MINCE ONE'S WORDS VERY FINELY, IT MAKES THEM MUCH EASIER TO EAT AFTERWARDS.- OSCAR WILDE</t>
  </si>
  <si>
    <t>NEVER GIVE UP, NEVER GIVE UP, NEVER, NEVER, NEVER GIVE UP!' - WINSTON CHURCHILL</t>
  </si>
  <si>
    <t>UNDERNEATH THE SKIN, ALL HUMANITY ARE BROTHERS AND I WOULD GLADLY SKIN HUMANITY ALIVE TO PROVE IT. - ELLSWORTH TOOHEY</t>
  </si>
  <si>
    <t>THERE IS NOTHING EITHER GOOD OR BAD, BUT THINKING MAKES IT SO. - SHAKESPEARE</t>
  </si>
  <si>
    <t>I GUESS WHEN YOU TURN OFF THE MAIN ROAD, YOU HAVE TO BE PREPARED TO SEE SOME FUNNY HOUSES. - STEPHEN KING</t>
  </si>
  <si>
    <t>NEVER LET YOUR SENSE OF MORALS PREVENT YOU FROM DOING WHAT IS RIGHT.</t>
  </si>
  <si>
    <t>WHEN I WAS A KID MY FAVORITE RELATIVE WAS UNCLE CAVEMAN. AFTER SCHOOL WE'D ALL GO PLAY IN HIS CAVE, AND EVERY ONCE IN A WHILE HE WOULD EAT ONE OF US. IT WASN'T UNTIL LATER THAT I FOUND OUT THAT UNCLE CAVEMAN WAS A BEAR.</t>
  </si>
  <si>
    <t>TAKE MY ADVICE: IF THE RECIPE CALLS FOR “3 HANDFULS OF LAVA,” IT'S REALLY NOT WORTH THE EFFORT.</t>
  </si>
  <si>
    <t>THOSE ARE MY PRINCIPLES. IF YOU DON'T LIKE THEM I HAVE OTHERS. - GROUCHO MARX.</t>
  </si>
  <si>
    <t>BEER IS PROOF THAT GOD LOVES US AND WANTS US TO BE HAPPY' - BENJAMIN FRANKLIN</t>
  </si>
  <si>
    <t>THERE ARE 10 TYPES OF PEOPLE IN THIS WORLD; THOSE WHO UNDERSTAND THE BINARY NUMBER SYSTEM AND THOSE WHO DO NOT</t>
  </si>
  <si>
    <t>HE WAS A GREAT PATRIOT, A HUMANITARIAN, A LOYAL FRIEND; PROVIDED, OF COURSE, HE REALLY IS DEAD. - VOLTAIRE.</t>
  </si>
  <si>
    <t>OUTSIDE OF THE KILLINGS, WASHINGTON HAS ONE OF THE LOWEST CRIME RATES IN THE COUNTRY' - MAYOR MARION BARRY, WASHINGTON DC</t>
  </si>
  <si>
    <t>EVERY TIME I CLOSE THE DOOR ON REALITY IT COMES IN THROUGH THE WINDOWS.</t>
  </si>
  <si>
    <t>THIRTY-FIVE IS WHEN YOU FINALLY GET YOUR HEAD TOGETHER AND YOUR BODY STARTS FALLING APART.</t>
  </si>
  <si>
    <t>THE TRAGEDY OF LIFE DOESN'T LIE IN NOT REACHING YOUR GOAL. THE TRAGEDY LIES IN HAVING NO GOAL TO REACH.</t>
  </si>
  <si>
    <t>NO GREAT MAN EVER COMPLAINS OF WANT OF OPPORTUNITY.</t>
  </si>
  <si>
    <t>IT ISN'T POLLUTION THAT'S HARMING THE ENVIRONMENT, IT'S THE IMPURITIES IN OUR AIR AND WATER THAT ARE DOING IT' - DAN QUAYLE, FORMER US VICE PRESIDENT</t>
  </si>
  <si>
    <t>WHAT IF, AT THIS VERY MOMENT, YOU ARE LIVING UP TO YOUR FULL POTENTIAL?</t>
  </si>
  <si>
    <t>SANITY CALMS, BUT MADNESS IS MORE INTERESTING.</t>
  </si>
  <si>
    <t>DON'T TALK ABOUT YOURSELF SO MUCH... WE'LL DO THAT WHEN YOU LEAVE.</t>
  </si>
  <si>
    <t>IF YOU TRY AND DON'T SUCCEED, CHEAT. REPEAT UNTIL CAUGHT. THEN LIE.</t>
  </si>
  <si>
    <t>NEVER SAY “OOPS!” ALWAYS SAY “AH, INTERESTING!”</t>
  </si>
  <si>
    <t>THIS ISN'T BURGER KING, YOU CAN'T HAVE IT YOUR WAY.</t>
  </si>
  <si>
    <t>IF YOU MUST CHOOSE BETWEEN TWO EVILS, PICK THE ONE YOU'VE NEVER TRIED BEFORE.</t>
  </si>
  <si>
    <t>EVERYTHING THAT CAN BE INVENTED HAS BEEN INVENTED. -CHARLES H. DUELL, COMMISSIONER, U.S. OFFICE OF PATENTS, 1899.</t>
  </si>
  <si>
    <t>LOUIS PASTEUR'S THEORY OF GERMS IS RIDICULOUS FICTION.-PIERRE PACHET, PROFESSOR OF PHYSIOLOGY AT TOULOUSE, 1872</t>
  </si>
  <si>
    <t>WHO THE HELL WANTS TO HEAR ACTORS TALK?' -H.M. WARNER, WARNER BROTHERS, 1927.</t>
  </si>
  <si>
    <t>WE DON'T LIKE THEIR SOUND, AND GUITAR MUSIC IS ON THE WAY OUT. -DECCA RECORDING CO. REJECTING THE BEATLES, 1962.</t>
  </si>
  <si>
    <t>HEAVIER-THAN-AIR FLYING MACHINES ARE IMPOSSIBLE. -LORD KELVIN, PRESIDENT, ROYAL SOCIETY, 1895.</t>
  </si>
  <si>
    <t>TWO TIMES A WEEK, WE GO TO A NICE RESTAURANT, A LITTLE WINE, GOOD FOOD AND COMPANIONSHIP. SHE GOES MONDAYS, I GO FRIDAYS.</t>
  </si>
  <si>
    <t>WOMEN WILL NEVER BE EQUAL TO MEN UNTIL THEY CAN WALK DOWN THE STREET WITH A BALD HEAD AND A BEER GUT, AND STILL THINK THEY ARE BEAUTIFUL</t>
  </si>
  <si>
    <t>DON'T WORRY ABOUT WHAT ANYBODY ELSE IS GOING TO DO. THE BEST WAY TO PREDICT THE FUTURE IS TO INVENT IT. - ALAN KAY</t>
  </si>
  <si>
    <t>PREMATURE OPTIMIZATION IS THE ROOT OF ALL EVIL (OR AT LEAST MOST OF IT) IN PROGRAMMING. - DONALD KNUTH</t>
  </si>
  <si>
    <t>LISP HAS JOKINGLY BEEN CALLED "THE MOST INTELLIGENT WAY TO MISUSE A COMPUTER". I THINK THAT DESCRIPTION IS A GREAT COMPLIMENT BECAUSE IT TRANSMITS THE FULL FLAVOR OF LIBERATION: IT HAS ASSISTED A NUMBER OF OUR MOST GIFTED FELLOW HUMANS IN THINKING PREVIOUSLY IMPOSSIBLE THOUGHTS. - EDSGER DIJKSTRA, CACM, 15:10</t>
  </si>
  <si>
    <t>KEEP AWAY FROM PEOPLE WHO TRY TO BELITTLE YOUR AMBITIONS. SMALL PEOPLE ALWAYS DO THAT, BUT THE REALLY GREAT MAKE YOU FEEL THAT YOU, TOO, CAN BECOME GREAT. - MARK TWAIN</t>
  </si>
  <si>
    <t>WHAT PAUL DOES, AND DOES VERY WELL, IS TO TAKE IDEAS AND CONCEPTS THAT ARE BEAUTIFUL IN THE ABSTRACT, AND BRINGS THEM DOWN TO A REAL WORLD LEVEL. THAT'S A RARE TALENT TO FIND IN WRITING THESE DAYS. - JEFF "HEMOS" BATES, DIRECTOR, OSDN; CO-EVOLVER, SLASHDOT</t>
  </si>
  <si>
    <t>SINCE PROGRAMMERS CREATE PROGRAMS OUT OF NOTHING, IMAGINATION IS OUR ONLY LIMITATION. THUS, IN THE WORLD OF PROGRAMMING, THE HERO IS THE ONE WHO HAS GREAT VISION. PAUL GRAHAM IS ONE OF OUR CONTEMPORARY HEROES. HE HAS THE ABILITY TO EMBRACE THE VISION, AND TO EXPRESS IT PLAINLY. HIS WORKS ARE MY FAVORITES, ESPECIALLY THE ONES DESCRIBING LANGUAGE DESIGN. HE EXPLAINS SECRETS OF PROGRAMMING, LANGUAGES, AND HUMAN NATURE THAT CAN ONLY BE LEARNED FROM THE HACKER EXPERIENCE. THIS BOOK SHOWS YOU HIS GREAT VISION, AND TELLS YOU THE TRUTH ABOUT THE NATURE OF HACKING. - YUKIHIRO "MATZ" MATSUMOTO, CREATOR OF RUBY</t>
  </si>
  <si>
    <t>TO FOLLOW THE PATH:     LOOK TO THE MASTER,     FOLLOW THE MASTER,     WALK WITH THE MASTER,     SEE THROUGH THE MASTER,     BECOME THE MASTER. - MODERN ZEN POEM</t>
  </si>
  <si>
    <t>NO PROBLEM SHOULD EVER HAVE TO BE SOLVED TWICE. - ERIC S. RAYMOND, HOW TO BECOME A HACKER</t>
  </si>
  <si>
    <t>ATTITUDE IS NO SUBSTITUTE FOR COMPETENCE. - ERIC S. RAYMOND, HOW TO BECOME A HACKER</t>
  </si>
  <si>
    <t>IT IS SAID THAT THE REAL WINNER IS THE ONE WHO LIVES IN TODAY BUT ABLE TO SEE TOMORROW. - JUAN MENG, REVIEWING "THE FUTURE OF IDEAS" BY LAWRENCE LESSIG</t>
  </si>
  <si>
    <t>FOOLS IGNORE COMPLEXITY. PRAGMATISTS SUFFER IT. SOME CAN AVOID IT. GENIUSES REMOVE IT. - ALAN J. PERLIS (EPIGRAMS IN PROGRAMMING)</t>
  </si>
  <si>
    <t>A YEAR SPENT IN ARTIFICIAL INTELLIGENCE IS ENOUGH TO MAKE ONE BELIEVE IN GOD. - ALAN J. PERLIS (EPIGRAMS IN PROGRAMMING)</t>
  </si>
  <si>
    <t>DEALING WITH FAILURE IS EASY: WORK HARD TO IMPROVE. SUCCESS IS ALSO EASY TO HANDLE: YOU'VE SOLVED THE WRONG PROBLEM. WORK HARD TO IMPROVE. - ALAN J. PERLIS (EPIGRAMS IN PROGRAMMI NG)</t>
  </si>
  <si>
    <t>WITHIN A COMPUTER NATURAL LANGUAGE IS UNNATURAL. - ALAN J. PERLIS (EPIGRAMS IN PROGRAMMING)</t>
  </si>
  <si>
    <t>YOU THINK YOU KNOW WHEN YOU LEARN, ARE MORE SURE WHEN YOU CAN WRITE, EVEN MORE WHEN YOU CAN TEACH, BUT CERTAIN WHEN YOU CAN PROGRAM. - ALAN J. PERLIS (EPIGRAMS IN PROGRAMMING)</t>
  </si>
  <si>
    <t>ADAPTING OLD PROGRAMS TO FIT NEW MACHINES USUALLY MEANS ADAPTING NEW MACHINES TO BEHAVE LIKE OLD ONES. - ALAN J. PERLIS (EPIGRAMS IN PROGRAMMING)</t>
  </si>
  <si>
    <t>A LITTLE LEARNING IS A DANGEROUS THING. - ALEXANDER POPE</t>
  </si>
  <si>
    <t>COMPUTER SCIENCE EDUCATION CANNOT MAKE ANYBODY AN EXPERT PROGRAMMER ANY MORE THAN STUDYING BRUSHES AND PIGMENT CAN MAKE SOMEBODY AN EXPERT PAINTER. - ERIC RAYMOND</t>
  </si>
  <si>
    <t>EINSTEIN ARGUED THAT THERE MUST BE SIMPLIFIED EXPLANATIONS OF NATURE, BECAUSE GOD IS NOT CAPRICIOUS OR ARBITRARY. - FREDERICK P. BROOKS, NO SLIVER BULLET.</t>
  </si>
  <si>
    <t>STUDENTS SHOULD BE EVALUATED ON HOW WELL THEY CAN ACHIEVE THE GOALS THEY STRIVED TO ACHIEVE WITHIN A REALISTIC CONTEXT. STUDENTS NEED TO LEARN TO DO THINGS, NOT KNOW THINGS. - ROGER SCHANK, ENGINES FOR EDUCATION</t>
  </si>
  <si>
    <t>WE REMEMBER WHAT WE LEARN WHEN WE CARE ABOUT PERFORMING BETTER AND WHEN WE BELIEVE THAT WHAT WE HAVE BEEN ASKED TO DO IS REPRESENTATIVE OF REALITY. - ROGER SCHANK, ENGINES FOR EDUCATION</t>
  </si>
  <si>
    <t>THERE REALLY IS NO LEARNING WITHOUT DOING. - ROGER SCHANK, ENGINES FOR EDUCATION</t>
  </si>
  <si>
    <t>WE REALLY HAVE TO GET OVER THE IDEA THAT SOME STUFF IS JUST WORTH KNOWING EVEN IF YOU NEVER DO ANYTHING WITH IT. HUMAN MEMORIES HAPPILY ERASE STUFF THAT HAS NO PURPOSE, SO WHY TRY TO FILL UP CHILDREN'S HEADS WITH SUCH STUFF? - ROGER SCHANK, ENGINES FOR EDUCATION</t>
  </si>
  <si>
    <t>LA TACTIQUE, C'EST CE QUE VOUS FAITES QUAND IL Y A QUELQUE CHOSE À FAIRE; LA STRATÉGIE, C'EST CE QUE VOUS FAITES QUAND IL N'Y A RIEN À FAIRE. - XAVIER TARTACOVER</t>
  </si>
  <si>
    <t>THE ONLY PROBLEMS WE CAN REALLY SOLVE IN A SATISFACTORY MANNER ARE THOSE THAT FINALLY ADMIT A NICELY FACTORED SOLUTION. - E. W. DIJKSTRA, THE HUMBLE PROGRAMMER</t>
  </si>
  <si>
    <t>THE BEST WAY TO LEARN TO LIVE WITH OUR LIMITATIONS IS TO KNOW THEM. -E. W. DIJKSTRA, THE HUMBLE PROGRAMMER</t>
  </si>
  <si>
    <t>CE N'EST QUE PAR LES RELATIONS QU'ON ENTRETIENT ENTRE NOS DIFFÉRENTES CONNAISSANCES QU'ELLES NOUS RESTENT ACCESSIBLES. - SHNUUP, SUR L'HYPERTEXTE (SELFHTML -&gt; INTRODUCTION -&gt; DEFINITIONS SUR L'HYPERTEXTE)</t>
  </si>
  <si>
    <t>WE NOW COME TO THE DECISIVE STEP OF MATHEMATICAL ABSTRACTION: WE FORGET ABOUT WHAT THE SYMBOLS STAND FOR. ...[THE MATHEMATICIAN] NEED NOT BE IDLE; THERE ARE MANY OPERATIONS WHICH HE MAY CARRY OUT WITH THESE SYMBOLS, WITHOUT EVER HAVING TO LOOK AT THE THINGS THEY STAND FOR. - HERMANN WEYL, THE MATHEMATICAL WAY OF THINKING</t>
  </si>
  <si>
    <t>AN EXPERT IS, ACCORDING TO MY WORKING DEFINITION "SOMEONE WHO DOESN'T NEED TO LOOK UP ANSWERS TO EASY QUESTIONS". - ERIC LIPPERT.</t>
  </si>
  <si>
    <t>THE PROGRAMMER MUST SEEK BOTH PERFECTION OF PART AND ADEQUACY OF COLLECTION. - ALAN J. PERLIS</t>
  </si>
  <si>
    <t>THUS, PROGRAMS MUST BE WRITTEN FOR PEOPLE TO READ, AND ONLY INCIDENTALLY FOR MACHINES TO EXECUTE. - ALAN J. PERLIS</t>
  </si>
  <si>
    <t>WE CONTROL COMPLEXITY BY BUILDING ABSTRACTIONS THAT HIDE DETAILS WHEN APPROPRIATE. WE CONTROL COMPLEXITY BY ESTABLISHING CONVENTIONAL INTERFACES THAT ENABLE US TO CONSTRUCT SYSTEMS BY COMBINING STANDARD, WELL-UNDERSTOOD PIECES IN A ``MIX AND MATCH'' WAY. WE CONTROL COMPLEXITY BY ESTABLISHING NEW LANGUAGES FOR DESCRIBING A DESIGN, EACH OF WHICH EMPHASIZES PARTICULAR ASPECTS OF THE DESIGN AND DEEMPHASIZES OTHERS. - ALAN J. PERLIS</t>
  </si>
  <si>
    <t>LISP PROGRAMMERS KNOW THE VALUE OF EVERYTHING BUT THE COST OF NOTHING. - ALAN J. PERLIS</t>
  </si>
  <si>
    <t>AN INTERPRETER RAISES THE MACHINE TO THE LEVEL OF THE USER PROGRAM; A COMPILER LOWERS THE USER PROGRAM TO THE LEVEL OF THE MACHINE LANGUAGE. - SICP</t>
  </si>
  <si>
    <t>EVERYTHING SHOULD BE MADE AS SIMPLE AS POSSIBLE, BUT NO SIMPLER. - ALBERT EINSTEIN</t>
  </si>
  <si>
    <t>THE GREAT DIVIDING LINE BETWEEN SUCCESS AND FAILURE CAN BE EXPRESSED IN FIVE WORDS: "I DID NOT HAVE TIME." - WESTHOST WEEKLY NEWSLETTER 14 FEB 2003</t>
  </si>
  <si>
    <t>WHEN YOUR ENEMY IS MAKING A VERY SERIOUS MISTAKE, DON'T BE IMPOLITE AND DISTURB HIM. - NAPOLEON BONAPARTE (ALLEGEDLY)</t>
  </si>
  <si>
    <t>A CHARLATAN MAKES OBSCURE WHAT IS CLEAR; A THINKER MAKES CLEAR WHAT IS OBSCURE. - HUGH KINGSMILL</t>
  </si>
  <si>
    <t>THERE ARE TWO WAYS OF CONSTRUCTING A SOFTWARE DESIGN; ONE WAY IS TO MAKE IT SO SIMPLE THAT THERE ARE OBVIOUSLY NO DEFICIENCIES, AND THE OTHER WAY IS TO MAKE IT SO COMPLICATED THAT THERE ARE NO OBVIOUS DEFICIENCIES. THE FIRST METHOD IS FAR MORE DIFFICULT. - C. A. R. HOARE</t>
  </si>
  <si>
    <t>AND IF YOU GO TOO FAR UP, ABSTRACTION-WISE, YOU RUN OUT OF OXYGEN. SOMETIMES SMART THINKERS JUST DON'T KNOW WHEN TO STOP, AND THEY CREATE THESE ABSURD, ALL-ENCOMPASSING, HIGH-LEVEL PICTURES OF THE UNIVERSE THAT ARE ALL GOOD AND FINE, BUT DON'T ACTUALLY MEAN ANYTHING AT ALL. - JOEL SPOLSKY</t>
  </si>
  <si>
    <t>THE THREE CHIEF VIRTUES OF A PROGRAMMER ARE: LAZINESS, IMPATIENCE AND HUBRIS. - LARRY WALL (PROGRAMMING PERL)</t>
  </si>
  <si>
    <t>ALL NON-TRIVIAL ABSTRACTIONS, TO SOME DEGREE, ARE LEAKY. - JOEL SPOLSKY (THE LAW OF LEAKY ABSTRACTIONS)</t>
  </si>
  <si>
    <t>XML WASN'T DESIGNED TO BE EDITED BY HUMANS ON A REGULAR BASIS. - GUIDO VAN ROSSUM</t>
  </si>
  <si>
    <t>PREMATURE ABSTRACTION IS AN EQUALLY GREVIOUS SIN AS PREMATURE OPTIMIZATION. - KEITH DEVENS</t>
  </si>
  <si>
    <t>YOU CAN HAVE PREMATURE GENERALIZATION AS WELL AS PREMATURE OPTIMIZATION. - BJARNE STROUSTRUP</t>
  </si>
  <si>
    <t>HE CAUSES HIS SUN TO RISE ON THE EVIL AND THE GOOD, AND SENDS RAIN ON THE RIGHTEOUS AND THE UNRIGHTEOUS. - MATTHEW 5:45</t>
  </si>
  <si>
    <t>A LANGUAGE THAT DOESN'T AFFECT THE WAY YOU THINK ABOUT PROGRAMMING, IS NOT WORTH KNOWING. - ALAN PERLIS</t>
  </si>
  <si>
    <t>JE N'AI FAIT CELLE-CI PLUS LONGUE QUE PARCE QUE JE N'AI PAS EU LE LOISIR DE LA FAIRE PLUS COURTE. (I HAVE MADE THIS LETTER SO LONG ONLY BECAUSE I DID NOT HAVE THE LEISURE TO MAKE IT SHORTER.) - BLAISE PASCAL (LETTRES PROVINCIALES)</t>
  </si>
  <si>
    <t>MEN NEVER DO EVIL SO COMPLETELY AND CHEERFULLY AS WHEN THEY DO IT FROM RELIGIOUS CONVICTION. - BLAISE PASCAL (ATTRIBUTED)</t>
  </si>
  <si>
    <t>EVERYBODY MAKES THEIR OWN FUN. IF YOU DON'T MAKE IT YOURSELF, IT AIN'T FUN - IT'S ENTERTAINMENT. - DAVID MAMET (AS RELAYED BY JOSS WHEDON)</t>
  </si>
  <si>
    <t>IF WE WISH TO COUNT LINES OF CODE, WE SHOULD NOT REGARD THEM AS *LINES PRODUCED* BUT AS *LINES SPENT*. - EDSGER DIJKSTRA</t>
  </si>
  <si>
    <t>SOMETIMES A MAN WITH TOO BROAD A PERSPECTIVE REVEALS HIMSELF AS HAVING NO REAL PERSPECTIVE AT ALL. A MAN WHO TRIES TOO HARD TO SEE EVERY SIDE MAY BE A MAN WHO IS TRYING TO AVOID CHOOSING ANY SIDE. A MAN WHO TRIES TOO HARD TO SEEK A DEEPER TRUTH MAY BE TRYING TO HIDE FROM THE TRUTH HE ALREADY KNOWS.  THAT IS NOT A SIGN OF INTELLECTUAL SOPHISTICATION AND "GREAT THINKING". IT IS A DEMONSTRATION OF MORAL DEGENERACY AND COWARDICE. - STEVEN DEN BESTE</t>
  </si>
  <si>
    <t>OMIT NEEDLESS WORDS. - WILLIAM STRUNK, JR. (THE ELEMENTS OF STYLE)</t>
  </si>
  <si>
    <t>I HAVE NEVER MET A MAN SO IGNORANT THAT I COULDN'T LEARN SOMETHING FROM HIM. - GALILEO GALILEI</t>
  </si>
  <si>
    <t>A SOCIETY THAT PUTS EQUALITY - IN THE SENSE OF EQUALITY OF OUTCOME - AHEAD OF FREEDOM WILL END UP WITH NEITHER EQUALITY NOR FREEDOM. THE USE OF FORCE TO ACHIEVE EQUALITY WILL DESTROY FREEDOM, AND THE FORCE, INTRODUCED FOR GOOD PURPOSES, WILL END UP IN THE HANDS OF PEOPLE WHO USE IT TO PROMOTE THEIR OWN INTERESTS. - MILTON FRIEDMAN (THOMAS SOWELL: A CONFLICT OF VISIONS, P130)</t>
  </si>
  <si>
    <t>PHILOSOPHY: THE FINDING OF BAD REASONS FOR WHAT ONE BELIEVES BY INSTINCT. - BRAVE NEW WORLD (PARAPHRASED)</t>
  </si>
  <si>
    <t>OF ALL TYRANNIES A TYRANNY SINCERELY EXERCISED FOR THE GOOD OF ITS VICTIMS MAY BE THE MOST OPPRESSIVE. IT MAY BE BETTER TO LIVE UNDER ROBBER BARONS THAN UNDER OMNIPOTENT MORAL BUSYBODIES, THE ROBBER BARON'S CRUELTY MAY SOMETIMES SLEEP, HIS CUPIDITY MAY AT SOME POINT BE SATIATED; BUT THOSE WHO TORMENT US FOR OWN GOOD WILL TORMENT US WITHOUT END, FOR THEY DO SO WITH THE APPROVAL OF THEIR OWN CONSCIENCE. - C.S. LEWIS</t>
  </si>
  <si>
    <t>FOOLS! DON'T THEY KNOW THAT TEARS ARE A WOMAN'S MOST EFFECTIVE WEAPON? - CATWOMAN (THE BATMAN TV SERIES, EPISODE 83)</t>
  </si>
  <si>
    <t>IT'S LIKE A CONDOM; I'D RATHER HAVE IT AND NOT NEED IT THAN NEED IT AND NOT HAVE IT. - SOME CHICK IN ALIEN VS. PREDATOR, WHEN ASKED WHY SHE ALWAYS CARRIES A GUN</t>
  </si>
  <si>
    <t>C++ IS HISTORY REPEATED AS TRAGEDY. JAVA IS HISTORY REPEATED AS FARCE. - SCOTT MCKAY</t>
  </si>
  <si>
    <t>SIMPLICITY TAKES EFFORT- GENIUS, EVEN. - PAUL GRAHAM</t>
  </si>
  <si>
    <t>SHOW, DON'T TELL. - UNKNOWN</t>
  </si>
  <si>
    <t>IN GOD I TRUST; I WILL NOT BE AFRAID. WHAT CAN MORTAL MAN DO TO ME? - DAVID (PSALM 56:4)</t>
  </si>
  <si>
    <t>LINUX IS ONLY FREE IF YOUR TIME HAS NO VALUE. - JAMIE ZAWINSKI</t>
  </si>
  <si>
    <t>CODE IS POETRY. - WORDPRESS.ORG</t>
  </si>
  <si>
    <t>IF YOU CHOOSE NOT TO DECIDE, YOU STILL HAVE MADE A CHOICE. - RUSH (FREEWILL)</t>
  </si>
  <si>
    <t>CIVILIZATION ADVANCES BY EXTENDING THE NUMBER OF IMPORTANT OPERATIONS WHICH WE CAN PERFORM WITHOUT THINKING ABOUT THEM. - ALFRED NORTH WHITEHEAD (INTRODUCTION TO MATHEMATICS)</t>
  </si>
  <si>
    <t>THE FUNCTION OF WISDOM IS TO DISCRIMINATE BETWEEN GOOD AND EVIL. - CICERO</t>
  </si>
  <si>
    <t>THE REASON TO DO ANIMATION IS CARICATURE. GOOD CARICATURE PICKS OUT THE ESSENSE OF THE STATEMENT AND REMOVES EVERYTHING ELSE. IT'S NOT SIMPLY ABOUT REPRODUCING REALITY; IT'S ABOUT BUMPING IT UP. - BRAD BIRD, WRITER AND DIRECTOR, THE INCREDIBLES</t>
  </si>
  <si>
    <t>MISTAKES WERE MADE. - RONALD REAGAN</t>
  </si>
  <si>
    <t>I WOULD RATHER BE AN OPTIMIST AND BE WRONG THAN A PESSIMIST WHO PROVES TO BE RIGHT. THE FORMER SOMETIMES WINS, BUT NEVER THE LATTER. - "HOOTS"</t>
  </si>
  <si>
    <t>WHAT IS TRUTH? - PONTIUS PILATE</t>
  </si>
  <si>
    <t>LIFE MOVES PRETTY FAST. IF YOU DON'T STOP AND LOOK AROUND ONCE IN A WHILE, YOU COULD MISS IT. - FERRIS BUELLER</t>
  </si>
  <si>
    <t>LISP IS WORTH LEARNING FOR THE PROFOUND ENLIGHTENMENT EXPERIENCE YOU WILL HAVE WHEN YOU FINALLY GET IT; THAT EXPERIENCE WILL MAKE YOU A BETTER PROGRAMMER FOR THE REST OF YOUR DAYS, EVEN IF YOU NEVER ACTUALLY USE LISP ITSELF A LOT. - ERIC S. RAYMOND</t>
  </si>
  <si>
    <t>ANY SUFFICIENTLY COMPLICATED C OR FORTRAN PROGRAM CONTAINS AN AD HOC, INFORMALLY SPECIFIED, BUG-RIDDEN, SLOW IMPLEMENTATION OF HALF OF COMMON LISP. - PHILIP GREENSPUN (GREENSPUN'S TENTH RULE)</t>
  </si>
  <si>
    <t>I WAS TALKING RECENTLY TO A FRIEND WHO TEACHES AT MIT. HIS FIELD IS HOT NOW AND EVERY YEAR HE IS INUNDATED BY APPLICATIONS FROM WOULD-BE GRADUATE STUDENTS. "A LOT OF THEM SEEM SMART," HE SAID. "WHAT I CAN'T TELL IS WHETHER THEY HAVE ANY KIND OF TASTE." - PAUL GRAHAM</t>
  </si>
  <si>
    <t>THE DIRECT PURSUIT OF HAPPINESS IS A RECIPE FOR AN UNHAPPY LIFE. - DONALD CAMPBELL</t>
  </si>
  <si>
    <t>IT'S NO TRICK FOR TALENTED PEOPLE TO BE INTERESTING, BUT IT'S A GIFT TO BE INTERESTED. WE WANT AN ORGANIZATION FILLED WITH INTERESTED PEOPLE. - RANDY S. NELSON (DEAN OF PIXAR UNIVERSITY)</t>
  </si>
  <si>
    <t>WHY TEACH DRAWING TO ACCOUNTANTS? BECAUSE DRAWING CLASS DOESN'T JUST TEACH PEOPLE TO DRAW. IT TEACHES THEM TO BE MORE OBSERVANT. THERE'S NO COMPANY ON EARTH THAT WOULDN'T BENEFIT FROM HAVING PEOPLE BECOME MORE OBSERVANT. - RANDY S. NELSON (DEAN OF PIXAR UNIVERSITY)</t>
  </si>
  <si>
    <t>ALL PROBLEMS IN COMPUTER SCIENCE CAN BE SOLVED BY ANOTHER LEVEL OF INDIRECTION. - BUTLER LAMPSON</t>
  </si>
  <si>
    <t>A DESIGNER KNOWS HE HAS ARRIVED AT PERFECTION NOT WHEN THERE IS NO LONGUER ANYTHING TO ADD, BUT WHEN THERE IS NO LONGUER ANYTHING TO TAKE AWAY. - ANTOINE DE ST EXUPERY.</t>
  </si>
  <si>
    <t>FOR THE THINGS WE HAVE TO LEARN BEFORE WE CAN DO THEM, WE LEARN BY DOING THEM. - ARISTOTLE.</t>
  </si>
  <si>
    <t>THERE ARE MANY WAYS TO AVOID SUCCESS IN LIFE, BUT THE MOST SURE-FIRE JUST MIGHT BE PROCRASTINATION. - HARA ESTROFF MARANO.</t>
  </si>
  <si>
    <t>PI SECONDS IS A NANOCENTURY. - [FACT]</t>
  </si>
  <si>
    <t>A NON NEGATIVE BINARY INTEGER VALUE X IS A POWER OF 2 IFF (X &amp; (X-1)) IS 0 USING 2'S COMPLEMENT ARITHMETIC. - [FACT]</t>
  </si>
  <si>
    <t>DONT GIVE USERS THE OPPORTUNITY TO LOCK THEMSELVES. - UNKNOWN</t>
  </si>
  <si>
    <t>ANY FOOL CAN MAKE THE SIMPLE COMPLEX, ONLY A SMART PERSON CAN MAKE THE COMPLEX SIMPLE. - UNKNOWN</t>
  </si>
  <si>
    <t>TO DO SOMETHING WELL YOU HAVE TO LOVE IT. SO TO THE EXTENT YOU CAN PRESERVE HACKING AS SOMETHING YOU LOVE, YOU'RE LIKELY TO DO IT WELL. TRY TO KEEP THE SENSE OF WONDER YOU HAD ABOUT PROGRAMMING AT AGE 14. IF YOU'RE WORRIED THAT YOUR CURRENT JOB IS ROTTING YOUR BRAIN, IT PROBABLY IS. - PAUL GRAHAM.</t>
  </si>
  <si>
    <t>IF YOU GIVE HIM A PENNY FOR HIS THOUGHTS, YOU'D GET CHANGE. - NOT THE SHARPEST KNIFE IN THE DRAWER. - A PRIME CANDIDATE FOR NATURAL DESELECTION. - [IDEAS FOR FLAMEWARS]</t>
  </si>
  <si>
    <t>WHAT I DIDN'T UNDERSTAND WAS THAT THE VALUE OF SOME NEW ACQUISITION WASN'T THE DIFFERENCE BETWEEN ITS RETAIL PRICE AND WHAT I PAID FOR IT. IT WAS THE VALUE I DERIVED FROM IT. STUFF IS AN EXTREMELY ILLIQUID ASSET. UNLESS YOU HAVE SOME PLAN FOR SELLING THAT VALUABLE THING YOU GOT SO CHEAPLY, WHAT DIFFERENCE DOES IT MAKE WHAT IT'S "WORTH?" THE ONLY WAY YOU'RE EVER GOING TO EXTRACT ANY VALUE FROM IT IS TO USE IT. AND IF YOU DON'T HAVE ANY IMMEDIATE USE FOR IT, YOU PROBABLY NEVER WILL. - PAUL GRAHAM</t>
  </si>
  <si>
    <t>ONLY BAD DESIGNERS BLAME THEIR FAILINGS ON THE USERS. - UNKNOWN</t>
  </si>
  <si>
    <t>HUMANS AREN'T RATIONAL - THEY RATIONALIZE. AND I DON'T JUST MEAN "SOME OF THEM" OR "OTHER PEOPLE". I'M TALKING ABOUT EVERYONE. WE HAVE A "LOGIC ENGINE" IN OUR BRAINS, BUT FOR THE MOST PART, IT'S NOT THE ONE IN THE DRIVER'S SEAT - INSTEAD IT OPERATES AFTER THE FACT, GENERATING RATIONALIZATIONS AND EXCUSES FOR OUR BEHAVIOR. - PAUL BUCHHEIT</t>
  </si>
  <si>
    <t>WHEN ALL YOU HAVE IS A HAMMER, EVERYTHING LOOKS LIKE A NAIL. - UNKNOWN</t>
  </si>
  <si>
    <t>GOOD CODERS CODE, GREAT REUSE.</t>
  </si>
  <si>
    <t>THE LESSON OF THE STORY MIGHT APPEAR TO BE THAT SELF-INTERESTED AND AMBITIOUS PEOPLE IN POWER ARE OFTEN THE CAUSE OF WASTEFULNESS IN DEVELOPING COUNTRIES. BUT SELF-INTERESTED AND AMBITIOUS PEOPLE ARE IN POSITIONS OF POWER, GREAT AND SMALL, ALL OVER THE WORLD. IN MANY PLACES, THEY ARE RESTRAINED BY THE LAW, THE PRESS, AND DEMOCRATIC OPPOSITION. CAMEROON'S TRAGEDY IS THAT THERE IS NOTHING TO HOLD SELF-INTEREST IN CHECK. - TIM HARFORD</t>
  </si>
  <si>
    <t>IF THERE IS A WILL, THERE IS A WAY. - UNKNOWN</t>
  </si>
  <si>
    <t>HAVING LARGE CASE STATEMENTS IN AN OBJECT-ORIENTED LANGUAGE IS A SURE SIGN YOUR DESIGN IS FLAWED. - [FIXING ARCHITECTURE FLAWS IN RAILS' ORM]</t>
  </si>
  <si>
    <t>ANOTHER FEATURE ABOUT THIS GUY IS HIS LOW THRESHOLD OF BOREDOM. HE'LL PICK UP ON A TASK AND WORK FRANTICALLY AT IT, ACCOMPLISHING WONDERS IN A SHORT TIME AND THEN GET BORED AND DROP IT BEFORE ITS PROPERLY FINISHED. HE'LL DO NOTHING BUT STRUM HIS GUITAR AND LIE AROUND IN BED FOR SEVERAL DAYS AFTER.  THATS ALSO PART OF THE PATTERN TOO; PERIODS OF FRENETIC ACTIVITY FOLLOWED BY PERIODS OF MELANCHOLIA, WITHDRAWAL AND INACTIVITY. THIS IS A BIPOLAR PERSONALITY. - THE BIPOLAR LISP PROGRAMMER</t>
  </si>
  <si>
    <t>MY DREAM IS THAT PEOPLE ADOPT IT ON ITS OWN MERITS. WE'RE NOT TRYING TO BEND RUBY ON RAILS TO FIT THE ENTERPRISE, WE'RE ENCOURAGING ENTERPRISES TO BEND TO RUBY ON RAILS. COME IF YOU LIKE IT, STAY AWAY IF YOU DON'T. WE'RE NOT GOING HEAD OVER HEELS TO ACCOMMODATE THE ENTERPRISE OR TO LURE THEM AWAY FROM JAVA. THAT'S HOW YOU END UP WITH JAVA, IF YOU START BENDING TO SPECIAL INTEREST GROUPS. - DAVID HEINEMEIER HANSSON (RUBY ON RAILS' CREATOR)</t>
  </si>
  <si>
    <t>NEW EYES HAVE X-RAY VISION.  [SOMEONE THAT HASN'T WRITTEN IT IS MORE LIKELY TO SPOT THE BUG. "SOMEONE" CAN BE YOU AFTER A BREAK] - WILLIAM S. ANNIS</t>
  </si>
  <si>
    <t>SO THE MERE CONSTRAINT OF STAYING IN REGULAR CONTACT WITH US WILL PUSH YOU TO MAKE THINGS HAPPEN, BECAUSE OTHERWISE YOU'LL BE EMBARRASSED TO TELL US THAT YOU HAVEN'T DONE ANYTHING NEW SINCE THE LAST TIME WE TALKED. - PAUL GRAHAM (A TALK AT Y COMBINATOR, FOR STARTUP CREATORS).</t>
  </si>
  <si>
    <t>THE CHOICE OF THE UNIVERSITY IS MOSTLY IMPORTANT FOR THE PIECE OF PAPER YOU GET AT THE END. THE EDUCATION YOU GET DEPENDS ON YOU. - ANDREAS ZWINKAU</t>
  </si>
  <si>
    <t>REMEMBER THAT YOU ARE HUMANS IN THE FIRST PLACE AND ONLY AFTER THAT PROGRAMMERS. - ALEXANDRU VANCEA</t>
  </si>
  <si>
    <t>HUMANS DIFFER FROM ANIMALS TO THE DEGREE THAT THEY ARE NOT MERELY AN END RESULT OF THEIR CONDITIONING, BUT ARE ABLE TO REFLECT ON THEIR EXPERIENCES AND STRATEGIES, AND APPLY INSIGHT TO MAKE CHANGES IN THE WAY THEY LIVE TO MODIFY THE OUTCOME. - SLIDETROMBONE (COMMENT ON "PROGRAMMING CAN RUIN YOUR LIFE")</t>
  </si>
  <si>
    <t>AS BUILDERS AND CREATORS FINDING THE PERFECT SOLUTION SHOULD NOT BE OUR MAIN GOAL. WE SHOULD FIND THE PERFECT PROBLEM. - ISAAC (BLOG COMMENT)</t>
  </si>
  <si>
    <t>JUST LIKE CARPENTRY, MEASURE TWICE CUT ONCE. - SUPER-SIZING YOUTUBE WITH PYTHON (MIKE SOLOMON, MIKE@YOUTUBE.COM)</t>
  </si>
  <si>
    <t>THE GOOD THING ABOUT REINVENTING THE WHEEL IS THAT YOU GET A ROUND ONE. - DOUGLAS CROCKFORD (AUTHOR OF JSON AND JSLINT)</t>
  </si>
  <si>
    <t>I FEEL IT IS EVERYBODIES OBLIGATION TO REACH FOR THE BEST IN THEMSELVES AND USE THAT FOR THE INTEREST OF MANKIND. - CORNELUIS (COMMENT ON 'ARE YOU GOING TO CHANGE THE WORLD? (REALLY?)')</t>
  </si>
  <si>
    <t>ABSTRACTION IS A FORM OF DATA COMPRESSION: ABSOLUTELY NECESSARY, BECAUSE HUMAN SHORT-TERM MEMORY IS SO SMALL, BUT THE CRITICALLY IMPORTANT ASPECT OF ABSTRACTION IS THE ALGORITHM THAT GETS YOU FROM THE NAME BACK TO THE "UNCOMPRESSED" DETAILS. - BRUCE WILDER (BLOG POST COMMENT)</t>
  </si>
  <si>
    <t>HAVE YOU EVER NOTICED THAT WHEN YOU SIT DOWN TO WRITE SOMETHING, HALF THE IDEAS THAT END UP IN IT ARE ONES YOU THOUGHT OF WHILE WRITING IT? THE SAME THING HAPPENS WITH SOFTWARE. WORKING TO IMPLEMENT ONE IDEA GIVES YOU MORE IDEAS. - PAUL GRAHAM, THE OTHER ROAD AHEAD.</t>
  </si>
  <si>
    <t>IN GENERAL, WE CAN THINK OF DATA AS DEFINED BY SOME COLLECTION OF SELECTORS AND CONSTRUCTORS, TOGETHER WITH SPECIFIED CONDITIONS THAT THESE PROCEDURES MUST FULFILL IN ORDER TO BE A VALID REPRESENTATION. - SICP, WHAT IS MEANT BY DATA?</t>
  </si>
  <si>
    <t>RESUME WRITING IS JUST LIKE DATING, OR APPLYING FOR A BANK LOAN, IN THAT NOBODY WANTS YOU IF YOU'RE DESPERATE. - STEVE YEGGE.</t>
  </si>
  <si>
    <t>YOU WILL NEVER BECOME A GREAT PROGRAMMER UNTIL YOU ACKNOWLEDGE THAT YOU WILL ALWAYS BE A TERRIBLE PROGRAMMER. YOU WILL REMAIN A GREAT PROGRAMMER FOR ONLY AS LONG AS YOU ACKNOWLEDGE THAT YOU ARE STILL A TERRIBLE PROGRAMMER.</t>
  </si>
  <si>
    <t>IF I TELL YOU I'M GOOD, YOU WOULD PROBABLY THINK I'M BOASTING. IF I TELL YOU I'M NO GOOD, YOU KNOW I'M LYING. - BRUCE LEE</t>
  </si>
  <si>
    <t>JE NE VOUS IMPOSE AUCUNE CONTRAINTE, AUCUNE LIMITE. SURPRENEZ-MOI, ÉTONNEZ-MOI, DÉFIEZ-MOI, DÉFIEZ-VOUS VOUS-MÊME. VOUS AVEZ LE CHOIX: VOUS POUVEZ RESTER DANS L'OMBRE OU EN SORTIR EN ÉTANT PARMIS LES TROP RARES EXCEPTIONS À AVOIR RÉUSSI. L'HEURE EST VENUE D'ALLER BIEN AU DELÀ DE VOTRE POTENTIEL. L'HEURE EST VENUE MAINTENANT DE DESCENDRE VRAIMENT EN VOUS. L'HEURE EST VENUE DE DÉMONTRER POURQUOI VOUS ÊTES L'ÉLITE, LES QUELQUES ÉLUS, LES RARES LUEURS QUI OFFRENT À CETTE COMPAGNIE SON CARACTÈRE EXCEPTIONNEL, SA LUMINESCENCE. - LE PDG DE NURV, DANS "ANTI-TRUST".</t>
  </si>
  <si>
    <t>OPPORTUNITIES THAT PRESENT THEMSELVES TO YOU ARE THE CONSEQUENCE - AT LEAST PARTIALLY - OF BEING IN THE RIGHT PLACE AT THE RIGHT TIME. THEY TEND TO PRESENT THEMSELVES WHEN YOU'RE NOT EXPECTING IT - AND OFTEN WHEN YOU ARE ENGAGED IN OTHER ACTIVITIES THAT WOULD SEEM TO PRECLUDE YOU FROM PURSUING THEM. AND THEY COME AND GO QUICKLY - IF YOU DON'T JUMP ALL OVER AN OPPORTUNITY, SOMEONE ELSE GENERALLY WILL AND IT WILL VANISH. - MARC ANDREESSEN (HTTP:</t>
  </si>
  <si>
    <t>PAY ATTENTION TO OPPORTUNITY COST AT ALL TIMES. DOING ONE THING MEANS NOT DOING OTHER THINGS. THIS IS A FORM OF RISK THAT IS VERY EASY TO IGNORE, TO YOUR DETRIMENT. - MARC ANDREESSEN (HTTP:</t>
  </si>
  <si>
    <t>SEIZE ANY OPPORTUNITY, OR ANYTHING THAT LOOKS LIKE OPPORTUNITY. THEY ARE RARE, MUCH RARER THAN YOU THINK... - NASSIM NICHOLAS TALEB, "THE BLACK SWAN".</t>
  </si>
  <si>
    <t>I THINK THAT A LOT OF PROGRAMMERS ARE IGNORING AN IMPORTANT POINT WHEN PEOPLE TALK ABOUT REDUCING CODE REPETITION ON LARGE PROJECTS. PART OF THE IDEA IS THAT LARGE PROJECTS ARE INTRINSICALLY *WRONG*. THAT YOU SHOULD BE LOOKING AT MAKING A NUMBER OF SMALLER PROJECTS THAT ARE COMPOSABLE, EVEN IF YOU NEVER END UP REUSING ONE OF THOSE SMALLER PROJECTS ELSEWHERE. - DAN NUGENT</t>
  </si>
  <si>
    <t>WE TEND TO SEEK EASY, SINGLE-FACTOR EXPLANATIONS OF SUCCESS. FOR MOST IMPORTANT THINGS, THOUGH, SUCCESS ACTUALLY REQUIRES AVOIDING MANY SEPARATE CAUSES OF FAILURE. - JARED DIAMOND</t>
  </si>
  <si>
    <t>THINGS WHICH MATTER MOST MUST NEVER BE AT THE MERCY OF THINGS WHICH MATTER LEAST. - JOHANN WOLFGANG VON GOETHE (1749-1832)</t>
  </si>
  <si>
    <t>I THINK THE ROOT OF YOUR MISTAKE IS SAYING THAT MACROS DON'T SCALE TO LARGER GROUPS. THE REAL TRUTH IS THAT MACROS DON'T SCALE TO STUPIDER GROUPS. - PAUL GRAHAM, ON THE LIGHTWEIGHT LANGUAGES MAILING LIST.</t>
  </si>
  <si>
    <t>ARGUE WITH IDIOTS, AND YOU BECOME AN IDIOT. IF YOU COMPETE WITH SLAVES YOU BECOME A SLAVE. - PAUL GRAHAM AND NORBERT WEINER, RESPECTIVELY</t>
  </si>
  <si>
    <t>ALWAYS DIVE DOWN INTO A PROBLEM AND GET YOUR HANDS ON THE DEEPEST ISSUE BEHIND THE PROBLEM. ALL OTHER CONSIDERATIONS ARE TO DISMISSED AS "ENGINEERING DETAILS"; THEY CAN BE SORTED OUT AFTER THE BASIC PROBLEM HAS BEEN SOLVED. - CHRIS CRAWFORD</t>
  </si>
  <si>
    <t>DON'T HAVE GOOD IDEAS IF YOU AREN'T WILLING TO BE RESPONSIBLE FOR THEM. - ALAN PERLIS</t>
  </si>
  <si>
    <t>IT IS IMPOSSIBLE TO SHARPEN A PENCIL WITH A BLUNT AXE. IT IS EQUALLY VAIN TO TRY TO DO IT WITH TEN BLUNT AXES INSTEAD.  - EDSGER DIJKSTRA</t>
  </si>
  <si>
    <t>IF WE WISH TO COUNT LINES OF CODE, WE SHOULD NOT REGARD THEM AS LINES PRODUCED BUT AS LINES SPENT. - EDSGER DIJKSTRA</t>
  </si>
  <si>
    <t>THE MOST DAMAGING PHRASE IN THE LANGUAGE IS, IT'S ALWAYS BEEN DONE THAT WAY. - REAR ADMIRAL GRACE HOPPER</t>
  </si>
  <si>
    <t>GETTING BACK TO FAILING EARLY, I'VE LEARNED IT'S IMPORTANT TO COMPLETELY FAIL. GET FIRED. SHOOT THE PROJECT, THEN BURN ITS CORPSE. MELT THE CVS REPOSITORY AND MICROWAVE THE BACKUP CDS. WHEN THINGS GO WRONG, I'VE OFTEN TRIED TO PLAY THE HERO FROM START TO FINISH. GUESS WHAT? SOME PROJECTS ARE DOOMED NO MATTER WHAT. SOME NEED SKILLS I DON'T POSSESS. AND SOME NEED A FRESH FACE. - REGINALD BRAITHWAITE</t>
  </si>
  <si>
    <t>THE ONLY THING A MAN SHOULD EVER BE 100% CONVINCED OF IS HIS OWN IGNORANCE. - DJ MACLEAN</t>
  </si>
  <si>
    <t>THE BEST PEOPLE AND ORGANIZATIONS HAVE THE ATTITUDE OF WISDOM: THE COURAGE TO ACT ON WHAT THEY KNOW RIGHT NOW AND THE HUMILITY TO CHANGE COURSE WHEN THEY FIND BETTER EVIDENCE. THE QUEST FOR MANAGEMENT MAGIC AND BREAKTHROUGH IDEAS IS OVERRATED; BEING A MASTER OF THE OBVIOUS IS UNDERRATED. JIM MALONEY IS RIGHT: WORK IS AN OVERRATED ACTIVITY - BOB SUTTON</t>
  </si>
  <si>
    <t>ACT FROM REASON, AND FAILURE MAKES YOU RETHINK AND STUDY HARDER. ACT FROM FAITH, AND FAILURE MAKES YOU BLAME SOMEONE AND PUSH HARDER. -  ERIK NAGGUM</t>
  </si>
  <si>
    <t>MEASURE EVERYTHING YOU CAN ABOUT THE PRODUCT, AND YOU'LL START SEEING PATTERNS. - MAX LEVCHIN, PAYPAL FOUNDER, TALK AT STARTUPSCHOOL2007</t>
  </si>
  <si>
    <t>QUALITY OF THE PEOPLE IS BETTER THAN THE QUALITY OF THE BUSINESS IDEA. CRAPPY PEOPLE CAN SCREW UP THE BEST IDEA IN THE WORLD. - HADI PARTOVI &amp; ALI PARTOVI (ILIKE.COM), TALK AT STARTUPSCHOOL2007</t>
  </si>
  <si>
    <t>THE ONLY CONSTANT IN THE WORLD OF HI-TECH IS CHANGE. - MARK WARD</t>
  </si>
  <si>
    <t>WRITE IT PROPERLY FIRST. IT'S EASIER TO MAKE A CORRECT PROGRAM FAST, THAN TO MAKE A FAST PROGRAM CORRECT.</t>
  </si>
  <si>
    <t>THE WONDERFUL AND FRUSTRATING THING ABOUT UNDERSTANDING YOURSELF IS THAT NOBODY CAN DO IT FOR YOU. - BETTEREXPLAINED.COM</t>
  </si>
  <si>
    <t>WHEN YOU HAVE ELIMINATED THE IMPOSSIBLE, WHATEVER REMAINS, HOWEVER IMPROBABLE, MUST BE THE TRUTH. - SHERLOCK HOLMES</t>
  </si>
  <si>
    <t>IN ORDER TO UNDERSTAND WHAT ANOTHER PERSON IS SAYING, YOU MUST ASSUME THAT IT IS TRUE AND TRY TO FIND OUT WHAT IT COULD BE TRUE OF. - GEORGE MILLER</t>
  </si>
  <si>
    <t>A JOURNEY OF A THOUSAND MILES MUST BEGIN WITH A SINGLE STEP. - LAO­TZU</t>
  </si>
  <si>
    <t>THERE IS ONE MEANING [FOR STATIC IN C]: A GLOBAL VARIABLE THAT IS INVISIBLE OUTSIDE THE CURRENT SCOPE, BE IT A FUNCTION OR A FILE. - PAOLO BONZINI</t>
  </si>
  <si>
    <t>PROCESSORS DON'T GET BETTER SO THAT THEY CAN HAVE MORE FREE TIME. PROCESSORS GET BETTER SO _YOU_ CAN HAVE MORE FREE TIME. - LECAMARADE (FREESHELLS.CH)</t>
  </si>
  <si>
    <t>UNDERSTANDING WHY C++ IS THE WAY IT IS HELPS A PROGRAMMER USE IT WELL. A DEEP UNDERSTANDING OF A TOOL IS ESSENTIAL FOR AN EXPERT CRAFTSMAN. - BJARNE STROUSTRAP</t>
  </si>
  <si>
    <t>NO ART, HOWEVER MINOR, DEMANDS LESS THAN TOTAL DEDICATION IF YOU WANT TO EXCEL IN IT. - ALBERTI</t>
  </si>
  <si>
    <t>STATE IS THE ROOT OF ALL EVIL. IN PARTICULAR FUNCTIONS WITH SIDE EFFECTS SHOULD BE AVOIDED. - OO SUCKS (BLUETAIL.COM)</t>
  </si>
  <si>
    <t>ILS NE SONT PAS FORTS PARCE QU'ILS SONT FORTS. ILS SONT FORTS PARCE QUE NOUS SOMMES FAIBLES. - RAGALA KHALID</t>
  </si>
  <si>
    <t>IT IS BETTER TO BE QUIET AND THOUGHT A FOOL THAN TO OPEN YOUR MOUTH AND REMOVE ALL DOUBT. - WIKIHOW</t>
  </si>
  <si>
    <t>A TAIL CALL ALLOWS A FUNCTION TO RETURN THE RESULT OF ANOTHER FUNCTION WITHOUT LEAVING AN ENTRY ON THE STACK. TAIL RECURSION IS A SPECIFIC CASE OF TAIL CALLING. - ASPN : PYTHON COOKBOOK : EXPLICIT TAIL CALL</t>
  </si>
  <si>
    <t>SIMPLICITY MEANS THE ACHIEVEMENT OF MAXIMUM EFFECT WITH MINIMUM MEANS. - DR. KOICHI KAWANA</t>
  </si>
  <si>
    <t>NORMALITY IS THE ROUTE TO NOWHERE. - RIDDERSTRALE &amp; NORDSTORM, FUNKY BUSINESS</t>
  </si>
  <si>
    <t>THE PROBLEM IS THAT MICROSOFT JUST HAS NO TASTE. AND I DON'T MEAN THAT IN A SMALL WAY, I MEAN THAT IN A BIG WAY. - STEVE JOBS</t>
  </si>
  <si>
    <t>DO YOU WANT TO SELL SUGARED WATER ALL YOUR LIFE OR DO YOU WANT TO CHANGE THE WORLD? - STEVE JOBS, TO JOHN SCULLEY (FORMER PEPSI EXECUTIVE)</t>
  </si>
  <si>
    <t>SIMPLICITY AND PRAGMATISM BEAT COMPLEXITY AND THEORY ANY DAY. - DENNIS (BLOG COMMENT)</t>
  </si>
  <si>
    <t>REMEMBER, ALWAYS BE YOURSELF ... UNLESS YOU SUCK! - JOSS WHEDON</t>
  </si>
  <si>
    <t>ALL GREAT THINGS REQUIRE GREAT DEDICATION. - CHUCK NORRIS(?)</t>
  </si>
  <si>
    <t>I'M ALWAYS HAPPY TO TRADE PERFORMANCE FOR READABILITY AS LONG AS THE FORMER ISN'T ALREADY SCARCE. - CRAYZ (COMMENTOR ON BLOG.RAGANWALD.COM)</t>
  </si>
  <si>
    <t>YOU HAVE TO WRITE FOR YOUR AUDIENCE. I WOULD NEVER WRITE (1..5).MAP &amp;'*2' IN JAVA WHEN I COULD WRITE LISTFACTORYFACTORY.GETLISTFACTORYFROMRESOURCE(     NEW RESOURCENAME('COM.JAVAX.MAGNITUDES.INTEGERS'). SETLOWERBOUND(1).SETUPPERBOUND(5).SETSTEP(1).APPLYFUNCTOR(     NEW FUNCTOR () { PUBLIC VOID EVAL (X) { RETURN X * 2; } })) I'M SIMPLIFYING, OF COURSE, I'VE LEFT OUT THE SECURITY AND LOGGING WRAPPERS. - REGINALD BRAITHWAIT</t>
  </si>
  <si>
    <t>THE DEFINITION OF INSANITY IS DOING THE SAME THING OVER AND OVER AGAIN AND EXPECTING DIFFERENT RESULTS. - BENJAMIN FRANKLIN</t>
  </si>
  <si>
    <t>A NO UTTERED FROM THE DEEPEST CONVICTION IS BETTER THAN A YES MERELY UTTERED TO PLEASE OR WHAT IS WORSE, TO AVOID TROUBLE. - MAHATMA GANDHI</t>
  </si>
  <si>
    <t>THE GENERAL PRINCIPLE FOR COMPLEXITY DESIGN IS THIS: THINK LOCALLY, ACT LOCALLY. - RICHARD P. GABRIEL &amp; RON GOLDMAN, MOB SOFTWARE: THE EROTIC LIFE OF CODE</t>
  </si>
  <si>
    <t>PROGRAMMING IS THE ART OF FIGURING OUT WHAT YOU WANT SO PRECISELY THAT EVEN A MACHINE CAN DO IT. - SOME GUY WHO ISN'T FAMOUS</t>
  </si>
  <si>
    <t>HENCE MY URGENT ADVICE TO ALL OF YOU TO REJECT THE MORALS OF THE BESTSELLER SOCIETY AND TO FIND, TO START WITH, YOUR REWARD IN YOUR OWN FUN. THIS IS QUITE FEASIBLE, FOR THE CHALLENGE OF SIMPLIFICATION IS SO FASCINATING THAT, IF WE DO OUR JOB PROPERLY, WE SHALL HAVE THE GREATEST FUN IN THE WORLD. - E. W. DIJKSTRA, ON THE NATURE OF COMPUTING SCIENCE.</t>
  </si>
  <si>
    <t>REMEMBER: YOU ARE ALONE. EVERY TIME YOU CAN GET HELP FROM SOMEONE, IT IS AN OPPORTUNITY: YOU SHOULD EAGERLY SIZE IT. BUT THEN, PROMPTLY RETURN TO NORMAL MODE: YOU ARE ALONE AND YOU MUST BE PREPARED TO SOLVE EVERY PROBLEM YOURSELF. - ERIC KEDJI</t>
  </si>
  <si>
    <t>MAKING ALL SOFTWARE INTO TOOLS REDUCES RISK. - SMOOTHSPAN.COM</t>
  </si>
  <si>
    <t>SOME MAY SAY RUBY IS A BAD RIP-OFF OF LISP OR SMALLTALK, AND I ADMIT THAT. BUT IT IS NICER TO ORDINARY PEOPLE. - MATZ, LL2</t>
  </si>
  <si>
    <t>C AND LISP STAND AT OPPOSITE ENDS OF THE SPECTRUM; THEY'RE EACH GREAT AT WHAT THE OTHER ONE SUCKS AT. - STEVE YEGGE, TOUR DE BABEL.</t>
  </si>
  <si>
    <t>TWO PEOPLE SHOULD STAY TOGETHER IF TOGETHER THEY ARE BETTER PEOPLE THAN THEY WOULD BE INDIVIDUALLY. - ?</t>
  </si>
  <si>
    <t>TO THE OPTIMIST, THE GLASS IS HALF FULL. TO THE PESSIMIST, THE GLASS IS HALF EMPTY. TO THE ENGINEER, THE GLASS IS TWICE AS BIG AS IT NEEDS TO BE. - AUTHOR UNKNOWN (QUOTED IN `ROBUST SYSTEMS', GERALD JAY SUSEMAN)</t>
  </si>
  <si>
    <t>IT IS PRACTICALLY IMPOSSIBLE TO TEACH GOOD PROGRAMMING TO STUDENTS THAT HAVE HAD A PRIOR EXPOSURE TO BASIC: AS POTENTIAL PROGRAMMERS THEY ARE MENTALLY MUTILATED BEYOND HOPE OF REGENERATION. - EDSGER DIJKSTRA</t>
  </si>
  <si>
    <t>WHATEVER IS WORTH DOING AT ALL, IS WORTH DOING WELL. - EARL OF CHESTERFIELD</t>
  </si>
  <si>
    <t>MORE COMPUTING SINS ARE COMMITTED IN THE NAME OF EFFICIENCY (WITHOUT NECESSARILY ACHIEVING IT) THAN FOR ANY OTHER SINGLE REASON - INCLUDING BLIND STUPIDITY. - W.A. WULF</t>
  </si>
  <si>
    <t>WE SHOULD FORGET ABOUT SMALL EFFICIENCIES, SAY ABOUT 97% OF THE TIME: PREMATURE OPTIMIZATION IS THE ROOT OF ALL EVIL. - DONALD KNUTH</t>
  </si>
  <si>
    <t>THE BEST IS THE ENEMY OF THE GOOD. - VOLTAIRE</t>
  </si>
  <si>
    <t>ONLY MAKE NEW MISTAKES. - PHIL DOURADO</t>
  </si>
  <si>
    <t>YOU CAN RECOGNIZE TRUTH BY ITS BEAUTY AND SIMPLICITY. WHEN YOU GET IT RIGHT, IT IS OBVIOUS THAT IT IS RIGHT. - RICHARD FEYNMAN</t>
  </si>
  <si>
    <t>TALKERS ARE NO GOOD DOERS. - WILLIAM SHAKESPEARE, "HENRY VI"</t>
  </si>
  <si>
    <t>PHOTOGRAPHY IS PAINTING WITH LIGHT. - ERIC HAMILTON</t>
  </si>
  <si>
    <t>GOOD ARTISTS COPY. GREAT ARTISTS STEAL. - PABLO PICASSO</t>
  </si>
  <si>
    <t>A GUIDELINE IN THE PROCESS OF STEPWISE REFINEMENT SHOULD BE THE PRINCIPLE TO DECOMPOSE DECISIONS AS MUCH AS POSSIBLE, TO UNTANGLE ASPECTS WHICH ARE ONLY SEEMINGLY INTERDEPENDENT, AND TO DEFER THOSE DECISIONS WHICH CONCERN DETAILS OF REPRESENTATION AS LONG AS POSSIBLE. - NIKLAUS WIRTH</t>
  </si>
  <si>
    <t>VIGOROUS WRITING IS CONCISE. A SENTENCE SHOULD CONTAIN NO UNNECESSARY WORDS, A PARAGRAPH NO UNNECESSARY SENTENCES, FOR THE SAME REASON THAT A DRAWING SHOULD HAVE NO UNNECESSARY LINES AND A MACHINE NO UNNECESSARY PARTS. THIS REQUIRES NOT THAT THE WRITER MAKE ALL SENTENCES SHORT OR AVOID ALL DETAIL AND TREAT SUBJECTS ONLY IN OUTLINE, BUT THAT EVERY WORD TELL. - WILLIAM STRUNK, JR. (THE ELEMENTS OF STYLE)</t>
  </si>
  <si>
    <t>THE PROBLEM IS THAT SMALL EXAMPLES FAIL TO CONVINCE, AND LARGE EXAMPLES ARE TOO BIG TO FOLLOW. - STEVE YEGGE.</t>
  </si>
  <si>
    <t>WE ARE THE SUM OF OUR BEHAVIOURS; EXCELLENCE THEREFORE IS NOT AN ACT BUT A HABIT. - ARISTOTLE.</t>
  </si>
  <si>
    <t>THE PURPOSE OF ABSTRACTION IS NOT TO BE VAGUE, BUT TO CREATE A NEW SEMANTIC LEVEL IN WHICH ONE CAN BE ABSOLUTELY PRECISE. - EDSGER DIJKSTRA</t>
  </si>
  <si>
    <t>EVERY MAN PREFERS BELIEF TO THE EXERCISE OF JUDGMENT. - SENECA</t>
  </si>
  <si>
    <t>THAT IS ONE OF THE MOST DISTINCTIVE DIFFERENCES BETWEEN SCHOOL AND THE REAL WORLD: THERE IS NO REWARD FOR PUTTING IN A GOOD EFFORT. IN FACT, THE WHOLE CONCEPT OF A "GOOD EFFORT" IS A FAKE IDEA ADULTS INVENTED TO ENCOURAGE KIDS. IT IS NOT FOUND IN NATURE. - PAUL GRAHAM</t>
  </si>
  <si>
    <t>I FIND THAT THE HARDER I WORK, THE MORE LUCK I SEEM TO HAVE. - THOMAS JEFFERSON</t>
  </si>
  <si>
    <t>DON'T STAY IN BED, UNLESS YOU CAN MAKE MONEY IN BED. - GEORGE BURNS</t>
  </si>
  <si>
    <t>IF EVERYTHING SEEMS UNDER CONTROL, YOU'RE NOT GOING FAST ENOUGH. - MARIO ANDRETTI</t>
  </si>
  <si>
    <t>CHANCE FAVORS THE PREPARED MIND. - LOUIS PASTEUR</t>
  </si>
  <si>
    <t>CONTROLLING COMPLEXITY IS THE ESSENCE OF COMPUTER PROGRAMMING. - BRIAN KERNIGAN</t>
  </si>
  <si>
    <t>THE FUNCTION OF GOOD SOFTWARE IS TO MAKE THE COMPLEX APPEAR TO BE SIMPLE. - GRADY BOOCH</t>
  </si>
  <si>
    <t>PROGRAMMERS ARE IN A RACE WITH THE UNIVERSE TO CREATE BIGGER AND BETTER IDIOT-PROOF PROGRAMS, WHILE THE UNIVERSE IS TRYING TO CREATE BIGGER AND BETTER IDIOTS.  SO FAR THE UNIVERSE IS WINNING. - RICH COOK</t>
  </si>
  <si>
    <t>A HACKER ON A ROLL MAY BE ABLE TO PRODUCE–IN A PERIOD OF A FEW MONTHS–SOMETHING THAT A SMALL DEVELOPMENT GROUP (SAY, 7-8 PEOPLE) WOULD HAVE A HARD TIME GETTING TOGETHER OVER A YEAR.  IBM USED TO REPORT THAT CERTAIN PROGRAMMERS MIGHT BE AS MUCH AS 100 TIMES AS PRODUCTIVE AS OTHER WORKERS, OR MORE. - PETER SEEBACH</t>
  </si>
  <si>
    <t>THE BEST PROGRAMMERS ARE NOT MARGINALLY BETTER THAN MERELY GOOD ONES. THEY ARE AN ORDER-OF-MAGNITUDE BETTER, MEASURED BY WHATEVER STANDARD: CONCEPTUAL CREATIVITY, SPEED, INGENUITY OF DESIGN, OR PROBLEM-SOLVING ABILITY. - RANDALL E. STROSS</t>
  </si>
  <si>
    <t>A GREAT LATHE OPERATOR COMMANDS SEVERAL TIMES THE WAGE OF AN AVERAGE LATHE OPERATOR, BUT A GREAT WRITER OF SOFTWARE CODE IS WORTH 10,000 TIMES THE PRICE OF AN AVERAGE SOFTWARE WRITER. - BILL GATES</t>
  </si>
  <si>
    <t>MEASURING PROGRAMMING PROGRESS BY LINES OF CODE IS LIKE MEASURING AIRCRAFT BUILDING PROGRESS BY WEIGHT. - BILL GATES</t>
  </si>
  <si>
    <t>FIRST LEARN COMPUTER SCIENCE AND ALL THE THEORY.  NEXT DEVELOP A PROGRAMMING STYLE.  THEN FORGET ALL THAT AND JUST HACK. - GEORGE CARRETTE</t>
  </si>
  <si>
    <t>TO ITERATE IS HUMAN, TO RECURSE DIVINE. - L. PETER DEUTSCH</t>
  </si>
  <si>
    <t>THE BEST THING ABOUT A BOOLEAN IS EVEN IF YOU ARE WRONG, YOU ARE ONLY OFF BY A BIT. - ANONYMOUS</t>
  </si>
  <si>
    <t>SHOULD ARRAY INDICES START AT 0 OR 1?  MY COMPROMISE OF 0.5 WAS REJECTED WITHOUT, I THOUGHT, PROPER CONSIDERATION. - STAN KELLY-BOOTLE</t>
  </si>
  <si>
    <t>THE USE OF COBOL CRIPPLES THE MIND; ITS TEACHING SHOULD THEREFORE BE REGARDED AS A CRIMINAL OFFENSE. - E.W. DIJKSTRA</t>
  </si>
  <si>
    <t>IT IS PRACTICALLY IMPOSSIBLE TO TEACH GOOD PROGRAMMING STYLE TO STUDENTS THAT HAVE HAD PRIOR EXPOSURE TO BASIC.  AS POTENTIAL PROGRAMMERS, THEY ARE MENTALLY MUTILATED BEYOND HOPE OF REGENERATION. - E. W. DIJKSTRA</t>
  </si>
  <si>
    <t>ONE OF THE MAIN CAUSES OF THE FALL OF THE ROMAN EMPIRE WAS THAT–LACKING ZERO–THEY HAD NO WAY TO INDICATE SUCCESSFUL TERMINATION OF THEIR C PROGRAMS. - ROBERT FIRTH</t>
  </si>
  <si>
    <t>SAYING THAT JAVA IS NICE BECAUSE IT WORKS ON ALL OSES IS LIKE SAYING THAT ANAL SEX IS NICE BECAUSE IT WORKS ON ALL GENDERS. - ALANNA</t>
  </si>
  <si>
    <t>IF JAVA HAD TRUE GARBAGE COLLECTION, MOST PROGRAMS WOULD DELETE THEMSELVES UPON EXECUTION. - ROBERT SEWELL</t>
  </si>
  <si>
    <t>GOOD PROGRAMMERS USE THEIR BRAINS, BUT GOOD GUIDELINES SAVE US HAVING TO THINK OUT EVERY CASE. - FRANCIS GLASSBOROW</t>
  </si>
  <si>
    <t>CONSIDERING THE CURRENT SAD STATE OF OUR COMPUTER PROGRAMS, SOFTWARE DEVELOPMENT IS CLEARLY STILL A BLACK ART, AND CANNOT YET BE CALLED AN ENGINEERING DISCIPLINE. - BILL CLINTON</t>
  </si>
  <si>
    <t>IF DEBUGGING IS THE PROCESS OF REMOVING BUGS, THEN PROGRAMMING MUST BE THE PROCESS OF PUTTING THEM IN. - EDSGER W. DIJKSTRA</t>
  </si>
  <si>
    <t>ALWAYS CODE AS IF THE GUY WHO ENDS UP MAINTAINING YOUR CODE WILL BE A VIOLENT PSYCHOPATH WHO KNOWS WHERE YOU LIVE. - MARTIN GOLDING</t>
  </si>
  <si>
    <t>EVERYTHING THAT CAN BE INVENTED HAS BEEN INVENTED. - CHARLES H. DUELL, COMMISSIONER, U.S. OFFICE OF PATENTS, 1899</t>
  </si>
  <si>
    <t>IT WOULD APPEAR THAT WE HAVE REACHED THE LIMITS OF WHAT IT IS POSSIBLE TO ACHIEVE WITH COMPUTER TECHNOLOGY, ALTHOUGH ONE SHOULD BE CAREFUL WITH SUCH STATEMENTS, AS THEY TEND TO SOUND PRETTY SILLY IN 5 YEARS.  - JOHN VON NEUMANN, CIRCA 1949</t>
  </si>
  <si>
    <t>BUT WHAT IS IT GOOD FOR? - ENGINEER AT THE ADVANCED COMPUTING SYSTEMS DIVISION OF IBM, COMMENTING ON THE MICROCHIP, 1968</t>
  </si>
  <si>
    <t>THERE IS NO REASON FOR ANY INDIVIDUAL TO HAVE A COMPUTER IN HIS HOME. - KEN OLSON, PRESIDENT, DIGITAL EQUIPMENT CORPORATION, 1977</t>
  </si>
  <si>
    <t>640K OUGHT TO BE ENOUGH FOR ANYBODY. - BILL GATES, 1981</t>
  </si>
  <si>
    <t>WINDOWS NT ADDRESSES 2 GIGABYTES OF RAM, WHICH IS MORE THAN ANY APPLICATION WILL EVER NEED. - MICROSOFT, ON THE DEVELOPMENT OF WINDOWS NT, 1992</t>
  </si>
  <si>
    <t>WE WILL NEVER BECOME A TRULY PAPER-LESS SOCIETY UNTIL THE PALM PILOT FOLKS COME OUT WITH WIPEME 1.0. - ANDY PIERSON</t>
  </si>
  <si>
    <t>IF IT KEEPS UP, MAN WILL ATROPHY ALL HIS LIMBS BUT THE PUSH-BUTTON FINGER. - FRANK LLOYD WRIGHT</t>
  </si>
  <si>
    <t>FUNCTIONAL PROGRAMMING IS LIKE DESCRIBING YOUR PROBLEM TO A MATHEMATICIAN.  IMPERATIVE PROGRAMMING IS LIKE GIVING INSTRUCTIONS TO AN IDIOT. - ARCUS, #SCHEME ON FREENODE</t>
  </si>
  <si>
    <t>ITS A SHAME THAT THE STUDENTS OF OUR GENERATION GREW UP WITH WINDOWS AND MICE BECAUSE THAT TAINTED OUR MINDSET NOT TO THINK IN TERMS OF POWERFUL TOOLS. SOME OF US ARE JUST SO TAINTED THAT WE WILL NEVER RECOVER. - JEFFREY MARK SISKIND &lt;QOBI@RESEARCH.NJ.NEC.COM&gt; IN COMP.LANG.LISP</t>
  </si>
  <si>
    <t>LISP IS A PROGRAMMABLE PROGRAMMING LANGUAGE. - JOHN FODERARO</t>
  </si>
  <si>
    <t>I GUESS, WHEN YOU'RE DRUNK, EVERY WOMAN LOOKS BEAUTIFUL AND EVERY LANGUAGE LOOKS (LIKE) A LISP :) - LAMENT, #SCHEME@FREENODE.NET</t>
  </si>
  <si>
    <t>MANY OF LIFE'S FAILURES ARE PEOPLE WHO DID NOT REALIZE HOW CLOSE THEY WERE TO SUCCESS WHEN THEY GAVE UP. - THOMAS EDISON</t>
  </si>
  <si>
    <t>YOU MUST ALWAYS WORK NOT JUST WITHIN BUT BELOW YOUR MEANS. IF YOU CAN HANDLE THREE ELEMENTS, HANDLE ONLY TWO. IF YOU CAN HANDLE TEN, THEN HANDLE FIVE. IN THAT WAY THE ONES YOU DO HANDLE, YOU HANDLE WITH MORE EASE, MORE MASTERY AND YOU CREATE A FEELING OF STRENGTH IN RESERVE. - PABLO PICASSO</t>
  </si>
  <si>
    <t>SOME PEOPLE SUGGEST THAT MACHINES WOULD BE FRIENDLIER IF INPUT COULD BE IN A NATURAL LANGUAGE. BUT NATURAL LANGUAGE IS PROBABLY THE WORST KIND OF INPUT BECAUSE IT CAN BE QUITE AMBIGUOUS. THE PROCESS OF RETRIEVING INFORMATION FROM THE COMPUTER WOULD BE SO TIME-CONSUMING THAT YOU WOULD BE BETTER OFF SPENDING THAT TIME GETTING THE INFORMATION DIRECTLY FROM AN EXPERT. - GARY KILDALL (INVENTOR OF CP/M, ONE OF THE FIRST OS FOR THE MICRO).</t>
  </si>
  <si>
    <t>THE ONLY WAY OF DISCOVERING THE LIMITS OF THE POSSIBLE IS TO VENTURE A LITTLE WAY PAST THEM INTO THE IMPOSSIBLE. - ARTHUR C. CLARKE</t>
  </si>
  <si>
    <t>ANY SUFFICIENTLY ADVANCED TECHNOLOGY IS UNDISTINGUISHABLE FROM MAGIC. - ARTHUR C. CLARKE</t>
  </si>
  <si>
    <t>GOOD IDEAS ARE OUT THERE FOR ANYONE WITH THE WIT AND THE WILL TO FIND THEM. - MALCOLM GLADWELL, WHO SAYS BIG IDEAS ARE RARE?</t>
  </si>
  <si>
    <t>A PERSON WON'T BECOME PROFICIENT AT SOMETHING UNTIL HE OR SHE HAS DONE IT MANY TIMES. IN OTHER WORDS., IF YOU WANT SOMEONE TO BE REALLY GOOD AT BUILDING A SOFTWARE SYSTEM, HE OR SHE WILL HAVE TO HAVE BUILT 10 OR MORE SYSTEMS OF THAT TYPE. - PHILIP GREENSPUN</t>
  </si>
  <si>
    <t>A PERSON WON'T RETAIN PROFICIENCY AT A TASK UNLESS HE OR SHE HAS AT ONE TIME LEARNED TO PERFORM THAT TASK VERY RAPIDLY. LEARNING RESEARCH DEMONSTRATES THAT THE SKILLS OF PEOPLE WHO BECOME ACCURATE BUT NOT FAST DETERIORATE MUCH SOONER THAN THE SKILLS OF PEOPLE WHO BECOME BOTH ACCURATE AND FAST. - PHILIP GREENSPUN</t>
  </si>
  <si>
    <t>TRAINING RESEARCH SHOWS THAT IF YOU GET SPEED NOW YOU CAN GET QUALITY LATER. BUT IF YOU DON'T GET SPEED YOU WILL NEVER GET QUALITY IN THE LONG RUN. - PHILIP GREENSPUN</t>
  </si>
  <si>
    <t>BEWARE OF BUGS IN THE ABOVE CODE; I HAVE ONLY PROVED IT CORRECT, NOT TRIED IT. - DONALD KNUTH</t>
  </si>
  <si>
    <t>THE HUMAN BRAIN STARTS WORKING THE MOMENT YOU ARE BORN AND NEVER STOPS UNTIL YOU STAND UP TO SPEAK IN PUBLIC. - ANONYMOUS</t>
  </si>
  <si>
    <t>THE TROUBLE WITH THE WORLD IS THAT THE STUPID ARE ALWAYS COCKSURE AND THE INTELLIGENT ARE ALWAYS FILLED WITH DOUBT. - BERTRAND RUSSELL</t>
  </si>
  <si>
    <t>SIMPLE, CLEAR PURPOSE AND PRINCIPLES GIVE RISE TO COMPLEX, INTELLIGENT BEHAVIOR. COMPLEX RULES AND REGULATIONS GIVE RISE TO SIMPLE, STUPID BEHAVIOR. - DEE HOCK, BIRTH OF THE CHAORDIC AGE</t>
  </si>
  <si>
    <t>C++ IS LIKE TEENAGE SEX: EVERYBODY IS TALKING ABOUT IT ALL THE TIME, ONLY FEW ARE REALLY DOING IT. - UNKNOWN</t>
  </si>
  <si>
    <t>FUNCTIONAL PROGRAMMING IS TO ALGORITHMS AS THE UBIQUITOUS LITTLE BLACK DRESS IS TO WOMEN'S FASHION. - MARK TARVER (OF "THE BIPOLAR LISP PROGRAMMER" FAME)</t>
  </si>
  <si>
    <t>JAVA AND C++ MAKE YOU THINK THAT THE NEW IDEAS ARE LIKE THE OLD ONES. JAVA IS THE MOST DISTRESSING THING TO HIT COMPUTING SINCE MS-DOS. - ALAN KAY</t>
  </si>
  <si>
    <t>FOR COMPLEX SYSTEMS, THE COMPILER AND DEVELOPMENT ENVIRONMENT NEED TO BE IN THE SAME LANGUAGE THAT ITS SUPPORTING. IT'S THE ONLY WAY TO GROW CODE. - ALAN KAY</t>
  </si>
  <si>
    <t>SIMPLE THINGS SHOULD BE SIMPLE. COMPLEX THINGS SHOULD BE POSSIBLE. - ALAN KAY</t>
  </si>
  <si>
    <t>I INVENTED THE TERM OBJECT-ORIENTED, AND I CAN TELL YOU I DID NOT HAVE C++ IN MIND. - ALAN KAY</t>
  </si>
  <si>
    <t>ALL CREATIVITY IS AN EXTENDED FORM OF A JOKE. - ALAN KAY</t>
  </si>
  <si>
    <t>IF YOU DON'T FAIL AT LEAST 90 PERCENT OF THE TIME, YOU'RE NOT AIMING HIGH ENOUGH. - ALAN KAY</t>
  </si>
  <si>
    <t>REVOLUTIONS COME FROM STANDING ON THE SHOULDERS OF GIANTS AND FACING IN A BETTER DIRECTION. - ALAN KAY</t>
  </si>
  <si>
    <t>LA HAINE EST UNE LIQUEUR PRÉCIEUSE, UN POISON PLUS CHER QUE CELUI DES BORGIA, - CAR IL EST FAIT AVEC NOTRE SANG, NOTRE SANTÉ, NOTRE SOMMEIL, ET LES DEUX TIERS DE NOTRE AMOUR! IL FAUT EN ÊTRE AVARE! - CHARLES BAUDELAIRE, CONSEILS AUX JEUNES LITTÉRATEURS.</t>
  </si>
  <si>
    <t>IF IT LOOKS LIKE A DUCK, WALKS LIKE A DUCK, AND QUACKS LIKE A DUCK, IT'S A DUCK. - OFFICIAL DEFINITION OF "DUCK TYPING"</t>
  </si>
  <si>
    <t>IN OO, IT'S THE DATA THAT IS THE "IMPORTANT" THING: YOU DEFINE THE CLASS WHICH CONTAINS MEMBER DATA, AND ONLY INCIDENTALLY CONTAINS CODE FOR MANIPULATING THE OBJECT. IN FP, IT'S THE CODE THAT'S IMPORTANT: YOU DEFINE A FUNCTION WHICH CONTAINS CODE FOR WORKING WITH THE DATA, AND ONLY INCIDENTALLY DEFINE WHAT THE DATA IS. - ALMKGOR, ON REDDIT</t>
  </si>
  <si>
    <t>DES MOTS SIMPLES, QUAND ILS SONT BIEN UTILISÉS, FONT FAIRE À DES GENS ORDINAIRES DES CHOSES EXTRAORDINAIRES. - KHALED TANGAO</t>
  </si>
  <si>
    <t>THE GREATEST CHALLENGE TO ANY THINKER IS STATING THE PROBLEM IN A WAY THAT WILL ALLOW A SOLUTION. - BERTRAND RUSSELL</t>
  </si>
  <si>
    <t>THE ABILITY TO SIMPLIFY MEANS TO ELIMINATE THE UNNECESSARY SO THAT THE NECESSARY MAY SPEAK. - HANS HOFMANN</t>
  </si>
  <si>
    <t>HOWEVER BEAUTIFUL THE STRATEGY, YOU SHOULD OCCASIONALLY LOOK AT THE RESULTS. - WINSTON CHURCHILL</t>
  </si>
  <si>
    <t>GENIUS IS 1% INSPIRATION AND 99% PERSPIRATION. - THOMAS EDISON</t>
  </si>
  <si>
    <t>SIDE PROJECTS ARE LESS MASTURBATORY THAN READING RSS, OFTEN MORE USEFUL THAN MOBILEME, MORE EDUCATIONAL THAN THE COMMENTS ON REDDIT, AND USUALLY MORE FUN THAN LISTENING TO KEYNOTES. - CHRIS WANSTRATH</t>
  </si>
  <si>
    <t>I HAD TO LEARN HOW TO TEACH LESS, SO THAT MORE COULD BE LEARNED. - TIM GALLWEY, THE INNER GAME OF WORK</t>
  </si>
  <si>
    <t>THE WORK BEGINS ANEW, THE HOPE RISES AGAIN, AND THE DREAM LIVES ON. - TED KENNEDY</t>
  </si>
  <si>
    <t>THE HARDEST PART OF DESIGN ... IS KEEPING FEATURES OUT. - DONALD NORMAN</t>
  </si>
  <si>
    <t>BEFORE SOFTWARE CAN BE REUSABLE IT FIRST HAS TO BE USABLE. - RALPH JOHNSON</t>
  </si>
  <si>
    <t>THE OPPOSITE OF LOVE IS NOT HATE, IT IS INDIFFERENCE. - ELIE WIESEL</t>
  </si>
  <si>
    <t>PERPETUAL OPTIMISM IS A FORCE MULTIPLIER. - COLIN POWELL</t>
  </si>
  <si>
    <t>BE THE CHANGE YOU WANT TO SEE IN THE WORLD. - MAHATMA GANDHI</t>
  </si>
  <si>
    <t>THE ART OF GETTING SOMEONE ELSE TO DO SOMETHING YOU WANT DONE BECAUSE HE WANTS TO DO IT [LEADERSHIP]. - DWIGHT D. ENSEINHOVER.</t>
  </si>
  <si>
    <t>NO ONE IS ALL EVIL. EVERYBODY HAS A GOOD SIDE. IF YOU KEEP WAITING, IT WILL COMME UP. - RANDY PAUSCH</t>
  </si>
  <si>
    <t>EXPERIENCE IS WHAT YOU GET WHEN YOU DON'T GET WHAT YOU WANT. - CITED BY RANDY PAUSCH</t>
  </si>
  <si>
    <t>LUCK IS WHERE PREPARATION MEETS OPPORTUNITY. - RANDY PAUSCH</t>
  </si>
  <si>
    <t>THE GREATEST OF ALL WEAKNESSES IS THE FEAR OF APPEARING WEAK. - J. B. BOSSUET, POLITICS FROM HOLY WRIT, 1709</t>
  </si>
  <si>
    <t>IT'S EASIER TO ASK FORGIVENESS THAN IT IS TO GET PERMISSION. - REAR ADMIRAL DR. GRACE HOPPER</t>
  </si>
  <si>
    <t>AN INVESTMENT IN KNOWLEDGE ALWAYS PAYS THE BEST INTEREST. - BENJAMIN FRANKLIN</t>
  </si>
  <si>
    <t>NATIVES WHO BEAT DRUMS TO DRIVE OFF EVIL SPIRITS ARE OBJECTS OF SCORN TO SMART AMERICANS WHO BLOW HORNS TO BREAK UP TRAFFIC JAMS. - MARY ELLEN KELLY</t>
  </si>
  <si>
    <t>A CS PROFESSOR ONCE EXPLAINED RECURSION AS FOLLOWS: A CHILD COULDN'T SLEEP, SO HER MOTHER TOLD HER A STORY ABOUT A LITTLE FROG,     WHO COULDN'T SLEEP, SO THE FROG'S MOTHER TOLD HER A STORY ABOUT A LITTLE BEAR,          WHO COULDN'T SLEEP, SO THE BEAR'S MOTHER TOLD HER A STORY ABOUT A LITTLE WEASEL...             WHO FELL ASLEEP.         ...AND THE LITTLE BEAR FELL ASLEEP;     ...AND THE LITTLE FROG FELL ASLEEP; ...AND THE CHILD FELL ASLEEP. - EVERYTHING2.COM</t>
  </si>
  <si>
    <t>NEVER DO THE IMPOSSIBLE. PEOPLE WILL EXPECT YOU TO DO IT FOREVER AFTER. - PIGSANDFISHES.COM</t>
  </si>
  <si>
    <t>HIRE PEOPLE SMARTER THAN YOU.  WORK WITH PEOPLE SMARTER THAN YOU. LISTEN TO THEM. LET THEM LEAD YOU. TAKE THE BLAME FOR ALL FAILURES, GIVE AWAY THE CREDIT FOR ALL SUCCESSES. - HOW TO FAIL: 25 SECRETS LEARNED THROUGH FAILURE</t>
  </si>
  <si>
    <t>GIVE UP CONTROL. YOU NEVER REALLY HAD IT ANYWAY. - HOW TO FAIL: 25 SECRETS LEARNED THROUGH FAILURE</t>
  </si>
  <si>
    <t>ONLY TWO THINGS ARE INFINITE, THE UNIVERSE AND HUMAN STUPIDITY. AND I'M NOT SO SURE ABOUT THE FORMER. - ALBERT EINSTEIN</t>
  </si>
  <si>
    <t>THE IMPORTANT THING IS NOT TO STOP QUESTIONING. - ALBERT EINSTEIN</t>
  </si>
  <si>
    <t>DO NOT ACCEPT ANYTHING BECAUSE IT COMES FROM THE MOUTH OF A RESPECTED PERSON. - BUDDHA</t>
  </si>
  <si>
    <t>WORK AS INTENSELY AS YOU PLAY AND PLAY AS INTENSELY AS YOU WORK. - ERIC S. RAYMOND, HOW TO BE A HACKER</t>
  </si>
  <si>
    <t>A WITTY SAYING PROVES NOTHING - VOLTAIRE</t>
  </si>
  <si>
    <t>SOUND METHODOLOGY CAN EMPOWER AND LIBERATE THE CREATIVE MIND; IT CANNOT INFLAME OR INSPIRE THE DRUDGE. - FREDERICK P. BROOKS, NO SLIVER BULLET.</t>
  </si>
  <si>
    <t>LA CONNAISSANCE D'UN DÉFAUT NE L'ENLÈVE PAS, ELLE NOUS TORTURE JUSQU'À SA CORRECTION. - DANIEL LOVEWIN (GUILLAUME KPOTUFE)</t>
  </si>
  <si>
    <t>DO NOT SPOIL WHAT YOU HAVE BY DESIRING WHAT YOU HAVE NOT; BUT REMEMBER THAT WHAT YOU NOW HAVE WAS ONCE AMONG THE THINGS ONLY HOPED FOR. - GREEK PHILOSOPHER EPICURUS</t>
  </si>
  <si>
    <t>NOBODY CAN MAKE YOU FEEL INFERIOR WITHOUT YOUR CONSENT. - ELEANOR ROOSEVELT</t>
  </si>
  <si>
    <t>IF YOU TELL THE TRUTH, YOU DON'T HAVE TO REMEMBER ANYTHING. - MARK TWAIN</t>
  </si>
  <si>
    <t>YOU KNOW YOU'RE IN LOVE WHEN YOU CAN'T FALL ASLEEP BECAUSE REALITY IS FINALLY BETTER THAN YOUR DREAMS. - DR. SEUSS</t>
  </si>
  <si>
    <t>THE OPPOSITE OF LOVE IS NOT HATE, IT'S INDIFFERENCE. - ELIE WIESEL</t>
  </si>
  <si>
    <t>WHENEVER YOU FIND YOURSELF ON THE SIDE OF THE MAJORITY, IT IS TIME TO PAUSE AND REFLECT. - MARK TWAIN</t>
  </si>
  <si>
    <t>TO BE YOURSELF IN A WORLD THAT IS CONSTANTLY TRYING TO MAKE YOU SOMETHING ELSE IS THE GREATEST ACCOMPLISHMENT. - RALPH WALDO EMERSON</t>
  </si>
  <si>
    <t>IT IS NOT A LACK OF LOVE, BUT A LACK OF FRIENDSHIP THAT MAKES UNHAPPY MARRIAGES. - FRIEDRICH NIETZSCHE</t>
  </si>
  <si>
    <t>IN TERMS OF ENERGY, IT'S BETTER TO MAKE A WRONG CHOICE THAN NONE AT ALL. - GEORGE LEONARD, MASTERY.</t>
  </si>
  <si>
    <t>COURAGE IS GRACE UNDER PRESSURE. - ERNEST HEMINGWAY</t>
  </si>
  <si>
    <t>ACTUALLY, THE ESSENCE OF BOREDOM IS TO BE FOUND IN THE OBSESSIVE SEARCH FOR NOVELTY. SATISFACTION LIES IN MINDFUL REPETITION, THE DISCOVERY OF ENDLESS RICHNESS IN SUBTLE VARIATIONS ON FAMILIAR THEMES. - GEORGE LEONARD, MASTERY.</t>
  </si>
  <si>
    <t>BEFORE ENLIGHTENMENT, CHOP WOOD AND CARRY WATER. AFTER ENLIGHTENMENT, CHOP WOOD AND CARRY WATER. - ANCIENT EASTERN ADAGE</t>
  </si>
  <si>
    <t>ACKNOWLEDGING THE NEGATIVE DOESN'T MEAN SNIVELING [WHINING, COMPLAINING]; IT MEANS FACING THE TRUTH AND THEN MOVING ON. - GEORGE LEONARD, MASTERY.</t>
  </si>
  <si>
    <t>WHATEVER YOU CAN DO, OR DREAM YOU CAN, BEGIN IT. BOLDNESS HAS GENIUS, POWER, AND MAGIC IN IT. - GOETHE</t>
  </si>
  <si>
    <t>WHAT WE CHOOSE TO FIGHT IS SO TINY! WHAT FIGHTS US IS SO GREAT! ... WHEN WE WIN IT'S WITH SMALL THINGS, AND THE TRIUMPH ITSELF MAKES US SMALL. ... WINNING DOES NOT TEMPT THAT MAN. THIS IS HOW HE GROWS: BY BEING DEFEATED, DECISIVELY, BY CONSTANTLY GREATER BEINGS.  - RAINER MARIA RILKE, THE MAN WATCHING.</t>
  </si>
  <si>
    <t>WE FAIL TO REALIZE THAT MASTERY IS NOT ABOUT PERFECTION. IT'S ABOUT A PROCESS, A JOURNEY. THE MASTER IS THE ONE WHO STAYS ON THE PATH DAY AFTER DAY, YEAR AFTER YEAR. THE MASTER IS THE ONE WHO IS WILLING TO TRY, AND FAIL, AND TRY AGAIN, FOR AS LONG AS HE OR SHE LIVES. - GEORGE LEONARD, MASTERY.</t>
  </si>
  <si>
    <t>ARE YOU WILLING TO WEAR YOUR WHITE BELT? - GEORGE LEONARD, MASTERY.</t>
  </si>
  <si>
    <t>CREATIVITY AND INNOVATION ALWAYS BUILD ON THE PAST. - LAWRENCE LESSIG, FREE CULTURE.</t>
  </si>
  <si>
    <t>THE PAST ALWAYS TRIES TO CONTROL THE CREATIVITY THAT BUILDS ON IT.  - LAWRENCE LESSIG, FREE CULTURE.</t>
  </si>
  <si>
    <t>FREE SOCIETIES ENABLE THE FUTURE BY LIMITING THE PAST. - LAWRENCE LESSIG, FREE CULTURE.</t>
  </si>
  <si>
    <t>OURS IS LESS AND LESS A FREE SOCIETY. - LAWRENCE LESSIG, FREE CULTURE.</t>
  </si>
  <si>
    <t>Diff Char Used</t>
  </si>
  <si>
    <t>Average Word Length</t>
  </si>
  <si>
    <t>Variety per word</t>
  </si>
  <si>
    <t>NOVEL EXPERIENCE CAN TEACH US A LOT ABOUT OURSELVES. IT SHOULD DEEPEN OUR UNDERSTANDING OF THE PROCESSES OF DESIGN AND CREATION.</t>
  </si>
  <si>
    <t>THE ABDOMEN, THE CHEST, AND THE BRAIN WILL FOREVER BE SHUT FROM THE INTRUSION OF THE WISE AND HUMANE SURGEON. -SIR JOHN ERIC ERICKSEN, BRITISH SURGEON</t>
  </si>
  <si>
    <t>IT'S TEMPTING TO THINK THAT IF IT'S HARD, THEN IT'S VALUABLE. MOST VALUABLE THINGS ARE HARD. MOST HARD THINGS ARE COMPLETELY USELESS. HARD DOES NOT EQUATE TO BEING VALUABLE.</t>
  </si>
  <si>
    <t xml:space="preserve">THE FIRST PRINCIPLE OF THE CULTURE CODE IS THAT THE ONLY EFFECTIVE WAY TO UNDERSTAND WHAT PEOPLE TRULY MEAN IS TO IGNORE WHAT THEY SAY. </t>
  </si>
  <si>
    <t>THOSE WHO SEEK TO EXPLOIT ARE NOT THEMSELVES FREE, FOR THEY PLACE NO VALUE IN FREEDOM.</t>
  </si>
  <si>
    <t>THE CHAINS THAT BIND YOU ARE NOT HELD IN PLACE BY A RULING CLASS, A "SUPERIOR" RACE, BY SOCIETY, THE STATE, OR A LEADER. THEY ARE HELD IN PLACE BY NONE OTHER THAN YOURSELF.</t>
  </si>
  <si>
    <t>MY PURPOSE IS NO LESS THAN TO EFFECTUATE IN EACH OF YOU A NOTICEABLE, IRREVERSABLE CHANGE. I WANT YOU TO GAIN, FOR THE REST OF YOUR LIVES, THE INSIGHT THAT BEAUTIFUL PROOFS ARE NOT "FOUND" BY TRIAL ANF ERROR BUT ARE THE RESULT OF A CONSCIOUSLY APPLIED DESIGN DISCIPLINE. I WANT YOU TO RAISE YOUR QUALITY STANDARDS.</t>
  </si>
  <si>
    <t>THE ONLY WAY TO BE A GOOD PROGRAMMER IS TO WRITE CODE. WHEN YOU REALIZE YOU HAVEN'T BEEN WRITING MUCH CODE LATELY, AND IT SEEMS LIKE ALL YOU DO IS BRAG ABOUT CODE YOU WROTE IN THE PAST, AND PEOPLE START LOOKING AT YOU FUNNY WHILE YOU'RE SHOOTING YOUR MOUTH OFF, REALIZE IT'S BECAUSE THEY KNOW. THEY MIGHT NOT EVEN KNOW THEY KNOW, BUT THEY KNOW.</t>
  </si>
  <si>
    <t>DOING WHAT YOU LOVE BRINGS SUCCESS, AND BY ALL MEANS, THROW YOURSELF A NICE BIG PARTY, BUY YOURSELF A NICE CAR, SOAK UP THE ADULATION OF AN ADORING CROWD. THEN SHUT THE FUCK UP AND GET BACK TO WORK.</t>
  </si>
  <si>
    <t>Language Warning</t>
  </si>
  <si>
    <t>yes</t>
  </si>
  <si>
    <t>Starting value</t>
  </si>
  <si>
    <t>End value</t>
  </si>
  <si>
    <t>PRACTICE MAKES PERFECTT.</t>
  </si>
  <si>
    <t>TWENTY-FOUR HOURS IN A DAY, TWENTY-FOUR BEERS IN A CASE. COINCIDENCE? YOU DECIDE.</t>
  </si>
  <si>
    <t>IF IT'S STUPID BUT IT WORKS, IT ISN'T STUPID.</t>
  </si>
  <si>
    <t>Enter the puzzle phrase below</t>
  </si>
  <si>
    <t>Puzzle</t>
  </si>
  <si>
    <t>check</t>
  </si>
  <si>
    <t>ASCII Code Range</t>
  </si>
  <si>
    <t>MASTERING ISN'T A SURVIVAL INSTINCT; IT'S AN URGE TO EXCEL. MASTERING IS ONE OF THE EXPERIENCES THAT DELINEATES US FROM ANIMALS. IT IS STRIVING TO BE MORE TOMORROW THAN WE ARE TODAY; TO PERFECTLY PITCH THE BALL OVER HOME PLATE; TO CRAFT THE PERFECT SENTENCE IN AN ARTICLE; TO OPEN THE OVEN AND FEEL THE WARM, RICHLY-SCENTED CLOUD TELLING YOU DINNER IS GOING TO BE ABSOLUTELY EXTRAORDINARY. WE HUMANS CRAVE PERFECTION, TO BE MASTERS OF OUR DOMAIN, TO DISTINGUISH OURSELVES BY SHEER SKILL AND PROWESS. - JOESGOALS.COM</t>
  </si>
  <si>
    <t>TO SOLVE YOUR PROBLEMS YOU MUST LEARN NEW SKILLS, ADAPT NEW THOUGHT PATTERNS, AND BECOME A DIFFERENT PERSON THAN YOU WERE BEFORE THAT PROBLEM.  GOD HAS CRAFTED YOU FOR SUCCESS. IN THE MIDDLE OF EVERY ADVERSITY LIE YOUR BEST OPPORTUNITIES. DISCOVER IT, BUILD UPON IT AND MOVE FORWARD IN YOUR JOURNEY TO LIVE AN EXTRAORDINARY LIFE.  YOU OWE IT TO YOURSELF TO LIVE A GREAT LIFE. DON'T LET NEGATIVE THOUGHTS PULL YOU DOWN. BE GRATEFUL AND OPEN TO LEARN AND GROW. - HTTP:</t>
  </si>
  <si>
    <t>WHILE I'VE ALWAYS APPRECIATED BEAUTIFUL CODE, I SHARE JONATHAN'S CONCERN ABOUT STUDYING IT TOO MUCH. I THINK STUDYING BEAUTY IN MUSIC AND PAINTING HAS LED US TO MODERN CLASSICAL MUSIC AND PAINTING THAT THE MAJORITY OF US JUST DON'T GET. BEAUTY CAN BE SEEN WHEN IT EMERGES, BUT ISN'T SOMETHING TO STRIVE FOR IN ISOLATION OF A LARGER CONTEXT. IN THE SOFTWARE WORLD, THE LARGER CONTEXT WOULD BE THE UTILITY OF THE SOFTWARE TO THE END USER. - [A COMMENT ON A BLOG]</t>
  </si>
  <si>
    <t xml:space="preserve"> WELL, IF YOU TALK ABOUT PROGRAMMING TO A GROUP OF PROGRAMMERS WHO USE THE SAME LANGUAGE, THEY CAN BECOME ALMOST EVANGELISTIC ABOUT THE LANGUAGE. THEY FORM A TIGHT-KNIT COMMUNITY, HOLD TO CERTAIN BELIEFS, AND FOLLOW CERTAIN RULES IN THEIR PROGRAMMING. IT'S LIKE A CHURCH WITH A PROGRAMMING LANGUAGE FOR A BIBLE. - GARY KILDALL (INVENTOR OF CP/M, ONE OF THE FIRST OS FOR THE MICRO).</t>
  </si>
  <si>
    <t>IT'S A PROBLEM IF THE DESIGN DOESN'T LET YOU ADD FEATURES AT A LATER DATE. IF YOU HAVE TO REDO A PROGRAM, THE HOURS YOU SPEND CAN CAUSE YOU TO LOSE YOUR COMPETITIVE EDGE. A FLEXIBLE PROGRAM DEMONSTRATES THE DIFFERENCE BETWEEN A GOOD DESIGNER AND SOMEONE WHO IS JUST GETTING A PIECE OF CODE OUT. - GARY KILDALL (INVENTOR OF CP/M, ONE OF THE FIRST OS FOR THE MICRO).</t>
  </si>
  <si>
    <t>WHEN YOU'VE GOT THE CODE ALL RIPPED APART, IT'S LIKE A CAR THAT'S ALL DISASSEMBLED. YOU'VE GOT ALL THE PARTS TYING ALL OVER YOUR GARAGE AND YOU HAVE TO REPLACE THE BROKEN PART OR THE CAR WILL NEVER RUN. IT'S NOT FUN UNTIL THE CODE GETS BACK TO THE BASELINE AGAIN. - GARY KILDALL (INVENTOR OF CP/M, ONE OF THE FIRST OS FOR THE MICRO).</t>
  </si>
  <si>
    <t>THAT IS THE INEVITABLE HUMAN RESPONSE. WE'RE RELUCTANT TO BELIEVE THAT GREAT DISCOVERIES ARE IN THE AIR. WE WANT TO BELIEVE THAT GREAT DISCOVERIES ARE IN OUR HEADS—AND TO EACH PARTY IN THE MULTIPLE THE PRESENCE OF THE OTHER PARTY IS INVARIABLY CAUSE FOR SUSPICION. - MALCOLM GLADWELL, WHO SAYS BIG IDEAS ARE RARE?</t>
  </si>
  <si>
    <t>THE PROOF IS BY REDUCTIO AD ABSURDUM, AND REDUCTIO AD ABSURDUM, WHICH EUCLID LOVED SO MUCH, IS ONE OF A MATHEMATICIAN'S FINEST WEAPONS. IT IS A FAR FINER GAMBIT THAN ANY CHESS GAMBIT: A CHESS PLAYER MAY OFFER THE SACRIFICE OF A PAWN OR EVEN A PIECE, BUT A MATHEMATICIAN OFFERS THE GAME. - G. H. HARDY</t>
  </si>
  <si>
    <t>WELL THEN. HOW COULD YOU POSSIBLY LIVE WITHOUT AUTOMATED REFACTORING TOOLS? HOW ELSE COULD YOU COORDINATE THE CATERPILLAR-LIKE MOTIONS OF ALL JAVA'S IDENTICAL TINY LEGS, ITS THOUSANDS OF SIMILAR PARTS? I'LL TELL YOU HOW: RUBY IS A BUTTERFLY. - STEVEY, REFACTORING TRILOGY, PART 1.</t>
  </si>
  <si>
    <t>[INNOVATION] COMES FROM SAYING NO TO 1,000 THINGS TO MAKE SURE WE DON'T GET ON THE WRONG TRACK OR TRY TO DO TOO MUCH. WE'RE ALWAYS THINKING ABOUT NEW MARKETS WE COULD ENTER, BUT IT'S ONLY BY SAYING NO THAT YOU CAN CONCENTRATE ON THE THINGS THAT ARE REALLY IMPORTANT. - STEVE JOBS</t>
  </si>
  <si>
    <t>[HOW FRIENDLY WILL THIS MACHINE BE?] WELL, I DON'T THINK IT'S A MATTER OF FRIENDLINESS, BECAUSE ULTIMATELY IF THE PROGRAM IS GOING TO ACCOMPLISH ANYTHING OF VALUE, IT WILL PROBABLY BE RELATIVELY COMPLEX. - GARY KILDALL (INVENTOR OF CP/M, ONE OF THE FIRST OS FOR THE MICRO).</t>
  </si>
  <si>
    <t>WEAR YOUR BEST FOR YOUR EXECUTION AND STAND DIGNIFIED. YOUR LAST RECOURSE AGAINST RANDOMNESS IS HOW YOU ACT — IF YOU CAN'T CONTROL OUTCOMES, YOU CAN CONTROL THE ELEGANCE OF YOUR BEHAVIOUR. YOU WILL ALWAYS HAVE THE LAST WORD. - NASSIM TALEB</t>
  </si>
  <si>
    <t>THE PRESIDENT WAS VISITING NASA HEADQUARTERS AND STOPPED TO TALK TO A MAN WHO WAS HOLDING A MOP. “AND WHAT DO YOU DO?” HE ASKED. THE MAN, A JANITOR, REPLIED, “I'M HELPING TO PUT A MAN ON THE MOON, SIR.” - THE LITTLE BOOK OF LEADERSHIP</t>
  </si>
  <si>
    <t>IT WAS EDISON WHO SAID ‘1% INSPIRATION, 99% PERSPIRATION'. THAT MAY HAVE BEEN TRUE A HUNDRED YEARS AGO. THESE DAYS IT'S ‘0.01% INSPIRATION, 99.99% PERSPIRATION', AND THE INSPIRATION IS THE EASY PART. - LINUX TORVALDS</t>
  </si>
  <si>
    <t>NO MATTER HOW MUCH YOU PLAN YOU'RE LIKELY TO GET HALF WRONG ANYWAY. SO DON'T DO THE ‘PARALYSIS THROUGH ANALYSIS' THING. THAT ONLY SLOWS PROGRESS AND SAPS MORALE. - 37 SIGNAL, GETTING REAL</t>
  </si>
  <si>
    <t>THE MINUTE YOU PUT THE BLAME ON SOMEONE ELSE YOU'VE SWITCH THINGS FROM BEING A PROBLEM YOU CAN CONTROL TO A PROBLEM OUTSIDE OF YOUR CONTROL. - ENGTECH (INTERNETDUCTTAPE.COM)</t>
  </si>
  <si>
    <t>ANY CODE OF YOUR OWN THAT YOU HAVEN'T LOOKED AT FOR SIX OR MORE MONTHS MIGHT AS WELL HAVE BEEN WRITTEN BY SOMEONE ELSE. - EAGLESON'S LAW</t>
  </si>
  <si>
    <t>IF SOMETHING ISN'T WORKING, YOU NEED TO LOOK BACK AND FIGURE OUT WHAT GOT YOU EXCITED IN THE FIRST PLACE. - DAVID GORMAN (IMTHERE.COM)</t>
  </si>
  <si>
    <t>L'ART QUI SATISFAIT LE BESOIN LE PLUS IMPÉRIEUX SERA TOUJOURS LE PLUS HONORÉ. - CHARLES BAUDELAIRE, CONSEILS AUX JEUNES LITTÉRATEURS.</t>
  </si>
  <si>
    <t>CE N'EST QUE PAR LES BEAUX SENTIMENTS QU'ON PARVIENT À LA FORTUNE ! - CHARLES BAUDELAIRE, CONSEILS AUX JEUNES LITTÉRATEURS.</t>
  </si>
  <si>
    <t>SO - WHAT ARE THE MOST IMPORTANT PROBLEMS IN SOFTWARE ENGINEERING? I'D ANSWER “DEALING WITH COMPLEXITY”. - MARK CHU-CARROLL</t>
  </si>
  <si>
    <t>I THINK THERE'S A WORLD MARKET FOR ABOUT 5 COMPUTERS. - THOMAS J. WATSON, CHAIRMAN OF THE BOARD, IBM, CIRCA 1948</t>
  </si>
  <si>
    <t>IT'S HARD TO GRASP ABSTRACTIONS IF YOU DON'T UNDERSTAND WHAT THEY'RE ABSTRACTING AWAY FROM. - NATHAN WEIZENBAUM</t>
  </si>
  <si>
    <t>IN THEORY, THERE'S NO DIFFERENCE BETWEEN THEORY AND PRACTICE. BUT IN PRACTICE, THERE IS. - ALBERT EINSTEIN</t>
  </si>
  <si>
    <t>RULES OF OPTIMIZATION: RULE 1: DON'T DO IT. RULE 2 (FOR EXPERTS ONLY): DON'T DO IT YET. - M.A. JACKSON</t>
  </si>
  <si>
    <t>THE JOB OF A LEADER TODAY IS NOT TO CREATE FOLLOWERS. IT'S TO CREATE MORE LEADERS. - RALPH NADER</t>
  </si>
  <si>
    <t>YOU CAN'T GET TO VERSION 500 IF YOU DON'T START WITH A VERSION 1. - BETTEREXPLAINED.COM</t>
  </si>
  <si>
    <t>I'D RATHER WRITE PROGRAMS TO WRITE PROGRAMS THAN WRITE PROGRAMS. - RICHARD SITES</t>
  </si>
  <si>
    <t>GOOD WORK IS NO DONE BY ‘HUMBLE' MEN. - H. HARDY, A MATHEMATICIAN'S APOLOGY.</t>
  </si>
  <si>
    <t>SOFTWARE IS LIKE SEX: IT'S BETTER WHEN IT'S FREE. - LINUS TORVALDS</t>
  </si>
  <si>
    <t>C'S GREAT FOR WHAT IT'S GREAT FOR. - BEN HOYTS (MICROPLEDGE)</t>
  </si>
  <si>
    <t>[INNOVATION] COMES FROM SAYING NO TO 1,000 THINGS TO MAKE SURE WE DON'T GET ON THE WRONG TRACK OR TRY TO DO TOO MUCH. WE'RE ALWAYS THINKING ABOUT NEW MARKETS WE COULD ENTER, BUT IT'S ONLY BY SAYING NO THAT YOU CAN CONCENTRATE ON THE THINGS THAT ARE REALLY IMPORTANT.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</si>
</sst>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4" x14ac:knownFonts="1">
    <font>
      <sz val="10"/>
      <name val="Arial"/>
    </font>
    <font>
      <sz val="8"/>
      <name val="Arial"/>
      <family val="2"/>
    </font>
    <font>
      <b/>
      <sz val="8"/>
      <name val="Arial"/>
      <family val="2"/>
    </font>
    <font>
      <sz val="8"/>
      <name val="Arial"/>
      <family val="2"/>
    </font>
    <font>
      <sz val="8"/>
      <name val="Times New Roman"/>
      <family val="1"/>
    </font>
    <font>
      <b/>
      <sz val="10"/>
      <name val="Arial"/>
      <family val="2"/>
    </font>
    <font>
      <b/>
      <sz val="12"/>
      <name val="Arial"/>
      <family val="2"/>
    </font>
    <font>
      <b/>
      <sz val="8"/>
      <name val="Arial"/>
      <family val="2"/>
    </font>
    <font>
      <sz val="10"/>
      <name val="Arial"/>
      <family val="2"/>
    </font>
    <font>
      <sz val="8"/>
      <color theme="0" tint="-0.249977111117893"/>
      <name val="Arial"/>
      <family val="2"/>
    </font>
    <font>
      <sz val="11"/>
      <name val="Calibri"/>
      <family val="2"/>
    </font>
    <font>
      <sz val="11"/>
      <name val="Arial"/>
      <family val="2"/>
    </font>
    <font>
      <sz val="12"/>
      <name val="Arial"/>
      <family val="2"/>
    </font>
    <font>
      <sz val="14"/>
      <name val="Arial"/>
      <family val="2"/>
    </font>
    <font>
      <sz val="11"/>
      <color theme="1"/>
      <name val="Calibri"/>
      <family val="2"/>
    </font>
    <font>
      <b/>
      <sz val="11"/>
      <color theme="0"/>
      <name val="Arial"/>
      <family val="2"/>
    </font>
    <font>
      <sz val="11"/>
      <color theme="1"/>
      <name val="Arial"/>
      <family val="2"/>
    </font>
    <font>
      <sz val="10"/>
      <color theme="5" tint="-0.249977111117893"/>
      <name val="Arial"/>
      <family val="2"/>
    </font>
    <font>
      <sz val="6"/>
      <color theme="5" tint="-0.249977111117893"/>
      <name val="Arial"/>
      <family val="2"/>
    </font>
    <font>
      <sz val="8"/>
      <color theme="5" tint="-0.249977111117893"/>
      <name val="Arial"/>
      <family val="2"/>
    </font>
    <font>
      <sz val="9"/>
      <name val="Arial"/>
      <family val="2"/>
    </font>
    <font>
      <sz val="9"/>
      <color theme="1"/>
      <name val="Arial Narrow"/>
      <family val="2"/>
    </font>
    <font>
      <sz val="9"/>
      <color rgb="FF000000"/>
      <name val="Arial"/>
      <family val="2"/>
    </font>
    <font>
      <sz val="10"/>
      <color rgb="FF000000"/>
      <name val="Arial"/>
      <family val="2"/>
    </font>
  </fonts>
  <fills count="8">
    <fill>
      <patternFill patternType="none"/>
    </fill>
    <fill>
      <patternFill patternType="gray125"/>
    </fill>
    <fill>
      <patternFill patternType="solid">
        <fgColor indexed="13"/>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4" tint="0.79998168889431442"/>
        <bgColor theme="4" tint="0.79998168889431442"/>
      </patternFill>
    </fill>
    <fill>
      <patternFill patternType="solid">
        <fgColor theme="5" tint="-0.249977111117893"/>
        <bgColor indexed="64"/>
      </patternFill>
    </fill>
    <fill>
      <patternFill patternType="solid">
        <fgColor theme="5" tint="0.59999389629810485"/>
        <bgColor indexed="64"/>
      </patternFill>
    </fill>
  </fills>
  <borders count="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style="thin">
        <color indexed="64"/>
      </bottom>
      <diagonal/>
    </border>
  </borders>
  <cellStyleXfs count="1">
    <xf numFmtId="0" fontId="0" fillId="0" borderId="0"/>
  </cellStyleXfs>
  <cellXfs count="87">
    <xf numFmtId="0" fontId="0" fillId="0" borderId="0" xfId="0"/>
    <xf numFmtId="0" fontId="1" fillId="0" borderId="0" xfId="0" applyFont="1"/>
    <xf numFmtId="0" fontId="1" fillId="2" borderId="0" xfId="0" applyFont="1" applyFill="1"/>
    <xf numFmtId="0" fontId="2" fillId="0" borderId="0" xfId="0" applyFont="1"/>
    <xf numFmtId="0" fontId="1" fillId="0" borderId="1" xfId="0" applyFont="1" applyBorder="1"/>
    <xf numFmtId="0" fontId="1" fillId="0" borderId="2" xfId="0" applyFont="1" applyBorder="1"/>
    <xf numFmtId="0" fontId="1" fillId="0" borderId="3" xfId="0" applyFont="1" applyBorder="1"/>
    <xf numFmtId="0" fontId="3" fillId="0" borderId="4" xfId="0" applyFont="1" applyBorder="1"/>
    <xf numFmtId="0" fontId="3" fillId="0" borderId="5" xfId="0" applyFont="1" applyBorder="1"/>
    <xf numFmtId="0" fontId="3" fillId="0" borderId="6" xfId="0" applyFont="1" applyBorder="1"/>
    <xf numFmtId="0" fontId="4" fillId="0" borderId="0" xfId="0" applyFont="1"/>
    <xf numFmtId="0" fontId="1" fillId="0" borderId="0" xfId="0" quotePrefix="1" applyFont="1"/>
    <xf numFmtId="0" fontId="1" fillId="0" borderId="0" xfId="0" applyFont="1" applyBorder="1"/>
    <xf numFmtId="0" fontId="3" fillId="0" borderId="0" xfId="0" applyFont="1" applyBorder="1"/>
    <xf numFmtId="0" fontId="1" fillId="0" borderId="7" xfId="0" applyFont="1" applyBorder="1"/>
    <xf numFmtId="0" fontId="1" fillId="0" borderId="8" xfId="0" applyFont="1" applyBorder="1"/>
    <xf numFmtId="0" fontId="5" fillId="0" borderId="0" xfId="0" applyFont="1"/>
    <xf numFmtId="0" fontId="1" fillId="0" borderId="2" xfId="0" applyFont="1" applyFill="1" applyBorder="1"/>
    <xf numFmtId="0" fontId="1" fillId="0" borderId="6" xfId="0" applyFont="1" applyBorder="1"/>
    <xf numFmtId="0" fontId="1" fillId="0" borderId="0" xfId="0" applyFont="1" applyAlignment="1">
      <alignment horizontal="center"/>
    </xf>
    <xf numFmtId="0" fontId="4" fillId="0" borderId="0" xfId="0" applyFont="1" applyAlignment="1">
      <alignment horizontal="center"/>
    </xf>
    <xf numFmtId="0" fontId="2" fillId="0" borderId="0" xfId="0" applyFont="1" applyAlignment="1">
      <alignment horizontal="center"/>
    </xf>
    <xf numFmtId="0" fontId="1" fillId="2" borderId="0" xfId="0" applyFont="1" applyFill="1" applyAlignment="1">
      <alignment horizontal="center"/>
    </xf>
    <xf numFmtId="0" fontId="1" fillId="0" borderId="0" xfId="0" quotePrefix="1" applyFont="1" applyAlignment="1">
      <alignment horizontal="center"/>
    </xf>
    <xf numFmtId="0" fontId="1" fillId="0" borderId="0" xfId="0" applyFont="1" applyFill="1" applyAlignment="1">
      <alignment horizontal="center"/>
    </xf>
    <xf numFmtId="0" fontId="7" fillId="0" borderId="0" xfId="0" applyFont="1" applyAlignment="1">
      <alignment horizontal="center"/>
    </xf>
    <xf numFmtId="0" fontId="1" fillId="0" borderId="0" xfId="0" applyFont="1" applyAlignment="1">
      <alignment horizontal="left"/>
    </xf>
    <xf numFmtId="0" fontId="3" fillId="2" borderId="9" xfId="0" applyFont="1" applyFill="1" applyBorder="1" applyAlignment="1">
      <alignment horizontal="center"/>
    </xf>
    <xf numFmtId="0" fontId="1" fillId="0" borderId="0" xfId="0" applyFont="1" applyAlignment="1">
      <alignment textRotation="45"/>
    </xf>
    <xf numFmtId="0" fontId="1" fillId="0" borderId="0" xfId="0" applyFont="1" applyAlignment="1">
      <alignment horizontal="left" textRotation="45"/>
    </xf>
    <xf numFmtId="0" fontId="6" fillId="0" borderId="1" xfId="0" applyFont="1" applyBorder="1" applyAlignment="1">
      <alignment horizontal="center"/>
    </xf>
    <xf numFmtId="0" fontId="6" fillId="0" borderId="2" xfId="0" applyFont="1" applyBorder="1" applyAlignment="1">
      <alignment horizontal="center"/>
    </xf>
    <xf numFmtId="0" fontId="6" fillId="0" borderId="3" xfId="0" applyFont="1" applyBorder="1" applyAlignment="1">
      <alignment horizontal="center"/>
    </xf>
    <xf numFmtId="0" fontId="1" fillId="0" borderId="4" xfId="0" applyFont="1" applyBorder="1" applyAlignment="1">
      <alignment horizontal="center"/>
    </xf>
    <xf numFmtId="0" fontId="1" fillId="0" borderId="0" xfId="0" applyFont="1" applyBorder="1" applyAlignment="1">
      <alignment horizontal="center"/>
    </xf>
    <xf numFmtId="0" fontId="1" fillId="0" borderId="7" xfId="0" applyFont="1" applyBorder="1" applyAlignment="1">
      <alignment horizontal="center"/>
    </xf>
    <xf numFmtId="0" fontId="6" fillId="0" borderId="4" xfId="0" applyFont="1" applyBorder="1" applyAlignment="1">
      <alignment horizontal="center"/>
    </xf>
    <xf numFmtId="0" fontId="6" fillId="0" borderId="0" xfId="0" applyFont="1" applyBorder="1" applyAlignment="1">
      <alignment horizontal="center"/>
    </xf>
    <xf numFmtId="0" fontId="6" fillId="0" borderId="7" xfId="0" applyFont="1" applyBorder="1" applyAlignment="1">
      <alignment horizontal="center"/>
    </xf>
    <xf numFmtId="0" fontId="3" fillId="2" borderId="9" xfId="0" quotePrefix="1" applyFont="1" applyFill="1" applyBorder="1" applyAlignment="1">
      <alignment horizontal="center"/>
    </xf>
    <xf numFmtId="0" fontId="9" fillId="0" borderId="4" xfId="0" applyFont="1" applyBorder="1" applyAlignment="1">
      <alignment horizontal="center"/>
    </xf>
    <xf numFmtId="0" fontId="9" fillId="0" borderId="0" xfId="0" applyFont="1" applyBorder="1" applyAlignment="1">
      <alignment horizontal="center"/>
    </xf>
    <xf numFmtId="0" fontId="9" fillId="0" borderId="7" xfId="0" applyFont="1" applyBorder="1" applyAlignment="1">
      <alignment horizontal="center"/>
    </xf>
    <xf numFmtId="0" fontId="9" fillId="0" borderId="5" xfId="0" applyFont="1" applyBorder="1" applyAlignment="1">
      <alignment horizontal="center"/>
    </xf>
    <xf numFmtId="0" fontId="9" fillId="0" borderId="6" xfId="0" applyFont="1" applyBorder="1" applyAlignment="1">
      <alignment horizontal="center"/>
    </xf>
    <xf numFmtId="0" fontId="9" fillId="0" borderId="8" xfId="0" applyFont="1" applyBorder="1"/>
    <xf numFmtId="0" fontId="8" fillId="0" borderId="0" xfId="0" applyFont="1"/>
    <xf numFmtId="0" fontId="8" fillId="0" borderId="0" xfId="0" applyFont="1" applyAlignment="1">
      <alignment horizontal="right"/>
    </xf>
    <xf numFmtId="1" fontId="1" fillId="0" borderId="0" xfId="0" applyNumberFormat="1" applyFont="1" applyBorder="1"/>
    <xf numFmtId="2" fontId="1" fillId="0" borderId="0" xfId="0" applyNumberFormat="1" applyFont="1" applyBorder="1"/>
    <xf numFmtId="0" fontId="0" fillId="0" borderId="0" xfId="0" applyBorder="1"/>
    <xf numFmtId="0" fontId="1" fillId="0" borderId="9" xfId="0" applyFont="1" applyBorder="1"/>
    <xf numFmtId="0" fontId="0" fillId="0" borderId="9" xfId="0" applyBorder="1"/>
    <xf numFmtId="1" fontId="1" fillId="0" borderId="9" xfId="0" applyNumberFormat="1" applyFont="1" applyBorder="1"/>
    <xf numFmtId="0" fontId="1" fillId="0" borderId="9" xfId="0" applyFont="1" applyBorder="1" applyAlignment="1">
      <alignment textRotation="45"/>
    </xf>
    <xf numFmtId="0" fontId="8" fillId="0" borderId="9" xfId="0" applyFont="1" applyBorder="1"/>
    <xf numFmtId="0" fontId="0" fillId="0" borderId="0" xfId="0" applyAlignment="1">
      <alignment horizontal="center"/>
    </xf>
    <xf numFmtId="0" fontId="10" fillId="0" borderId="0" xfId="0" applyFont="1" applyAlignment="1">
      <alignment vertical="center"/>
    </xf>
    <xf numFmtId="0" fontId="8" fillId="0" borderId="0" xfId="0" applyFont="1" applyAlignment="1">
      <alignment horizontal="center"/>
    </xf>
    <xf numFmtId="164" fontId="0" fillId="0" borderId="0" xfId="0" applyNumberFormat="1" applyAlignment="1">
      <alignment horizontal="center"/>
    </xf>
    <xf numFmtId="0" fontId="1" fillId="0" borderId="0" xfId="0" applyFont="1" applyFill="1"/>
    <xf numFmtId="0" fontId="9" fillId="0" borderId="8" xfId="0" applyFont="1" applyBorder="1" applyAlignment="1">
      <alignment horizontal="center"/>
    </xf>
    <xf numFmtId="0" fontId="11" fillId="3" borderId="0" xfId="0" applyFont="1" applyFill="1" applyBorder="1" applyAlignment="1">
      <alignment horizontal="center"/>
    </xf>
    <xf numFmtId="0" fontId="16" fillId="3" borderId="13" xfId="0" applyFont="1" applyFill="1" applyBorder="1" applyProtection="1">
      <protection locked="0"/>
    </xf>
    <xf numFmtId="0" fontId="16" fillId="0" borderId="14" xfId="0" applyFont="1" applyBorder="1" applyAlignment="1" applyProtection="1">
      <alignment horizontal="center"/>
      <protection locked="0"/>
    </xf>
    <xf numFmtId="0" fontId="13" fillId="4" borderId="0" xfId="0" applyFont="1" applyFill="1" applyAlignment="1">
      <alignment vertical="center" wrapText="1"/>
    </xf>
    <xf numFmtId="0" fontId="17" fillId="7" borderId="0" xfId="0" applyFont="1" applyFill="1"/>
    <xf numFmtId="0" fontId="18" fillId="7" borderId="0" xfId="0" applyFont="1" applyFill="1" applyAlignment="1">
      <alignment horizontal="center"/>
    </xf>
    <xf numFmtId="0" fontId="17" fillId="7" borderId="0" xfId="0" applyFont="1" applyFill="1" applyAlignment="1">
      <alignment horizontal="right"/>
    </xf>
    <xf numFmtId="0" fontId="19" fillId="7" borderId="0" xfId="0" applyFont="1" applyFill="1" applyAlignment="1">
      <alignment horizontal="center"/>
    </xf>
    <xf numFmtId="0" fontId="17" fillId="7" borderId="0" xfId="0" applyFont="1" applyFill="1" applyAlignment="1">
      <alignment horizontal="center"/>
    </xf>
    <xf numFmtId="0" fontId="12" fillId="0" borderId="0" xfId="0" applyFont="1" applyFill="1" applyAlignment="1">
      <alignment horizontal="center"/>
    </xf>
    <xf numFmtId="0" fontId="12" fillId="0" borderId="0" xfId="0" applyFont="1" applyAlignment="1">
      <alignment horizontal="center"/>
    </xf>
    <xf numFmtId="0" fontId="12" fillId="0" borderId="0" xfId="0" quotePrefix="1" applyFont="1" applyAlignment="1">
      <alignment horizontal="center"/>
    </xf>
    <xf numFmtId="0" fontId="0" fillId="7" borderId="0" xfId="0" applyFill="1"/>
    <xf numFmtId="0" fontId="20" fillId="0" borderId="0" xfId="0" applyFont="1"/>
    <xf numFmtId="0" fontId="0" fillId="0" borderId="0" xfId="0" applyAlignment="1">
      <alignment horizontal="center" vertical="center"/>
    </xf>
    <xf numFmtId="0" fontId="21" fillId="0" borderId="11" xfId="0" quotePrefix="1" applyFont="1" applyBorder="1" applyAlignment="1" applyProtection="1">
      <alignment horizontal="center" vertical="center"/>
      <protection locked="0"/>
    </xf>
    <xf numFmtId="0" fontId="22" fillId="0" borderId="12" xfId="0" applyFont="1" applyBorder="1" applyAlignment="1" applyProtection="1">
      <alignment horizontal="center" vertical="center"/>
      <protection locked="0"/>
    </xf>
    <xf numFmtId="0" fontId="8" fillId="0" borderId="0" xfId="0" applyFont="1" applyAlignment="1">
      <alignment horizontal="center" vertical="center"/>
    </xf>
    <xf numFmtId="0" fontId="14" fillId="5" borderId="10" xfId="0" applyFont="1" applyFill="1" applyBorder="1" applyAlignment="1">
      <alignment horizontal="left" vertical="top" wrapText="1"/>
    </xf>
    <xf numFmtId="0" fontId="8" fillId="3" borderId="0" xfId="0" applyFont="1" applyFill="1" applyAlignment="1">
      <alignment horizontal="center" vertical="center"/>
    </xf>
    <xf numFmtId="0" fontId="12" fillId="0" borderId="0" xfId="0" applyFont="1" applyAlignment="1">
      <alignment horizontal="left" textRotation="45"/>
    </xf>
    <xf numFmtId="0" fontId="15" fillId="6" borderId="11" xfId="0" applyFont="1" applyFill="1" applyBorder="1" applyAlignment="1" applyProtection="1">
      <alignment horizontal="center"/>
      <protection locked="0"/>
    </xf>
    <xf numFmtId="0" fontId="15" fillId="6" borderId="12" xfId="0" applyFont="1" applyFill="1" applyBorder="1" applyAlignment="1" applyProtection="1">
      <alignment horizontal="center"/>
      <protection locked="0"/>
    </xf>
    <xf numFmtId="0" fontId="1" fillId="0" borderId="0" xfId="0" applyFont="1" applyAlignment="1">
      <alignment horizontal="left"/>
    </xf>
    <xf numFmtId="0" fontId="0" fillId="0" borderId="0" xfId="0" applyAlignment="1"/>
  </cellXfs>
  <cellStyles count="1">
    <cellStyle name="Normal" xfId="0" builtinId="0"/>
  </cellStyles>
  <dxfs count="23">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7"/>
        </patternFill>
      </fill>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dxf>
    <dxf>
      <font>
        <b val="0"/>
        <i val="0"/>
        <strike val="0"/>
        <condense val="0"/>
        <extend val="0"/>
        <outline val="0"/>
        <shadow val="0"/>
        <u val="none"/>
        <vertAlign val="baseline"/>
        <sz val="11"/>
        <color auto="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color rgb="FF9C0006"/>
      </font>
      <fill>
        <patternFill>
          <bgColor rgb="FFFFC7CE"/>
        </patternFill>
      </fill>
    </dxf>
    <dxf>
      <font>
        <color rgb="FF9C5700"/>
      </font>
      <fill>
        <patternFill>
          <bgColor rgb="FFFFEB9C"/>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485775</xdr:colOff>
          <xdr:row>5</xdr:row>
          <xdr:rowOff>0</xdr:rowOff>
        </xdr:from>
        <xdr:to>
          <xdr:col>15</xdr:col>
          <xdr:colOff>133350</xdr:colOff>
          <xdr:row>12</xdr:row>
          <xdr:rowOff>47625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New Code 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DC40C95-A978-4D74-9A33-18D2274B1D61}" name="Table1" displayName="Table1" ref="A1:AH606" totalsRowShown="0" headerRowDxfId="19">
  <autoFilter ref="A1:AH606" xr:uid="{52DADD27-B3AF-46E4-A991-51BB9ABA98A5}"/>
  <sortState ref="A2:AH606">
    <sortCondition descending="1" ref="D1:D606"/>
  </sortState>
  <tableColumns count="34">
    <tableColumn id="1" xr3:uid="{110925E3-D655-4B34-A00E-71ADA02957F2}" name="Number"/>
    <tableColumn id="2" xr3:uid="{E6AB9681-6B32-4CBD-8CFF-0690EC370328}" name="Quote" dataDxfId="18"/>
    <tableColumn id="34" xr3:uid="{0D63374A-2281-48AC-8676-E9A7A261B191}" name="Language Warning" dataDxfId="17"/>
    <tableColumn id="3" xr3:uid="{58355039-DF15-4863-A1E7-EDC0F3852B5D}" name="Characters">
      <calculatedColumnFormula>LEN(B2)</calculatedColumnFormula>
    </tableColumn>
    <tableColumn id="4" xr3:uid="{5354962F-089F-4A24-93F4-00443AECC9E0}" name="words" dataDxfId="16">
      <calculatedColumnFormula>IF(LEN(TRIM(B2))=0,0,LEN(TRIM(B2))-LEN(SUBSTITUTE(B2," ",""))+1)</calculatedColumnFormula>
    </tableColumn>
    <tableColumn id="5" xr3:uid="{9BDBEEA4-F418-4700-A45D-ECCAF972CE2F}" name="A">
      <calculatedColumnFormula>LEN($B2)-LEN(SUBSTITUTE($B2,F$1,""))</calculatedColumnFormula>
    </tableColumn>
    <tableColumn id="6" xr3:uid="{98A0AF29-7D03-4511-BB85-9D460C8E4A6E}" name="B">
      <calculatedColumnFormula>LEN($B2)-LEN(SUBSTITUTE($B2,G$1,""))</calculatedColumnFormula>
    </tableColumn>
    <tableColumn id="7" xr3:uid="{4C8A286D-187C-42B4-A87D-9ABB8409AB55}" name="C">
      <calculatedColumnFormula>LEN($B2)-LEN(SUBSTITUTE($B2,H$1,""))</calculatedColumnFormula>
    </tableColumn>
    <tableColumn id="8" xr3:uid="{2131BEE8-D723-4D45-9EC4-654A9ECB183B}" name="D">
      <calculatedColumnFormula>LEN($B2)-LEN(SUBSTITUTE($B2,I$1,""))</calculatedColumnFormula>
    </tableColumn>
    <tableColumn id="9" xr3:uid="{788A17CD-C8DC-412D-AED3-2478CF438C78}" name="E">
      <calculatedColumnFormula>LEN($B2)-LEN(SUBSTITUTE($B2,J$1,""))</calculatedColumnFormula>
    </tableColumn>
    <tableColumn id="10" xr3:uid="{B5DA7A13-FBC3-4D43-A6AE-39FCA19646ED}" name="F">
      <calculatedColumnFormula>LEN($B2)-LEN(SUBSTITUTE($B2,K$1,""))</calculatedColumnFormula>
    </tableColumn>
    <tableColumn id="11" xr3:uid="{1DB7D264-8E69-4304-A57F-3AC4FF7C0345}" name="G">
      <calculatedColumnFormula>LEN($B2)-LEN(SUBSTITUTE($B2,L$1,""))</calculatedColumnFormula>
    </tableColumn>
    <tableColumn id="12" xr3:uid="{3418E866-6E82-41B1-9D56-E5026CDD546E}" name="H">
      <calculatedColumnFormula>LEN($B2)-LEN(SUBSTITUTE($B2,M$1,""))</calculatedColumnFormula>
    </tableColumn>
    <tableColumn id="13" xr3:uid="{D8EDE458-326B-4AB8-9EF9-A4E635FC5899}" name="I">
      <calculatedColumnFormula>LEN($B2)-LEN(SUBSTITUTE($B2,N$1,""))</calculatedColumnFormula>
    </tableColumn>
    <tableColumn id="14" xr3:uid="{E2BF2BEE-6F0D-4633-8CFE-11B29656EA44}" name="J">
      <calculatedColumnFormula>LEN($B2)-LEN(SUBSTITUTE($B2,O$1,""))</calculatedColumnFormula>
    </tableColumn>
    <tableColumn id="15" xr3:uid="{AC69D5A9-C736-4834-B5BA-37002ECB1CCB}" name="K">
      <calculatedColumnFormula>LEN($B2)-LEN(SUBSTITUTE($B2,P$1,""))</calculatedColumnFormula>
    </tableColumn>
    <tableColumn id="16" xr3:uid="{E2945C3C-81B5-4AB2-9DA3-CC4C7342AE50}" name="L">
      <calculatedColumnFormula>LEN($B2)-LEN(SUBSTITUTE($B2,Q$1,""))</calculatedColumnFormula>
    </tableColumn>
    <tableColumn id="17" xr3:uid="{542FFA53-3B43-41A6-B09B-6482F63B0F57}" name="M">
      <calculatedColumnFormula>LEN($B2)-LEN(SUBSTITUTE($B2,R$1,""))</calculatedColumnFormula>
    </tableColumn>
    <tableColumn id="18" xr3:uid="{27AB6442-83AD-493C-B11C-916DCDFA2593}" name="N">
      <calculatedColumnFormula>LEN($B2)-LEN(SUBSTITUTE($B2,S$1,""))</calculatedColumnFormula>
    </tableColumn>
    <tableColumn id="19" xr3:uid="{E841584F-7717-456A-8750-9CCDE642D513}" name="O">
      <calculatedColumnFormula>LEN($B2)-LEN(SUBSTITUTE($B2,T$1,""))</calculatedColumnFormula>
    </tableColumn>
    <tableColumn id="20" xr3:uid="{3DC8FB71-AAB1-4996-AFD4-98DDFB08A119}" name="P">
      <calculatedColumnFormula>LEN($B2)-LEN(SUBSTITUTE($B2,U$1,""))</calculatedColumnFormula>
    </tableColumn>
    <tableColumn id="21" xr3:uid="{6CD458CC-CBC3-4787-8D72-5247E00D6213}" name="Q">
      <calculatedColumnFormula>LEN($B2)-LEN(SUBSTITUTE($B2,V$1,""))</calculatedColumnFormula>
    </tableColumn>
    <tableColumn id="22" xr3:uid="{6D3002A8-82B7-4785-A5CE-43B93DF72786}" name="R">
      <calculatedColumnFormula>LEN($B2)-LEN(SUBSTITUTE($B2,W$1,""))</calculatedColumnFormula>
    </tableColumn>
    <tableColumn id="23" xr3:uid="{89E31460-CCE8-4410-A662-B382E0BC6C22}" name="S">
      <calculatedColumnFormula>LEN($B2)-LEN(SUBSTITUTE($B2,X$1,""))</calculatedColumnFormula>
    </tableColumn>
    <tableColumn id="24" xr3:uid="{DEE37A4F-45D4-4DF0-B492-7400DC8817B7}" name="T">
      <calculatedColumnFormula>LEN($B2)-LEN(SUBSTITUTE($B2,Y$1,""))</calculatedColumnFormula>
    </tableColumn>
    <tableColumn id="25" xr3:uid="{48320B93-0D69-40AF-B7A2-C405D84853A6}" name="U">
      <calculatedColumnFormula>LEN($B2)-LEN(SUBSTITUTE($B2,Z$1,""))</calculatedColumnFormula>
    </tableColumn>
    <tableColumn id="26" xr3:uid="{A4D5AF10-B4E6-401B-AF68-C92911390826}" name="V">
      <calculatedColumnFormula>LEN($B2)-LEN(SUBSTITUTE($B2,AA$1,""))</calculatedColumnFormula>
    </tableColumn>
    <tableColumn id="27" xr3:uid="{21FB4A2A-BD34-42C8-8445-EF9092DADA65}" name="W">
      <calculatedColumnFormula>LEN($B2)-LEN(SUBSTITUTE($B2,AB$1,""))</calculatedColumnFormula>
    </tableColumn>
    <tableColumn id="28" xr3:uid="{3066BCF6-7346-4B0D-9DF3-A889D6A80C2D}" name="X">
      <calculatedColumnFormula>LEN($B2)-LEN(SUBSTITUTE($B2,AC$1,""))</calculatedColumnFormula>
    </tableColumn>
    <tableColumn id="29" xr3:uid="{9738E5F0-50FA-4866-8917-F163E8E052E2}" name="Y">
      <calculatedColumnFormula>LEN($B2)-LEN(SUBSTITUTE($B2,AD$1,""))</calculatedColumnFormula>
    </tableColumn>
    <tableColumn id="30" xr3:uid="{788BEE5E-060F-4936-A15A-E2F9C4A960A2}" name="Z">
      <calculatedColumnFormula>LEN($B2)-LEN(SUBSTITUTE($B2,AE$1,""))</calculatedColumnFormula>
    </tableColumn>
    <tableColumn id="31" xr3:uid="{C085C92B-993B-413D-AA41-85C7B2FE6A91}" name="Diff Char Used" dataDxfId="15">
      <calculatedColumnFormula>26-COUNTIF(F2:AE2,0)</calculatedColumnFormula>
    </tableColumn>
    <tableColumn id="32" xr3:uid="{E535F891-0A39-4CE0-A150-589CCA2B4CDD}" name="Average Word Length" dataDxfId="14">
      <calculatedColumnFormula>D2/E2</calculatedColumnFormula>
    </tableColumn>
    <tableColumn id="33" xr3:uid="{0E30EA95-36E7-40BA-9F4B-6C1D0ED949C1}" name="Variety per word">
      <calculatedColumnFormula>AG2/AF2</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60C87-9A12-43AB-9E94-6F5CAB606636}">
  <sheetPr codeName="Sheet1"/>
  <dimension ref="A1:CI3010"/>
  <sheetViews>
    <sheetView zoomScale="85" zoomScaleNormal="85" workbookViewId="0">
      <selection activeCell="A3" sqref="A3"/>
    </sheetView>
  </sheetViews>
  <sheetFormatPr defaultRowHeight="12.75" x14ac:dyDescent="0.2"/>
  <cols>
    <col min="1" max="1" width="85" style="1" customWidth="1"/>
    <col min="2" max="2" width="3" style="1" customWidth="1"/>
    <col min="3" max="3" width="3.5703125" style="1" bestFit="1" customWidth="1"/>
    <col min="4" max="4" width="13.7109375" style="1" customWidth="1"/>
    <col min="5" max="5" width="4.42578125" style="1" customWidth="1"/>
    <col min="6" max="9" width="4.42578125" customWidth="1"/>
    <col min="10" max="13" width="1.42578125" customWidth="1"/>
    <col min="14" max="16" width="4.42578125" customWidth="1"/>
    <col min="17" max="18" width="1.85546875" customWidth="1"/>
    <col min="19" max="19" width="6.140625" bestFit="1" customWidth="1"/>
    <col min="20" max="49" width="3.140625" style="19" bestFit="1" customWidth="1"/>
    <col min="50" max="54" width="3.140625" style="58" bestFit="1" customWidth="1"/>
    <col min="55" max="81" width="3.140625" style="46" bestFit="1" customWidth="1"/>
    <col min="82" max="256" width="2.85546875" customWidth="1"/>
  </cols>
  <sheetData>
    <row r="1" spans="1:81" x14ac:dyDescent="0.2">
      <c r="A1" s="1" t="s">
        <v>647</v>
      </c>
    </row>
    <row r="2" spans="1:81" ht="18" x14ac:dyDescent="0.2">
      <c r="A2" s="80" t="s">
        <v>682</v>
      </c>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row>
    <row r="3" spans="1:81" x14ac:dyDescent="0.2">
      <c r="A3" s="46"/>
    </row>
    <row r="4" spans="1:81" x14ac:dyDescent="0.2">
      <c r="C4" s="1">
        <v>40</v>
      </c>
      <c r="D4" s="1" t="s">
        <v>41</v>
      </c>
    </row>
    <row r="5" spans="1:81" x14ac:dyDescent="0.2">
      <c r="A5"/>
      <c r="B5"/>
      <c r="C5" s="1">
        <f>IF(LEN(TRIM(A2))=0,0,LEN(TRIM(A2))-LEN(SUBSTITUTE(A2," ",""))+1)</f>
        <v>50</v>
      </c>
      <c r="D5" s="1" t="s">
        <v>37</v>
      </c>
      <c r="F5" s="1"/>
      <c r="G5" s="1"/>
      <c r="H5" s="1"/>
      <c r="I5" s="1"/>
      <c r="J5" s="1"/>
      <c r="K5" s="1"/>
      <c r="L5" s="1"/>
      <c r="M5" s="1"/>
    </row>
    <row r="6" spans="1:81" x14ac:dyDescent="0.2">
      <c r="A6"/>
      <c r="B6"/>
      <c r="C6" s="1">
        <f>LEN(A2)</f>
        <v>266</v>
      </c>
      <c r="D6" s="1" t="s">
        <v>40</v>
      </c>
      <c r="F6" s="1"/>
      <c r="G6" s="1"/>
      <c r="H6" s="1"/>
      <c r="I6" s="1"/>
      <c r="J6" s="1"/>
      <c r="K6" s="1"/>
      <c r="L6" s="1"/>
      <c r="M6" s="1"/>
    </row>
    <row r="7" spans="1:81" ht="65.25" customHeight="1" x14ac:dyDescent="0.2">
      <c r="A7"/>
      <c r="B7"/>
      <c r="C7" s="54" t="s">
        <v>59</v>
      </c>
      <c r="D7" s="54" t="s">
        <v>37</v>
      </c>
      <c r="E7" s="54" t="s">
        <v>39</v>
      </c>
      <c r="F7" s="54" t="s">
        <v>38</v>
      </c>
      <c r="G7" s="54" t="s">
        <v>42</v>
      </c>
      <c r="H7" s="54" t="s">
        <v>52</v>
      </c>
      <c r="I7" s="54" t="s">
        <v>55</v>
      </c>
      <c r="J7" s="28"/>
      <c r="K7" s="28"/>
      <c r="L7" s="28"/>
      <c r="M7" s="28"/>
      <c r="N7" s="54" t="s">
        <v>58</v>
      </c>
      <c r="O7" s="54" t="s">
        <v>56</v>
      </c>
      <c r="P7" s="54" t="s">
        <v>57</v>
      </c>
      <c r="Q7" s="28"/>
    </row>
    <row r="8" spans="1:81" x14ac:dyDescent="0.2">
      <c r="A8"/>
      <c r="B8"/>
      <c r="C8" s="51">
        <v>1</v>
      </c>
      <c r="D8" s="51" t="str">
        <f t="shared" ref="D8:D71" si="0">IFERROR(TRIM(MID(SUBSTITUTE($A$2," ",REPT(" ",LEN($A$2))), (C8-1)*LEN($A$2)+1, LEN($A$2))),"")</f>
        <v>[INNOVATION]</v>
      </c>
      <c r="E8" s="51">
        <f>IF(D8&lt;&gt;"",LEN(D8)+1,"")</f>
        <v>13</v>
      </c>
      <c r="F8" s="51">
        <f>E8</f>
        <v>13</v>
      </c>
      <c r="G8" s="52">
        <v>1</v>
      </c>
      <c r="H8" s="52">
        <v>1</v>
      </c>
      <c r="I8" s="53">
        <f>E8</f>
        <v>13</v>
      </c>
      <c r="J8" s="48"/>
      <c r="K8" s="49"/>
      <c r="L8" s="49"/>
      <c r="M8" s="50"/>
      <c r="N8" s="55">
        <v>1</v>
      </c>
      <c r="O8" s="52">
        <f>IFERROR(SMALL($H$8:$H$60,N8),"")</f>
        <v>1</v>
      </c>
      <c r="P8" s="52"/>
      <c r="Q8" s="50"/>
      <c r="S8" s="47" t="s">
        <v>43</v>
      </c>
      <c r="T8" s="81" t="str">
        <f t="shared" ref="T8:AY8" si="1">IFERROR(MID($A$2,T53,1),"")</f>
        <v>[</v>
      </c>
      <c r="U8" s="81" t="str">
        <f t="shared" si="1"/>
        <v>I</v>
      </c>
      <c r="V8" s="81" t="str">
        <f t="shared" si="1"/>
        <v>N</v>
      </c>
      <c r="W8" s="81" t="str">
        <f t="shared" si="1"/>
        <v>N</v>
      </c>
      <c r="X8" s="81" t="str">
        <f t="shared" si="1"/>
        <v>O</v>
      </c>
      <c r="Y8" s="81" t="str">
        <f t="shared" si="1"/>
        <v>V</v>
      </c>
      <c r="Z8" s="81" t="str">
        <f t="shared" si="1"/>
        <v>A</v>
      </c>
      <c r="AA8" s="81" t="str">
        <f t="shared" si="1"/>
        <v>T</v>
      </c>
      <c r="AB8" s="81" t="str">
        <f t="shared" si="1"/>
        <v>I</v>
      </c>
      <c r="AC8" s="81" t="str">
        <f t="shared" si="1"/>
        <v>O</v>
      </c>
      <c r="AD8" s="81" t="str">
        <f t="shared" si="1"/>
        <v>N</v>
      </c>
      <c r="AE8" s="81" t="str">
        <f t="shared" si="1"/>
        <v>]</v>
      </c>
      <c r="AF8" s="81" t="str">
        <f t="shared" si="1"/>
        <v xml:space="preserve"> </v>
      </c>
      <c r="AG8" s="81" t="str">
        <f t="shared" si="1"/>
        <v>C</v>
      </c>
      <c r="AH8" s="81" t="str">
        <f t="shared" si="1"/>
        <v>O</v>
      </c>
      <c r="AI8" s="81" t="str">
        <f t="shared" si="1"/>
        <v>M</v>
      </c>
      <c r="AJ8" s="81" t="str">
        <f t="shared" si="1"/>
        <v>E</v>
      </c>
      <c r="AK8" s="81" t="str">
        <f t="shared" si="1"/>
        <v>S</v>
      </c>
      <c r="AL8" s="81" t="str">
        <f t="shared" si="1"/>
        <v xml:space="preserve"> </v>
      </c>
      <c r="AM8" s="81" t="str">
        <f t="shared" si="1"/>
        <v>F</v>
      </c>
      <c r="AN8" s="81" t="str">
        <f t="shared" si="1"/>
        <v>R</v>
      </c>
      <c r="AO8" s="81" t="str">
        <f t="shared" si="1"/>
        <v>O</v>
      </c>
      <c r="AP8" s="81" t="str">
        <f t="shared" si="1"/>
        <v>M</v>
      </c>
      <c r="AQ8" s="81" t="str">
        <f t="shared" si="1"/>
        <v xml:space="preserve"> </v>
      </c>
      <c r="AR8" s="81" t="str">
        <f t="shared" si="1"/>
        <v>S</v>
      </c>
      <c r="AS8" s="81" t="str">
        <f t="shared" si="1"/>
        <v>A</v>
      </c>
      <c r="AT8" s="81" t="str">
        <f t="shared" si="1"/>
        <v>Y</v>
      </c>
      <c r="AU8" s="81" t="str">
        <f t="shared" si="1"/>
        <v>I</v>
      </c>
      <c r="AV8" s="81" t="str">
        <f t="shared" si="1"/>
        <v>N</v>
      </c>
      <c r="AW8" s="81" t="str">
        <f t="shared" si="1"/>
        <v>G</v>
      </c>
      <c r="AX8" s="81" t="str">
        <f t="shared" si="1"/>
        <v xml:space="preserve"> </v>
      </c>
      <c r="AY8" s="81" t="str">
        <f t="shared" si="1"/>
        <v>N</v>
      </c>
      <c r="AZ8" s="81" t="str">
        <f t="shared" ref="AZ8:CC8" si="2">IFERROR(MID($A$2,AZ53,1),"")</f>
        <v>O</v>
      </c>
      <c r="BA8" s="81" t="str">
        <f t="shared" si="2"/>
        <v xml:space="preserve"> </v>
      </c>
      <c r="BB8" s="81" t="str">
        <f t="shared" si="2"/>
        <v>T</v>
      </c>
      <c r="BC8" s="81" t="str">
        <f t="shared" si="2"/>
        <v>O</v>
      </c>
      <c r="BD8" s="81" t="str">
        <f t="shared" si="2"/>
        <v xml:space="preserve"> </v>
      </c>
      <c r="BE8" s="81" t="str">
        <f t="shared" si="2"/>
        <v/>
      </c>
      <c r="BF8" s="81" t="str">
        <f t="shared" si="2"/>
        <v/>
      </c>
      <c r="BG8" s="81" t="str">
        <f t="shared" si="2"/>
        <v/>
      </c>
      <c r="BH8" s="81" t="str">
        <f t="shared" si="2"/>
        <v/>
      </c>
      <c r="BI8" s="81" t="str">
        <f t="shared" si="2"/>
        <v/>
      </c>
      <c r="BJ8" s="81" t="str">
        <f t="shared" si="2"/>
        <v/>
      </c>
      <c r="BK8" s="81" t="str">
        <f t="shared" si="2"/>
        <v/>
      </c>
      <c r="BL8" s="81" t="str">
        <f t="shared" si="2"/>
        <v/>
      </c>
      <c r="BM8" s="81" t="str">
        <f t="shared" si="2"/>
        <v/>
      </c>
      <c r="BN8" s="81" t="str">
        <f t="shared" si="2"/>
        <v/>
      </c>
      <c r="BO8" s="81" t="str">
        <f t="shared" si="2"/>
        <v/>
      </c>
      <c r="BP8" s="81" t="str">
        <f t="shared" si="2"/>
        <v/>
      </c>
      <c r="BQ8" s="81" t="str">
        <f t="shared" si="2"/>
        <v/>
      </c>
      <c r="BR8" s="81" t="str">
        <f t="shared" si="2"/>
        <v/>
      </c>
      <c r="BS8" s="81" t="str">
        <f t="shared" si="2"/>
        <v/>
      </c>
      <c r="BT8" s="81" t="str">
        <f t="shared" si="2"/>
        <v/>
      </c>
      <c r="BU8" s="81" t="str">
        <f t="shared" si="2"/>
        <v/>
      </c>
      <c r="BV8" s="81" t="str">
        <f t="shared" si="2"/>
        <v/>
      </c>
      <c r="BW8" s="81" t="str">
        <f t="shared" si="2"/>
        <v/>
      </c>
      <c r="BX8" s="81" t="str">
        <f t="shared" si="2"/>
        <v/>
      </c>
      <c r="BY8" s="81" t="str">
        <f t="shared" si="2"/>
        <v/>
      </c>
      <c r="BZ8" s="81" t="str">
        <f t="shared" si="2"/>
        <v/>
      </c>
      <c r="CA8" s="81" t="str">
        <f t="shared" si="2"/>
        <v/>
      </c>
      <c r="CB8" s="81" t="str">
        <f t="shared" si="2"/>
        <v/>
      </c>
      <c r="CC8" s="81" t="str">
        <f t="shared" si="2"/>
        <v/>
      </c>
    </row>
    <row r="9" spans="1:81" x14ac:dyDescent="0.2">
      <c r="A9"/>
      <c r="B9"/>
      <c r="C9" s="51">
        <f t="shared" ref="C9:C72" si="3">IFERROR(IF(C8+1&gt;$C$5,"",C8+1),"")</f>
        <v>2</v>
      </c>
      <c r="D9" s="51" t="str">
        <f t="shared" si="0"/>
        <v>COMES</v>
      </c>
      <c r="E9" s="51">
        <f t="shared" ref="E9:E72" si="4">IF(D9&lt;&gt;"",LEN(D9)+1,"")</f>
        <v>6</v>
      </c>
      <c r="F9" s="51">
        <f>IFERROR(IF(E9&lt;&gt;"",SUM(E$8:E9),""),"")</f>
        <v>19</v>
      </c>
      <c r="G9" s="52">
        <f>IF(E9&lt;&gt;"",IF(I9&lt;I8,G8+1,G8),"")</f>
        <v>1</v>
      </c>
      <c r="H9" s="52" t="str">
        <f t="shared" ref="H9:H72" si="5">IF(G10=G9,"",F9)</f>
        <v/>
      </c>
      <c r="I9" s="53">
        <f>IFERROR(IF(I8+E9&gt;$C$4,E9,I8+E9),"")</f>
        <v>19</v>
      </c>
      <c r="J9" s="48"/>
      <c r="K9" s="49"/>
      <c r="L9" s="49"/>
      <c r="M9" s="50"/>
      <c r="N9" s="55">
        <v>2</v>
      </c>
      <c r="O9" s="52">
        <f>IFERROR(SMALL($H$8:$H$60,N9),"")</f>
        <v>37</v>
      </c>
      <c r="P9" s="52">
        <f>IFERROR(O9-O8,"")</f>
        <v>36</v>
      </c>
      <c r="Q9" s="50"/>
      <c r="S9" s="47" t="s">
        <v>44</v>
      </c>
      <c r="T9" s="81" t="str">
        <f t="shared" ref="T9:AY9" si="6">IFERROR(MID($A$2,T54,1),"")</f>
        <v>1</v>
      </c>
      <c r="U9" s="81" t="str">
        <f t="shared" si="6"/>
        <v>,</v>
      </c>
      <c r="V9" s="81" t="str">
        <f t="shared" si="6"/>
        <v>0</v>
      </c>
      <c r="W9" s="81" t="str">
        <f t="shared" si="6"/>
        <v>0</v>
      </c>
      <c r="X9" s="81" t="str">
        <f t="shared" si="6"/>
        <v>0</v>
      </c>
      <c r="Y9" s="81" t="str">
        <f t="shared" si="6"/>
        <v xml:space="preserve"> </v>
      </c>
      <c r="Z9" s="81" t="str">
        <f t="shared" si="6"/>
        <v>T</v>
      </c>
      <c r="AA9" s="81" t="str">
        <f t="shared" si="6"/>
        <v>H</v>
      </c>
      <c r="AB9" s="81" t="str">
        <f t="shared" si="6"/>
        <v>I</v>
      </c>
      <c r="AC9" s="81" t="str">
        <f t="shared" si="6"/>
        <v>N</v>
      </c>
      <c r="AD9" s="81" t="str">
        <f t="shared" si="6"/>
        <v>G</v>
      </c>
      <c r="AE9" s="81" t="str">
        <f t="shared" si="6"/>
        <v>S</v>
      </c>
      <c r="AF9" s="81" t="str">
        <f t="shared" si="6"/>
        <v xml:space="preserve"> </v>
      </c>
      <c r="AG9" s="81" t="str">
        <f t="shared" si="6"/>
        <v>T</v>
      </c>
      <c r="AH9" s="81" t="str">
        <f t="shared" si="6"/>
        <v>O</v>
      </c>
      <c r="AI9" s="81" t="str">
        <f t="shared" si="6"/>
        <v xml:space="preserve"> </v>
      </c>
      <c r="AJ9" s="81" t="str">
        <f t="shared" si="6"/>
        <v>M</v>
      </c>
      <c r="AK9" s="81" t="str">
        <f t="shared" si="6"/>
        <v>A</v>
      </c>
      <c r="AL9" s="81" t="str">
        <f t="shared" si="6"/>
        <v>K</v>
      </c>
      <c r="AM9" s="81" t="str">
        <f t="shared" si="6"/>
        <v>E</v>
      </c>
      <c r="AN9" s="81" t="str">
        <f t="shared" si="6"/>
        <v xml:space="preserve"> </v>
      </c>
      <c r="AO9" s="81" t="str">
        <f t="shared" si="6"/>
        <v>S</v>
      </c>
      <c r="AP9" s="81" t="str">
        <f t="shared" si="6"/>
        <v>U</v>
      </c>
      <c r="AQ9" s="81" t="str">
        <f t="shared" si="6"/>
        <v>R</v>
      </c>
      <c r="AR9" s="81" t="str">
        <f t="shared" si="6"/>
        <v>E</v>
      </c>
      <c r="AS9" s="81" t="str">
        <f t="shared" si="6"/>
        <v xml:space="preserve"> </v>
      </c>
      <c r="AT9" s="81" t="str">
        <f t="shared" si="6"/>
        <v>W</v>
      </c>
      <c r="AU9" s="81" t="str">
        <f t="shared" si="6"/>
        <v>E</v>
      </c>
      <c r="AV9" s="81" t="str">
        <f t="shared" si="6"/>
        <v xml:space="preserve"> </v>
      </c>
      <c r="AW9" s="81" t="str">
        <f t="shared" si="6"/>
        <v>D</v>
      </c>
      <c r="AX9" s="81" t="str">
        <f t="shared" si="6"/>
        <v>O</v>
      </c>
      <c r="AY9" s="81" t="str">
        <f t="shared" si="6"/>
        <v>N</v>
      </c>
      <c r="AZ9" s="81" t="str">
        <f t="shared" ref="AZ9:CC9" si="7">IFERROR(MID($A$2,AZ54,1),"")</f>
        <v>'</v>
      </c>
      <c r="BA9" s="81" t="str">
        <f t="shared" si="7"/>
        <v>T</v>
      </c>
      <c r="BB9" s="81" t="str">
        <f t="shared" si="7"/>
        <v xml:space="preserve"> </v>
      </c>
      <c r="BC9" s="81" t="str">
        <f t="shared" si="7"/>
        <v>G</v>
      </c>
      <c r="BD9" s="81" t="str">
        <f t="shared" si="7"/>
        <v>E</v>
      </c>
      <c r="BE9" s="81" t="str">
        <f t="shared" si="7"/>
        <v>T</v>
      </c>
      <c r="BF9" s="81" t="str">
        <f t="shared" si="7"/>
        <v xml:space="preserve"> </v>
      </c>
      <c r="BG9" s="81" t="str">
        <f t="shared" si="7"/>
        <v/>
      </c>
      <c r="BH9" s="81" t="str">
        <f t="shared" si="7"/>
        <v/>
      </c>
      <c r="BI9" s="81" t="str">
        <f t="shared" si="7"/>
        <v/>
      </c>
      <c r="BJ9" s="81" t="str">
        <f t="shared" si="7"/>
        <v/>
      </c>
      <c r="BK9" s="81" t="str">
        <f t="shared" si="7"/>
        <v/>
      </c>
      <c r="BL9" s="81" t="str">
        <f t="shared" si="7"/>
        <v/>
      </c>
      <c r="BM9" s="81" t="str">
        <f t="shared" si="7"/>
        <v/>
      </c>
      <c r="BN9" s="81" t="str">
        <f t="shared" si="7"/>
        <v/>
      </c>
      <c r="BO9" s="81" t="str">
        <f t="shared" si="7"/>
        <v/>
      </c>
      <c r="BP9" s="81" t="str">
        <f t="shared" si="7"/>
        <v/>
      </c>
      <c r="BQ9" s="81" t="str">
        <f t="shared" si="7"/>
        <v/>
      </c>
      <c r="BR9" s="81" t="str">
        <f t="shared" si="7"/>
        <v/>
      </c>
      <c r="BS9" s="81" t="str">
        <f t="shared" si="7"/>
        <v/>
      </c>
      <c r="BT9" s="81" t="str">
        <f t="shared" si="7"/>
        <v/>
      </c>
      <c r="BU9" s="81" t="str">
        <f t="shared" si="7"/>
        <v/>
      </c>
      <c r="BV9" s="81" t="str">
        <f t="shared" si="7"/>
        <v/>
      </c>
      <c r="BW9" s="81" t="str">
        <f t="shared" si="7"/>
        <v/>
      </c>
      <c r="BX9" s="81" t="str">
        <f t="shared" si="7"/>
        <v/>
      </c>
      <c r="BY9" s="81" t="str">
        <f t="shared" si="7"/>
        <v/>
      </c>
      <c r="BZ9" s="81" t="str">
        <f t="shared" si="7"/>
        <v/>
      </c>
      <c r="CA9" s="81" t="str">
        <f t="shared" si="7"/>
        <v/>
      </c>
      <c r="CB9" s="81" t="str">
        <f t="shared" si="7"/>
        <v/>
      </c>
      <c r="CC9" s="81" t="str">
        <f t="shared" si="7"/>
        <v/>
      </c>
    </row>
    <row r="10" spans="1:81" x14ac:dyDescent="0.2">
      <c r="A10"/>
      <c r="B10"/>
      <c r="C10" s="51">
        <f t="shared" si="3"/>
        <v>3</v>
      </c>
      <c r="D10" s="51" t="str">
        <f t="shared" si="0"/>
        <v>FROM</v>
      </c>
      <c r="E10" s="51">
        <f t="shared" si="4"/>
        <v>5</v>
      </c>
      <c r="F10" s="51">
        <f>IFERROR(IF(E10&lt;&gt;"",SUM(E$8:E10),""),"")</f>
        <v>24</v>
      </c>
      <c r="G10" s="52">
        <f t="shared" ref="G10:G73" si="8">IF(E10&lt;&gt;"",IF(I10&lt;I9,G9+1,G9),"")</f>
        <v>1</v>
      </c>
      <c r="H10" s="52" t="str">
        <f t="shared" si="5"/>
        <v/>
      </c>
      <c r="I10" s="53">
        <f t="shared" ref="I10:I73" si="9">IFERROR(IF(I9+E10&gt;$C$4,E10,I9+E10),"")</f>
        <v>24</v>
      </c>
      <c r="J10" s="48"/>
      <c r="K10" s="49"/>
      <c r="L10" s="49"/>
      <c r="M10" s="50"/>
      <c r="N10" s="55">
        <v>3</v>
      </c>
      <c r="O10" s="52">
        <f t="shared" ref="O10:O22" si="10">IFERROR(SMALL($H$8:$H$60,N10),"")</f>
        <v>76</v>
      </c>
      <c r="P10" s="52">
        <f t="shared" ref="P10:P22" si="11">IFERROR(O10-O9,"")</f>
        <v>39</v>
      </c>
      <c r="Q10" s="50"/>
      <c r="S10" s="47" t="s">
        <v>45</v>
      </c>
      <c r="T10" s="81" t="str">
        <f t="shared" ref="T10:AY10" si="12">IFERROR(MID($A$2,T55,1),"")</f>
        <v>O</v>
      </c>
      <c r="U10" s="81" t="str">
        <f t="shared" si="12"/>
        <v>N</v>
      </c>
      <c r="V10" s="81" t="str">
        <f t="shared" si="12"/>
        <v xml:space="preserve"> </v>
      </c>
      <c r="W10" s="81" t="str">
        <f t="shared" si="12"/>
        <v>T</v>
      </c>
      <c r="X10" s="81" t="str">
        <f t="shared" si="12"/>
        <v>H</v>
      </c>
      <c r="Y10" s="81" t="str">
        <f t="shared" si="12"/>
        <v>E</v>
      </c>
      <c r="Z10" s="81" t="str">
        <f t="shared" si="12"/>
        <v xml:space="preserve"> </v>
      </c>
      <c r="AA10" s="81" t="str">
        <f t="shared" si="12"/>
        <v>W</v>
      </c>
      <c r="AB10" s="81" t="str">
        <f t="shared" si="12"/>
        <v>R</v>
      </c>
      <c r="AC10" s="81" t="str">
        <f t="shared" si="12"/>
        <v>O</v>
      </c>
      <c r="AD10" s="81" t="str">
        <f t="shared" si="12"/>
        <v>N</v>
      </c>
      <c r="AE10" s="81" t="str">
        <f t="shared" si="12"/>
        <v>G</v>
      </c>
      <c r="AF10" s="81" t="str">
        <f t="shared" si="12"/>
        <v xml:space="preserve"> </v>
      </c>
      <c r="AG10" s="81" t="str">
        <f t="shared" si="12"/>
        <v>T</v>
      </c>
      <c r="AH10" s="81" t="str">
        <f t="shared" si="12"/>
        <v>R</v>
      </c>
      <c r="AI10" s="81" t="str">
        <f t="shared" si="12"/>
        <v>A</v>
      </c>
      <c r="AJ10" s="81" t="str">
        <f t="shared" si="12"/>
        <v>C</v>
      </c>
      <c r="AK10" s="81" t="str">
        <f t="shared" si="12"/>
        <v>K</v>
      </c>
      <c r="AL10" s="81" t="str">
        <f t="shared" si="12"/>
        <v xml:space="preserve"> </v>
      </c>
      <c r="AM10" s="81" t="str">
        <f t="shared" si="12"/>
        <v>O</v>
      </c>
      <c r="AN10" s="81" t="str">
        <f t="shared" si="12"/>
        <v>R</v>
      </c>
      <c r="AO10" s="81" t="str">
        <f t="shared" si="12"/>
        <v xml:space="preserve"> </v>
      </c>
      <c r="AP10" s="81" t="str">
        <f t="shared" si="12"/>
        <v>T</v>
      </c>
      <c r="AQ10" s="81" t="str">
        <f t="shared" si="12"/>
        <v>R</v>
      </c>
      <c r="AR10" s="81" t="str">
        <f t="shared" si="12"/>
        <v>Y</v>
      </c>
      <c r="AS10" s="81" t="str">
        <f t="shared" si="12"/>
        <v xml:space="preserve"> </v>
      </c>
      <c r="AT10" s="81" t="str">
        <f t="shared" si="12"/>
        <v>T</v>
      </c>
      <c r="AU10" s="81" t="str">
        <f t="shared" si="12"/>
        <v>O</v>
      </c>
      <c r="AV10" s="81" t="str">
        <f t="shared" si="12"/>
        <v xml:space="preserve"> </v>
      </c>
      <c r="AW10" s="81" t="str">
        <f t="shared" si="12"/>
        <v>D</v>
      </c>
      <c r="AX10" s="81" t="str">
        <f t="shared" si="12"/>
        <v>O</v>
      </c>
      <c r="AY10" s="81" t="str">
        <f t="shared" si="12"/>
        <v xml:space="preserve"> </v>
      </c>
      <c r="AZ10" s="81" t="str">
        <f t="shared" ref="AZ10:CC10" si="13">IFERROR(MID($A$2,AZ55,1),"")</f>
        <v>T</v>
      </c>
      <c r="BA10" s="81" t="str">
        <f t="shared" si="13"/>
        <v>O</v>
      </c>
      <c r="BB10" s="81" t="str">
        <f t="shared" si="13"/>
        <v>O</v>
      </c>
      <c r="BC10" s="81" t="str">
        <f t="shared" si="13"/>
        <v xml:space="preserve"> </v>
      </c>
      <c r="BD10" s="81" t="str">
        <f t="shared" si="13"/>
        <v/>
      </c>
      <c r="BE10" s="81" t="str">
        <f t="shared" si="13"/>
        <v/>
      </c>
      <c r="BF10" s="81" t="str">
        <f t="shared" si="13"/>
        <v/>
      </c>
      <c r="BG10" s="81" t="str">
        <f t="shared" si="13"/>
        <v/>
      </c>
      <c r="BH10" s="81" t="str">
        <f t="shared" si="13"/>
        <v/>
      </c>
      <c r="BI10" s="81" t="str">
        <f t="shared" si="13"/>
        <v/>
      </c>
      <c r="BJ10" s="81" t="str">
        <f t="shared" si="13"/>
        <v/>
      </c>
      <c r="BK10" s="81" t="str">
        <f t="shared" si="13"/>
        <v/>
      </c>
      <c r="BL10" s="81" t="str">
        <f t="shared" si="13"/>
        <v/>
      </c>
      <c r="BM10" s="81" t="str">
        <f t="shared" si="13"/>
        <v/>
      </c>
      <c r="BN10" s="81" t="str">
        <f t="shared" si="13"/>
        <v/>
      </c>
      <c r="BO10" s="81" t="str">
        <f t="shared" si="13"/>
        <v/>
      </c>
      <c r="BP10" s="81" t="str">
        <f t="shared" si="13"/>
        <v/>
      </c>
      <c r="BQ10" s="81" t="str">
        <f t="shared" si="13"/>
        <v/>
      </c>
      <c r="BR10" s="81" t="str">
        <f t="shared" si="13"/>
        <v/>
      </c>
      <c r="BS10" s="81" t="str">
        <f t="shared" si="13"/>
        <v/>
      </c>
      <c r="BT10" s="81" t="str">
        <f t="shared" si="13"/>
        <v/>
      </c>
      <c r="BU10" s="81" t="str">
        <f t="shared" si="13"/>
        <v/>
      </c>
      <c r="BV10" s="81" t="str">
        <f t="shared" si="13"/>
        <v/>
      </c>
      <c r="BW10" s="81" t="str">
        <f t="shared" si="13"/>
        <v/>
      </c>
      <c r="BX10" s="81" t="str">
        <f t="shared" si="13"/>
        <v/>
      </c>
      <c r="BY10" s="81" t="str">
        <f t="shared" si="13"/>
        <v/>
      </c>
      <c r="BZ10" s="81" t="str">
        <f t="shared" si="13"/>
        <v/>
      </c>
      <c r="CA10" s="81" t="str">
        <f t="shared" si="13"/>
        <v/>
      </c>
      <c r="CB10" s="81" t="str">
        <f t="shared" si="13"/>
        <v/>
      </c>
      <c r="CC10" s="81" t="str">
        <f t="shared" si="13"/>
        <v/>
      </c>
    </row>
    <row r="11" spans="1:81" x14ac:dyDescent="0.2">
      <c r="A11"/>
      <c r="B11"/>
      <c r="C11" s="51">
        <f t="shared" si="3"/>
        <v>4</v>
      </c>
      <c r="D11" s="51" t="str">
        <f t="shared" si="0"/>
        <v>SAYING</v>
      </c>
      <c r="E11" s="51">
        <f t="shared" si="4"/>
        <v>7</v>
      </c>
      <c r="F11" s="51">
        <f>IFERROR(IF(E11&lt;&gt;"",SUM(E$8:E11),""),"")</f>
        <v>31</v>
      </c>
      <c r="G11" s="52">
        <f t="shared" si="8"/>
        <v>1</v>
      </c>
      <c r="H11" s="52" t="str">
        <f t="shared" si="5"/>
        <v/>
      </c>
      <c r="I11" s="53">
        <f t="shared" si="9"/>
        <v>31</v>
      </c>
      <c r="J11" s="48"/>
      <c r="K11" s="49"/>
      <c r="L11" s="49"/>
      <c r="M11" s="50"/>
      <c r="N11" s="55">
        <v>4</v>
      </c>
      <c r="O11" s="52">
        <f t="shared" si="10"/>
        <v>112</v>
      </c>
      <c r="P11" s="52">
        <f t="shared" si="11"/>
        <v>36</v>
      </c>
      <c r="Q11" s="50"/>
      <c r="S11" s="47" t="s">
        <v>46</v>
      </c>
      <c r="T11" s="81" t="str">
        <f t="shared" ref="T11:AY11" si="14">IFERROR(MID($A$2,T56,1),"")</f>
        <v>M</v>
      </c>
      <c r="U11" s="81" t="str">
        <f t="shared" si="14"/>
        <v>U</v>
      </c>
      <c r="V11" s="81" t="str">
        <f t="shared" si="14"/>
        <v>C</v>
      </c>
      <c r="W11" s="81" t="str">
        <f t="shared" si="14"/>
        <v>H</v>
      </c>
      <c r="X11" s="81" t="str">
        <f t="shared" si="14"/>
        <v>.</v>
      </c>
      <c r="Y11" s="81" t="str">
        <f t="shared" si="14"/>
        <v xml:space="preserve"> </v>
      </c>
      <c r="Z11" s="81" t="str">
        <f t="shared" si="14"/>
        <v>W</v>
      </c>
      <c r="AA11" s="81" t="str">
        <f t="shared" si="14"/>
        <v>E</v>
      </c>
      <c r="AB11" s="81" t="str">
        <f t="shared" si="14"/>
        <v>'</v>
      </c>
      <c r="AC11" s="81" t="str">
        <f t="shared" si="14"/>
        <v>R</v>
      </c>
      <c r="AD11" s="81" t="str">
        <f t="shared" si="14"/>
        <v>E</v>
      </c>
      <c r="AE11" s="81" t="str">
        <f t="shared" si="14"/>
        <v xml:space="preserve"> </v>
      </c>
      <c r="AF11" s="81" t="str">
        <f t="shared" si="14"/>
        <v>A</v>
      </c>
      <c r="AG11" s="81" t="str">
        <f t="shared" si="14"/>
        <v>L</v>
      </c>
      <c r="AH11" s="81" t="str">
        <f t="shared" si="14"/>
        <v>W</v>
      </c>
      <c r="AI11" s="81" t="str">
        <f t="shared" si="14"/>
        <v>A</v>
      </c>
      <c r="AJ11" s="81" t="str">
        <f t="shared" si="14"/>
        <v>Y</v>
      </c>
      <c r="AK11" s="81" t="str">
        <f t="shared" si="14"/>
        <v>S</v>
      </c>
      <c r="AL11" s="81" t="str">
        <f t="shared" si="14"/>
        <v xml:space="preserve"> </v>
      </c>
      <c r="AM11" s="81" t="str">
        <f t="shared" si="14"/>
        <v>T</v>
      </c>
      <c r="AN11" s="81" t="str">
        <f t="shared" si="14"/>
        <v>H</v>
      </c>
      <c r="AO11" s="81" t="str">
        <f t="shared" si="14"/>
        <v>I</v>
      </c>
      <c r="AP11" s="81" t="str">
        <f t="shared" si="14"/>
        <v>N</v>
      </c>
      <c r="AQ11" s="81" t="str">
        <f t="shared" si="14"/>
        <v>K</v>
      </c>
      <c r="AR11" s="81" t="str">
        <f t="shared" si="14"/>
        <v>I</v>
      </c>
      <c r="AS11" s="81" t="str">
        <f t="shared" si="14"/>
        <v>N</v>
      </c>
      <c r="AT11" s="81" t="str">
        <f t="shared" si="14"/>
        <v>G</v>
      </c>
      <c r="AU11" s="81" t="str">
        <f t="shared" si="14"/>
        <v xml:space="preserve"> </v>
      </c>
      <c r="AV11" s="81" t="str">
        <f t="shared" si="14"/>
        <v>A</v>
      </c>
      <c r="AW11" s="81" t="str">
        <f t="shared" si="14"/>
        <v>B</v>
      </c>
      <c r="AX11" s="81" t="str">
        <f t="shared" si="14"/>
        <v>O</v>
      </c>
      <c r="AY11" s="81" t="str">
        <f t="shared" si="14"/>
        <v>U</v>
      </c>
      <c r="AZ11" s="81" t="str">
        <f t="shared" ref="AZ11:CC11" si="15">IFERROR(MID($A$2,AZ56,1),"")</f>
        <v>T</v>
      </c>
      <c r="BA11" s="81" t="str">
        <f t="shared" si="15"/>
        <v xml:space="preserve"> </v>
      </c>
      <c r="BB11" s="81" t="str">
        <f t="shared" si="15"/>
        <v>N</v>
      </c>
      <c r="BC11" s="81" t="str">
        <f t="shared" si="15"/>
        <v>E</v>
      </c>
      <c r="BD11" s="81" t="str">
        <f t="shared" si="15"/>
        <v>W</v>
      </c>
      <c r="BE11" s="81" t="str">
        <f t="shared" si="15"/>
        <v xml:space="preserve"> </v>
      </c>
      <c r="BF11" s="81" t="str">
        <f t="shared" si="15"/>
        <v/>
      </c>
      <c r="BG11" s="81" t="str">
        <f t="shared" si="15"/>
        <v/>
      </c>
      <c r="BH11" s="81" t="str">
        <f t="shared" si="15"/>
        <v/>
      </c>
      <c r="BI11" s="81" t="str">
        <f t="shared" si="15"/>
        <v/>
      </c>
      <c r="BJ11" s="81" t="str">
        <f t="shared" si="15"/>
        <v/>
      </c>
      <c r="BK11" s="81" t="str">
        <f t="shared" si="15"/>
        <v/>
      </c>
      <c r="BL11" s="81" t="str">
        <f t="shared" si="15"/>
        <v/>
      </c>
      <c r="BM11" s="81" t="str">
        <f t="shared" si="15"/>
        <v/>
      </c>
      <c r="BN11" s="81" t="str">
        <f t="shared" si="15"/>
        <v/>
      </c>
      <c r="BO11" s="81" t="str">
        <f t="shared" si="15"/>
        <v/>
      </c>
      <c r="BP11" s="81" t="str">
        <f t="shared" si="15"/>
        <v/>
      </c>
      <c r="BQ11" s="81" t="str">
        <f t="shared" si="15"/>
        <v/>
      </c>
      <c r="BR11" s="81" t="str">
        <f t="shared" si="15"/>
        <v/>
      </c>
      <c r="BS11" s="81" t="str">
        <f t="shared" si="15"/>
        <v/>
      </c>
      <c r="BT11" s="81" t="str">
        <f t="shared" si="15"/>
        <v/>
      </c>
      <c r="BU11" s="81" t="str">
        <f t="shared" si="15"/>
        <v/>
      </c>
      <c r="BV11" s="81" t="str">
        <f t="shared" si="15"/>
        <v/>
      </c>
      <c r="BW11" s="81" t="str">
        <f t="shared" si="15"/>
        <v/>
      </c>
      <c r="BX11" s="81" t="str">
        <f t="shared" si="15"/>
        <v/>
      </c>
      <c r="BY11" s="81" t="str">
        <f t="shared" si="15"/>
        <v/>
      </c>
      <c r="BZ11" s="81" t="str">
        <f t="shared" si="15"/>
        <v/>
      </c>
      <c r="CA11" s="81" t="str">
        <f t="shared" si="15"/>
        <v/>
      </c>
      <c r="CB11" s="81" t="str">
        <f t="shared" si="15"/>
        <v/>
      </c>
      <c r="CC11" s="81" t="str">
        <f t="shared" si="15"/>
        <v/>
      </c>
    </row>
    <row r="12" spans="1:81" x14ac:dyDescent="0.2">
      <c r="A12"/>
      <c r="B12"/>
      <c r="C12" s="51">
        <f t="shared" si="3"/>
        <v>5</v>
      </c>
      <c r="D12" s="51" t="str">
        <f t="shared" si="0"/>
        <v>NO</v>
      </c>
      <c r="E12" s="51">
        <f t="shared" si="4"/>
        <v>3</v>
      </c>
      <c r="F12" s="51">
        <f>IFERROR(IF(E12&lt;&gt;"",SUM(E$8:E12),""),"")</f>
        <v>34</v>
      </c>
      <c r="G12" s="52">
        <f t="shared" si="8"/>
        <v>1</v>
      </c>
      <c r="H12" s="52" t="str">
        <f t="shared" si="5"/>
        <v/>
      </c>
      <c r="I12" s="53">
        <f t="shared" si="9"/>
        <v>34</v>
      </c>
      <c r="J12" s="48"/>
      <c r="K12" s="49"/>
      <c r="L12" s="49"/>
      <c r="M12" s="50"/>
      <c r="N12" s="55">
        <v>5</v>
      </c>
      <c r="O12" s="52">
        <f t="shared" si="10"/>
        <v>150</v>
      </c>
      <c r="P12" s="52">
        <f t="shared" si="11"/>
        <v>38</v>
      </c>
      <c r="Q12" s="50"/>
      <c r="S12" s="47" t="s">
        <v>47</v>
      </c>
      <c r="T12" s="81" t="str">
        <f t="shared" ref="T12:AY12" si="16">IFERROR(MID($A$2,T57,1),"")</f>
        <v>M</v>
      </c>
      <c r="U12" s="81" t="str">
        <f t="shared" si="16"/>
        <v>A</v>
      </c>
      <c r="V12" s="81" t="str">
        <f t="shared" si="16"/>
        <v>R</v>
      </c>
      <c r="W12" s="81" t="str">
        <f t="shared" si="16"/>
        <v>K</v>
      </c>
      <c r="X12" s="81" t="str">
        <f t="shared" si="16"/>
        <v>E</v>
      </c>
      <c r="Y12" s="81" t="str">
        <f t="shared" si="16"/>
        <v>T</v>
      </c>
      <c r="Z12" s="81" t="str">
        <f t="shared" si="16"/>
        <v>S</v>
      </c>
      <c r="AA12" s="81" t="str">
        <f t="shared" si="16"/>
        <v xml:space="preserve"> </v>
      </c>
      <c r="AB12" s="81" t="str">
        <f t="shared" si="16"/>
        <v>W</v>
      </c>
      <c r="AC12" s="81" t="str">
        <f t="shared" si="16"/>
        <v>E</v>
      </c>
      <c r="AD12" s="81" t="str">
        <f t="shared" si="16"/>
        <v xml:space="preserve"> </v>
      </c>
      <c r="AE12" s="81" t="str">
        <f t="shared" si="16"/>
        <v>C</v>
      </c>
      <c r="AF12" s="81" t="str">
        <f t="shared" si="16"/>
        <v>O</v>
      </c>
      <c r="AG12" s="81" t="str">
        <f t="shared" si="16"/>
        <v>U</v>
      </c>
      <c r="AH12" s="81" t="str">
        <f t="shared" si="16"/>
        <v>L</v>
      </c>
      <c r="AI12" s="81" t="str">
        <f t="shared" si="16"/>
        <v>D</v>
      </c>
      <c r="AJ12" s="81" t="str">
        <f t="shared" si="16"/>
        <v xml:space="preserve"> </v>
      </c>
      <c r="AK12" s="81" t="str">
        <f t="shared" si="16"/>
        <v>E</v>
      </c>
      <c r="AL12" s="81" t="str">
        <f t="shared" si="16"/>
        <v>N</v>
      </c>
      <c r="AM12" s="81" t="str">
        <f t="shared" si="16"/>
        <v>T</v>
      </c>
      <c r="AN12" s="81" t="str">
        <f t="shared" si="16"/>
        <v>E</v>
      </c>
      <c r="AO12" s="81" t="str">
        <f t="shared" si="16"/>
        <v>R</v>
      </c>
      <c r="AP12" s="81" t="str">
        <f t="shared" si="16"/>
        <v>,</v>
      </c>
      <c r="AQ12" s="81" t="str">
        <f t="shared" si="16"/>
        <v xml:space="preserve"> </v>
      </c>
      <c r="AR12" s="81" t="str">
        <f t="shared" si="16"/>
        <v>B</v>
      </c>
      <c r="AS12" s="81" t="str">
        <f t="shared" si="16"/>
        <v>U</v>
      </c>
      <c r="AT12" s="81" t="str">
        <f t="shared" si="16"/>
        <v>T</v>
      </c>
      <c r="AU12" s="81" t="str">
        <f t="shared" si="16"/>
        <v xml:space="preserve"> </v>
      </c>
      <c r="AV12" s="81" t="str">
        <f t="shared" si="16"/>
        <v>I</v>
      </c>
      <c r="AW12" s="81" t="str">
        <f t="shared" si="16"/>
        <v>T</v>
      </c>
      <c r="AX12" s="81" t="str">
        <f t="shared" si="16"/>
        <v>'</v>
      </c>
      <c r="AY12" s="81" t="str">
        <f t="shared" si="16"/>
        <v>S</v>
      </c>
      <c r="AZ12" s="81" t="str">
        <f t="shared" ref="AZ12:CC12" si="17">IFERROR(MID($A$2,AZ57,1),"")</f>
        <v xml:space="preserve"> </v>
      </c>
      <c r="BA12" s="81" t="str">
        <f t="shared" si="17"/>
        <v>O</v>
      </c>
      <c r="BB12" s="81" t="str">
        <f t="shared" si="17"/>
        <v>N</v>
      </c>
      <c r="BC12" s="81" t="str">
        <f t="shared" si="17"/>
        <v>L</v>
      </c>
      <c r="BD12" s="81" t="str">
        <f t="shared" si="17"/>
        <v>Y</v>
      </c>
      <c r="BE12" s="81" t="str">
        <f t="shared" si="17"/>
        <v xml:space="preserve"> </v>
      </c>
      <c r="BF12" s="81" t="str">
        <f t="shared" si="17"/>
        <v/>
      </c>
      <c r="BG12" s="81" t="str">
        <f t="shared" si="17"/>
        <v/>
      </c>
      <c r="BH12" s="81" t="str">
        <f t="shared" si="17"/>
        <v/>
      </c>
      <c r="BI12" s="81" t="str">
        <f t="shared" si="17"/>
        <v/>
      </c>
      <c r="BJ12" s="81" t="str">
        <f t="shared" si="17"/>
        <v/>
      </c>
      <c r="BK12" s="81" t="str">
        <f t="shared" si="17"/>
        <v/>
      </c>
      <c r="BL12" s="81" t="str">
        <f t="shared" si="17"/>
        <v/>
      </c>
      <c r="BM12" s="81" t="str">
        <f t="shared" si="17"/>
        <v/>
      </c>
      <c r="BN12" s="81" t="str">
        <f t="shared" si="17"/>
        <v/>
      </c>
      <c r="BO12" s="81" t="str">
        <f t="shared" si="17"/>
        <v/>
      </c>
      <c r="BP12" s="81" t="str">
        <f t="shared" si="17"/>
        <v/>
      </c>
      <c r="BQ12" s="81" t="str">
        <f t="shared" si="17"/>
        <v/>
      </c>
      <c r="BR12" s="81" t="str">
        <f t="shared" si="17"/>
        <v/>
      </c>
      <c r="BS12" s="81" t="str">
        <f t="shared" si="17"/>
        <v/>
      </c>
      <c r="BT12" s="81" t="str">
        <f t="shared" si="17"/>
        <v/>
      </c>
      <c r="BU12" s="81" t="str">
        <f t="shared" si="17"/>
        <v/>
      </c>
      <c r="BV12" s="81" t="str">
        <f t="shared" si="17"/>
        <v/>
      </c>
      <c r="BW12" s="81" t="str">
        <f t="shared" si="17"/>
        <v/>
      </c>
      <c r="BX12" s="81" t="str">
        <f t="shared" si="17"/>
        <v/>
      </c>
      <c r="BY12" s="81" t="str">
        <f t="shared" si="17"/>
        <v/>
      </c>
      <c r="BZ12" s="81" t="str">
        <f t="shared" si="17"/>
        <v/>
      </c>
      <c r="CA12" s="81" t="str">
        <f t="shared" si="17"/>
        <v/>
      </c>
      <c r="CB12" s="81" t="str">
        <f t="shared" si="17"/>
        <v/>
      </c>
      <c r="CC12" s="81" t="str">
        <f t="shared" si="17"/>
        <v/>
      </c>
    </row>
    <row r="13" spans="1:81" x14ac:dyDescent="0.2">
      <c r="A13"/>
      <c r="B13"/>
      <c r="C13" s="51">
        <f t="shared" si="3"/>
        <v>6</v>
      </c>
      <c r="D13" s="51" t="str">
        <f t="shared" si="0"/>
        <v>TO</v>
      </c>
      <c r="E13" s="51">
        <f t="shared" si="4"/>
        <v>3</v>
      </c>
      <c r="F13" s="51">
        <f>IFERROR(IF(E13&lt;&gt;"",SUM(E$8:E13),""),"")</f>
        <v>37</v>
      </c>
      <c r="G13" s="52">
        <f t="shared" si="8"/>
        <v>1</v>
      </c>
      <c r="H13" s="52">
        <f t="shared" si="5"/>
        <v>37</v>
      </c>
      <c r="I13" s="53">
        <f t="shared" si="9"/>
        <v>37</v>
      </c>
      <c r="J13" s="48"/>
      <c r="K13" s="49"/>
      <c r="L13" s="49"/>
      <c r="M13" s="50"/>
      <c r="N13" s="55">
        <v>6</v>
      </c>
      <c r="O13" s="52">
        <f t="shared" si="10"/>
        <v>188</v>
      </c>
      <c r="P13" s="52">
        <f t="shared" si="11"/>
        <v>38</v>
      </c>
      <c r="Q13" s="50"/>
      <c r="S13" s="47" t="s">
        <v>48</v>
      </c>
      <c r="T13" s="81" t="str">
        <f t="shared" ref="T13:AY13" si="18">IFERROR(MID($A$2,T58,1),"")</f>
        <v>B</v>
      </c>
      <c r="U13" s="81" t="str">
        <f t="shared" si="18"/>
        <v>Y</v>
      </c>
      <c r="V13" s="81" t="str">
        <f t="shared" si="18"/>
        <v xml:space="preserve"> </v>
      </c>
      <c r="W13" s="81" t="str">
        <f t="shared" si="18"/>
        <v>S</v>
      </c>
      <c r="X13" s="81" t="str">
        <f t="shared" si="18"/>
        <v>A</v>
      </c>
      <c r="Y13" s="81" t="str">
        <f t="shared" si="18"/>
        <v>Y</v>
      </c>
      <c r="Z13" s="81" t="str">
        <f t="shared" si="18"/>
        <v>I</v>
      </c>
      <c r="AA13" s="81" t="str">
        <f t="shared" si="18"/>
        <v>N</v>
      </c>
      <c r="AB13" s="81" t="str">
        <f t="shared" si="18"/>
        <v>G</v>
      </c>
      <c r="AC13" s="81" t="str">
        <f t="shared" si="18"/>
        <v xml:space="preserve"> </v>
      </c>
      <c r="AD13" s="81" t="str">
        <f t="shared" si="18"/>
        <v>N</v>
      </c>
      <c r="AE13" s="81" t="str">
        <f t="shared" si="18"/>
        <v>O</v>
      </c>
      <c r="AF13" s="81" t="str">
        <f t="shared" si="18"/>
        <v xml:space="preserve"> </v>
      </c>
      <c r="AG13" s="81" t="str">
        <f t="shared" si="18"/>
        <v>T</v>
      </c>
      <c r="AH13" s="81" t="str">
        <f t="shared" si="18"/>
        <v>H</v>
      </c>
      <c r="AI13" s="81" t="str">
        <f t="shared" si="18"/>
        <v>A</v>
      </c>
      <c r="AJ13" s="81" t="str">
        <f t="shared" si="18"/>
        <v>T</v>
      </c>
      <c r="AK13" s="81" t="str">
        <f t="shared" si="18"/>
        <v xml:space="preserve"> </v>
      </c>
      <c r="AL13" s="81" t="str">
        <f t="shared" si="18"/>
        <v>Y</v>
      </c>
      <c r="AM13" s="81" t="str">
        <f t="shared" si="18"/>
        <v>O</v>
      </c>
      <c r="AN13" s="81" t="str">
        <f t="shared" si="18"/>
        <v>U</v>
      </c>
      <c r="AO13" s="81" t="str">
        <f t="shared" si="18"/>
        <v xml:space="preserve"> </v>
      </c>
      <c r="AP13" s="81" t="str">
        <f t="shared" si="18"/>
        <v>C</v>
      </c>
      <c r="AQ13" s="81" t="str">
        <f t="shared" si="18"/>
        <v>A</v>
      </c>
      <c r="AR13" s="81" t="str">
        <f t="shared" si="18"/>
        <v>N</v>
      </c>
      <c r="AS13" s="81" t="str">
        <f t="shared" si="18"/>
        <v xml:space="preserve"> </v>
      </c>
      <c r="AT13" s="81" t="str">
        <f t="shared" si="18"/>
        <v>C</v>
      </c>
      <c r="AU13" s="81" t="str">
        <f t="shared" si="18"/>
        <v>O</v>
      </c>
      <c r="AV13" s="81" t="str">
        <f t="shared" si="18"/>
        <v>N</v>
      </c>
      <c r="AW13" s="81" t="str">
        <f t="shared" si="18"/>
        <v>C</v>
      </c>
      <c r="AX13" s="81" t="str">
        <f t="shared" si="18"/>
        <v>E</v>
      </c>
      <c r="AY13" s="81" t="str">
        <f t="shared" si="18"/>
        <v>N</v>
      </c>
      <c r="AZ13" s="81" t="str">
        <f t="shared" ref="AZ13:CC13" si="19">IFERROR(MID($A$2,AZ58,1),"")</f>
        <v>T</v>
      </c>
      <c r="BA13" s="81" t="str">
        <f t="shared" si="19"/>
        <v>R</v>
      </c>
      <c r="BB13" s="81" t="str">
        <f t="shared" si="19"/>
        <v>A</v>
      </c>
      <c r="BC13" s="81" t="str">
        <f t="shared" si="19"/>
        <v>T</v>
      </c>
      <c r="BD13" s="81" t="str">
        <f t="shared" si="19"/>
        <v>E</v>
      </c>
      <c r="BE13" s="81" t="str">
        <f t="shared" si="19"/>
        <v xml:space="preserve"> </v>
      </c>
      <c r="BF13" s="81" t="str">
        <f t="shared" si="19"/>
        <v/>
      </c>
      <c r="BG13" s="81" t="str">
        <f t="shared" si="19"/>
        <v/>
      </c>
      <c r="BH13" s="81" t="str">
        <f t="shared" si="19"/>
        <v/>
      </c>
      <c r="BI13" s="81" t="str">
        <f t="shared" si="19"/>
        <v/>
      </c>
      <c r="BJ13" s="81" t="str">
        <f t="shared" si="19"/>
        <v/>
      </c>
      <c r="BK13" s="81" t="str">
        <f t="shared" si="19"/>
        <v/>
      </c>
      <c r="BL13" s="81" t="str">
        <f t="shared" si="19"/>
        <v/>
      </c>
      <c r="BM13" s="81" t="str">
        <f t="shared" si="19"/>
        <v/>
      </c>
      <c r="BN13" s="81" t="str">
        <f t="shared" si="19"/>
        <v/>
      </c>
      <c r="BO13" s="81" t="str">
        <f t="shared" si="19"/>
        <v/>
      </c>
      <c r="BP13" s="81" t="str">
        <f t="shared" si="19"/>
        <v/>
      </c>
      <c r="BQ13" s="81" t="str">
        <f t="shared" si="19"/>
        <v/>
      </c>
      <c r="BR13" s="81" t="str">
        <f t="shared" si="19"/>
        <v/>
      </c>
      <c r="BS13" s="81" t="str">
        <f t="shared" si="19"/>
        <v/>
      </c>
      <c r="BT13" s="81" t="str">
        <f t="shared" si="19"/>
        <v/>
      </c>
      <c r="BU13" s="81" t="str">
        <f t="shared" si="19"/>
        <v/>
      </c>
      <c r="BV13" s="81" t="str">
        <f t="shared" si="19"/>
        <v/>
      </c>
      <c r="BW13" s="81" t="str">
        <f t="shared" si="19"/>
        <v/>
      </c>
      <c r="BX13" s="81" t="str">
        <f t="shared" si="19"/>
        <v/>
      </c>
      <c r="BY13" s="81" t="str">
        <f t="shared" si="19"/>
        <v/>
      </c>
      <c r="BZ13" s="81" t="str">
        <f t="shared" si="19"/>
        <v/>
      </c>
      <c r="CA13" s="81" t="str">
        <f t="shared" si="19"/>
        <v/>
      </c>
      <c r="CB13" s="81" t="str">
        <f t="shared" si="19"/>
        <v/>
      </c>
      <c r="CC13" s="81" t="str">
        <f t="shared" si="19"/>
        <v/>
      </c>
    </row>
    <row r="14" spans="1:81" x14ac:dyDescent="0.2">
      <c r="A14"/>
      <c r="B14"/>
      <c r="C14" s="51">
        <f t="shared" si="3"/>
        <v>7</v>
      </c>
      <c r="D14" s="51" t="str">
        <f t="shared" si="0"/>
        <v>1,000</v>
      </c>
      <c r="E14" s="51">
        <f t="shared" si="4"/>
        <v>6</v>
      </c>
      <c r="F14" s="51">
        <f>IFERROR(IF(E14&lt;&gt;"",SUM(E$8:E14),""),"")</f>
        <v>43</v>
      </c>
      <c r="G14" s="52">
        <f t="shared" si="8"/>
        <v>2</v>
      </c>
      <c r="H14" s="52" t="str">
        <f t="shared" si="5"/>
        <v/>
      </c>
      <c r="I14" s="53">
        <f t="shared" si="9"/>
        <v>6</v>
      </c>
      <c r="J14" s="48"/>
      <c r="K14" s="49"/>
      <c r="L14" s="49"/>
      <c r="M14" s="50"/>
      <c r="N14" s="55">
        <v>7</v>
      </c>
      <c r="O14" s="52">
        <f t="shared" si="10"/>
        <v>226</v>
      </c>
      <c r="P14" s="52">
        <f t="shared" si="11"/>
        <v>38</v>
      </c>
      <c r="Q14" s="50"/>
      <c r="S14" s="47" t="s">
        <v>49</v>
      </c>
      <c r="T14" s="81" t="str">
        <f t="shared" ref="T14:AY14" si="20">IFERROR(MID($A$2,T59,1),"")</f>
        <v>O</v>
      </c>
      <c r="U14" s="81" t="str">
        <f t="shared" si="20"/>
        <v>N</v>
      </c>
      <c r="V14" s="81" t="str">
        <f t="shared" si="20"/>
        <v xml:space="preserve"> </v>
      </c>
      <c r="W14" s="81" t="str">
        <f t="shared" si="20"/>
        <v>T</v>
      </c>
      <c r="X14" s="81" t="str">
        <f t="shared" si="20"/>
        <v>H</v>
      </c>
      <c r="Y14" s="81" t="str">
        <f t="shared" si="20"/>
        <v>E</v>
      </c>
      <c r="Z14" s="81" t="str">
        <f t="shared" si="20"/>
        <v xml:space="preserve"> </v>
      </c>
      <c r="AA14" s="81" t="str">
        <f t="shared" si="20"/>
        <v>T</v>
      </c>
      <c r="AB14" s="81" t="str">
        <f t="shared" si="20"/>
        <v>H</v>
      </c>
      <c r="AC14" s="81" t="str">
        <f t="shared" si="20"/>
        <v>I</v>
      </c>
      <c r="AD14" s="81" t="str">
        <f t="shared" si="20"/>
        <v>N</v>
      </c>
      <c r="AE14" s="81" t="str">
        <f t="shared" si="20"/>
        <v>G</v>
      </c>
      <c r="AF14" s="81" t="str">
        <f t="shared" si="20"/>
        <v>S</v>
      </c>
      <c r="AG14" s="81" t="str">
        <f t="shared" si="20"/>
        <v xml:space="preserve"> </v>
      </c>
      <c r="AH14" s="81" t="str">
        <f t="shared" si="20"/>
        <v>T</v>
      </c>
      <c r="AI14" s="81" t="str">
        <f t="shared" si="20"/>
        <v>H</v>
      </c>
      <c r="AJ14" s="81" t="str">
        <f t="shared" si="20"/>
        <v>A</v>
      </c>
      <c r="AK14" s="81" t="str">
        <f t="shared" si="20"/>
        <v>T</v>
      </c>
      <c r="AL14" s="81" t="str">
        <f t="shared" si="20"/>
        <v xml:space="preserve"> </v>
      </c>
      <c r="AM14" s="81" t="str">
        <f t="shared" si="20"/>
        <v>A</v>
      </c>
      <c r="AN14" s="81" t="str">
        <f t="shared" si="20"/>
        <v>R</v>
      </c>
      <c r="AO14" s="81" t="str">
        <f t="shared" si="20"/>
        <v>E</v>
      </c>
      <c r="AP14" s="81" t="str">
        <f t="shared" si="20"/>
        <v xml:space="preserve"> </v>
      </c>
      <c r="AQ14" s="81" t="str">
        <f t="shared" si="20"/>
        <v>R</v>
      </c>
      <c r="AR14" s="81" t="str">
        <f t="shared" si="20"/>
        <v>E</v>
      </c>
      <c r="AS14" s="81" t="str">
        <f t="shared" si="20"/>
        <v>A</v>
      </c>
      <c r="AT14" s="81" t="str">
        <f t="shared" si="20"/>
        <v>L</v>
      </c>
      <c r="AU14" s="81" t="str">
        <f t="shared" si="20"/>
        <v>L</v>
      </c>
      <c r="AV14" s="81" t="str">
        <f t="shared" si="20"/>
        <v>Y</v>
      </c>
      <c r="AW14" s="81" t="str">
        <f t="shared" si="20"/>
        <v xml:space="preserve"> </v>
      </c>
      <c r="AX14" s="81" t="str">
        <f t="shared" si="20"/>
        <v/>
      </c>
      <c r="AY14" s="81" t="str">
        <f t="shared" si="20"/>
        <v/>
      </c>
      <c r="AZ14" s="81" t="str">
        <f t="shared" ref="AZ14:CC14" si="21">IFERROR(MID($A$2,AZ59,1),"")</f>
        <v/>
      </c>
      <c r="BA14" s="81" t="str">
        <f t="shared" si="21"/>
        <v/>
      </c>
      <c r="BB14" s="81" t="str">
        <f t="shared" si="21"/>
        <v/>
      </c>
      <c r="BC14" s="81" t="str">
        <f t="shared" si="21"/>
        <v/>
      </c>
      <c r="BD14" s="81" t="str">
        <f t="shared" si="21"/>
        <v/>
      </c>
      <c r="BE14" s="81" t="str">
        <f t="shared" si="21"/>
        <v/>
      </c>
      <c r="BF14" s="81" t="str">
        <f t="shared" si="21"/>
        <v/>
      </c>
      <c r="BG14" s="81" t="str">
        <f t="shared" si="21"/>
        <v/>
      </c>
      <c r="BH14" s="81" t="str">
        <f t="shared" si="21"/>
        <v/>
      </c>
      <c r="BI14" s="81" t="str">
        <f t="shared" si="21"/>
        <v/>
      </c>
      <c r="BJ14" s="81" t="str">
        <f t="shared" si="21"/>
        <v/>
      </c>
      <c r="BK14" s="81" t="str">
        <f t="shared" si="21"/>
        <v/>
      </c>
      <c r="BL14" s="81" t="str">
        <f t="shared" si="21"/>
        <v/>
      </c>
      <c r="BM14" s="81" t="str">
        <f t="shared" si="21"/>
        <v/>
      </c>
      <c r="BN14" s="81" t="str">
        <f t="shared" si="21"/>
        <v/>
      </c>
      <c r="BO14" s="81" t="str">
        <f t="shared" si="21"/>
        <v/>
      </c>
      <c r="BP14" s="81" t="str">
        <f t="shared" si="21"/>
        <v/>
      </c>
      <c r="BQ14" s="81" t="str">
        <f t="shared" si="21"/>
        <v/>
      </c>
      <c r="BR14" s="81" t="str">
        <f t="shared" si="21"/>
        <v/>
      </c>
      <c r="BS14" s="81" t="str">
        <f t="shared" si="21"/>
        <v/>
      </c>
      <c r="BT14" s="81" t="str">
        <f t="shared" si="21"/>
        <v/>
      </c>
      <c r="BU14" s="81" t="str">
        <f t="shared" si="21"/>
        <v/>
      </c>
      <c r="BV14" s="81" t="str">
        <f t="shared" si="21"/>
        <v/>
      </c>
      <c r="BW14" s="81" t="str">
        <f t="shared" si="21"/>
        <v/>
      </c>
      <c r="BX14" s="81" t="str">
        <f t="shared" si="21"/>
        <v/>
      </c>
      <c r="BY14" s="81" t="str">
        <f t="shared" si="21"/>
        <v/>
      </c>
      <c r="BZ14" s="81" t="str">
        <f t="shared" si="21"/>
        <v/>
      </c>
      <c r="CA14" s="81" t="str">
        <f t="shared" si="21"/>
        <v/>
      </c>
      <c r="CB14" s="81" t="str">
        <f t="shared" si="21"/>
        <v/>
      </c>
      <c r="CC14" s="81" t="str">
        <f t="shared" si="21"/>
        <v/>
      </c>
    </row>
    <row r="15" spans="1:81" x14ac:dyDescent="0.2">
      <c r="A15"/>
      <c r="B15"/>
      <c r="C15" s="51">
        <f t="shared" si="3"/>
        <v>8</v>
      </c>
      <c r="D15" s="51" t="str">
        <f t="shared" si="0"/>
        <v>THINGS</v>
      </c>
      <c r="E15" s="51">
        <f t="shared" si="4"/>
        <v>7</v>
      </c>
      <c r="F15" s="51">
        <f>IFERROR(IF(E15&lt;&gt;"",SUM(E$8:E15),""),"")</f>
        <v>50</v>
      </c>
      <c r="G15" s="52">
        <f t="shared" si="8"/>
        <v>2</v>
      </c>
      <c r="H15" s="52" t="str">
        <f t="shared" si="5"/>
        <v/>
      </c>
      <c r="I15" s="53">
        <f t="shared" si="9"/>
        <v>13</v>
      </c>
      <c r="J15" s="48"/>
      <c r="K15" s="49"/>
      <c r="L15" s="49"/>
      <c r="M15" s="50"/>
      <c r="N15" s="55">
        <v>8</v>
      </c>
      <c r="O15" s="52">
        <f t="shared" si="10"/>
        <v>256</v>
      </c>
      <c r="P15" s="52">
        <f t="shared" si="11"/>
        <v>30</v>
      </c>
      <c r="Q15" s="50"/>
      <c r="S15" s="47" t="s">
        <v>50</v>
      </c>
      <c r="T15" s="81" t="str">
        <f t="shared" ref="T15:AY15" si="22">IFERROR(MID($A$2,T60,1),"")</f>
        <v>I</v>
      </c>
      <c r="U15" s="81" t="str">
        <f t="shared" si="22"/>
        <v>M</v>
      </c>
      <c r="V15" s="81" t="str">
        <f t="shared" si="22"/>
        <v>P</v>
      </c>
      <c r="W15" s="81" t="str">
        <f t="shared" si="22"/>
        <v>O</v>
      </c>
      <c r="X15" s="81" t="str">
        <f t="shared" si="22"/>
        <v>R</v>
      </c>
      <c r="Y15" s="81" t="str">
        <f t="shared" si="22"/>
        <v>T</v>
      </c>
      <c r="Z15" s="81" t="str">
        <f t="shared" si="22"/>
        <v>A</v>
      </c>
      <c r="AA15" s="81" t="str">
        <f t="shared" si="22"/>
        <v>N</v>
      </c>
      <c r="AB15" s="81" t="str">
        <f t="shared" si="22"/>
        <v>T</v>
      </c>
      <c r="AC15" s="81" t="str">
        <f t="shared" si="22"/>
        <v>.</v>
      </c>
      <c r="AD15" s="81" t="str">
        <f t="shared" si="22"/>
        <v/>
      </c>
      <c r="AE15" s="81" t="str">
        <f t="shared" si="22"/>
        <v/>
      </c>
      <c r="AF15" s="81" t="str">
        <f t="shared" si="22"/>
        <v/>
      </c>
      <c r="AG15" s="81" t="str">
        <f t="shared" si="22"/>
        <v/>
      </c>
      <c r="AH15" s="81" t="str">
        <f t="shared" si="22"/>
        <v/>
      </c>
      <c r="AI15" s="81" t="str">
        <f t="shared" si="22"/>
        <v/>
      </c>
      <c r="AJ15" s="81" t="str">
        <f t="shared" si="22"/>
        <v/>
      </c>
      <c r="AK15" s="81" t="str">
        <f t="shared" si="22"/>
        <v/>
      </c>
      <c r="AL15" s="81" t="str">
        <f t="shared" si="22"/>
        <v/>
      </c>
      <c r="AM15" s="81" t="str">
        <f t="shared" si="22"/>
        <v/>
      </c>
      <c r="AN15" s="81" t="str">
        <f t="shared" si="22"/>
        <v/>
      </c>
      <c r="AO15" s="81" t="str">
        <f t="shared" si="22"/>
        <v/>
      </c>
      <c r="AP15" s="81" t="str">
        <f t="shared" si="22"/>
        <v/>
      </c>
      <c r="AQ15" s="81" t="str">
        <f t="shared" si="22"/>
        <v/>
      </c>
      <c r="AR15" s="81" t="str">
        <f t="shared" si="22"/>
        <v/>
      </c>
      <c r="AS15" s="81" t="str">
        <f t="shared" si="22"/>
        <v/>
      </c>
      <c r="AT15" s="81" t="str">
        <f t="shared" si="22"/>
        <v/>
      </c>
      <c r="AU15" s="81" t="str">
        <f t="shared" si="22"/>
        <v/>
      </c>
      <c r="AV15" s="81" t="str">
        <f t="shared" si="22"/>
        <v/>
      </c>
      <c r="AW15" s="81" t="str">
        <f t="shared" si="22"/>
        <v/>
      </c>
      <c r="AX15" s="81" t="str">
        <f t="shared" si="22"/>
        <v/>
      </c>
      <c r="AY15" s="81" t="str">
        <f t="shared" si="22"/>
        <v/>
      </c>
      <c r="AZ15" s="81" t="str">
        <f t="shared" ref="AZ15:CC15" si="23">IFERROR(MID($A$2,AZ60,1),"")</f>
        <v/>
      </c>
      <c r="BA15" s="81" t="str">
        <f t="shared" si="23"/>
        <v/>
      </c>
      <c r="BB15" s="81" t="str">
        <f t="shared" si="23"/>
        <v/>
      </c>
      <c r="BC15" s="81" t="str">
        <f t="shared" si="23"/>
        <v/>
      </c>
      <c r="BD15" s="81" t="str">
        <f t="shared" si="23"/>
        <v/>
      </c>
      <c r="BE15" s="81" t="str">
        <f t="shared" si="23"/>
        <v/>
      </c>
      <c r="BF15" s="81" t="str">
        <f t="shared" si="23"/>
        <v/>
      </c>
      <c r="BG15" s="81" t="str">
        <f t="shared" si="23"/>
        <v/>
      </c>
      <c r="BH15" s="81" t="str">
        <f t="shared" si="23"/>
        <v/>
      </c>
      <c r="BI15" s="81" t="str">
        <f t="shared" si="23"/>
        <v/>
      </c>
      <c r="BJ15" s="81" t="str">
        <f t="shared" si="23"/>
        <v/>
      </c>
      <c r="BK15" s="81" t="str">
        <f t="shared" si="23"/>
        <v/>
      </c>
      <c r="BL15" s="81" t="str">
        <f t="shared" si="23"/>
        <v/>
      </c>
      <c r="BM15" s="81" t="str">
        <f t="shared" si="23"/>
        <v/>
      </c>
      <c r="BN15" s="81" t="str">
        <f t="shared" si="23"/>
        <v/>
      </c>
      <c r="BO15" s="81" t="str">
        <f t="shared" si="23"/>
        <v/>
      </c>
      <c r="BP15" s="81" t="str">
        <f t="shared" si="23"/>
        <v/>
      </c>
      <c r="BQ15" s="81" t="str">
        <f t="shared" si="23"/>
        <v/>
      </c>
      <c r="BR15" s="81" t="str">
        <f t="shared" si="23"/>
        <v/>
      </c>
      <c r="BS15" s="81" t="str">
        <f t="shared" si="23"/>
        <v/>
      </c>
      <c r="BT15" s="81" t="str">
        <f t="shared" si="23"/>
        <v/>
      </c>
      <c r="BU15" s="81" t="str">
        <f t="shared" si="23"/>
        <v/>
      </c>
      <c r="BV15" s="81" t="str">
        <f t="shared" si="23"/>
        <v/>
      </c>
      <c r="BW15" s="81" t="str">
        <f t="shared" si="23"/>
        <v/>
      </c>
      <c r="BX15" s="81" t="str">
        <f t="shared" si="23"/>
        <v/>
      </c>
      <c r="BY15" s="81" t="str">
        <f t="shared" si="23"/>
        <v/>
      </c>
      <c r="BZ15" s="81" t="str">
        <f t="shared" si="23"/>
        <v/>
      </c>
      <c r="CA15" s="81" t="str">
        <f t="shared" si="23"/>
        <v/>
      </c>
      <c r="CB15" s="81" t="str">
        <f t="shared" si="23"/>
        <v/>
      </c>
      <c r="CC15" s="81" t="str">
        <f t="shared" si="23"/>
        <v/>
      </c>
    </row>
    <row r="16" spans="1:81" x14ac:dyDescent="0.2">
      <c r="A16"/>
      <c r="B16"/>
      <c r="C16" s="51">
        <f t="shared" si="3"/>
        <v>9</v>
      </c>
      <c r="D16" s="51" t="str">
        <f t="shared" si="0"/>
        <v>TO</v>
      </c>
      <c r="E16" s="51">
        <f t="shared" si="4"/>
        <v>3</v>
      </c>
      <c r="F16" s="51">
        <f>IFERROR(IF(E16&lt;&gt;"",SUM(E$8:E16),""),"")</f>
        <v>53</v>
      </c>
      <c r="G16" s="52">
        <f t="shared" si="8"/>
        <v>2</v>
      </c>
      <c r="H16" s="52" t="str">
        <f t="shared" si="5"/>
        <v/>
      </c>
      <c r="I16" s="53">
        <f t="shared" si="9"/>
        <v>16</v>
      </c>
      <c r="J16" s="48"/>
      <c r="K16" s="49"/>
      <c r="L16" s="49"/>
      <c r="M16" s="50"/>
      <c r="N16" s="55">
        <v>9</v>
      </c>
      <c r="O16" s="52">
        <f t="shared" si="10"/>
        <v>267</v>
      </c>
      <c r="P16" s="52">
        <f t="shared" si="11"/>
        <v>11</v>
      </c>
      <c r="Q16" s="50"/>
      <c r="S16" s="47" t="s">
        <v>51</v>
      </c>
      <c r="T16" s="81" t="str">
        <f t="shared" ref="T16:AY16" si="24">IFERROR(MID($A$2,T61,1),"")</f>
        <v/>
      </c>
      <c r="U16" s="81" t="str">
        <f t="shared" si="24"/>
        <v/>
      </c>
      <c r="V16" s="81" t="str">
        <f t="shared" si="24"/>
        <v/>
      </c>
      <c r="W16" s="81" t="str">
        <f t="shared" si="24"/>
        <v/>
      </c>
      <c r="X16" s="81" t="str">
        <f t="shared" si="24"/>
        <v/>
      </c>
      <c r="Y16" s="81" t="str">
        <f t="shared" si="24"/>
        <v/>
      </c>
      <c r="Z16" s="81" t="str">
        <f t="shared" si="24"/>
        <v/>
      </c>
      <c r="AA16" s="81" t="str">
        <f t="shared" si="24"/>
        <v/>
      </c>
      <c r="AB16" s="81" t="str">
        <f t="shared" si="24"/>
        <v/>
      </c>
      <c r="AC16" s="81" t="str">
        <f t="shared" si="24"/>
        <v/>
      </c>
      <c r="AD16" s="81" t="str">
        <f t="shared" si="24"/>
        <v/>
      </c>
      <c r="AE16" s="81" t="str">
        <f t="shared" si="24"/>
        <v/>
      </c>
      <c r="AF16" s="81" t="str">
        <f t="shared" si="24"/>
        <v/>
      </c>
      <c r="AG16" s="81" t="str">
        <f t="shared" si="24"/>
        <v/>
      </c>
      <c r="AH16" s="81" t="str">
        <f t="shared" si="24"/>
        <v/>
      </c>
      <c r="AI16" s="81" t="str">
        <f t="shared" si="24"/>
        <v/>
      </c>
      <c r="AJ16" s="81" t="str">
        <f t="shared" si="24"/>
        <v/>
      </c>
      <c r="AK16" s="81" t="str">
        <f t="shared" si="24"/>
        <v/>
      </c>
      <c r="AL16" s="81" t="str">
        <f t="shared" si="24"/>
        <v/>
      </c>
      <c r="AM16" s="81" t="str">
        <f t="shared" si="24"/>
        <v/>
      </c>
      <c r="AN16" s="81" t="str">
        <f t="shared" si="24"/>
        <v/>
      </c>
      <c r="AO16" s="81" t="str">
        <f t="shared" si="24"/>
        <v/>
      </c>
      <c r="AP16" s="81" t="str">
        <f t="shared" si="24"/>
        <v/>
      </c>
      <c r="AQ16" s="81" t="str">
        <f t="shared" si="24"/>
        <v/>
      </c>
      <c r="AR16" s="81" t="str">
        <f t="shared" si="24"/>
        <v/>
      </c>
      <c r="AS16" s="81" t="str">
        <f t="shared" si="24"/>
        <v/>
      </c>
      <c r="AT16" s="81" t="str">
        <f t="shared" si="24"/>
        <v/>
      </c>
      <c r="AU16" s="81" t="str">
        <f t="shared" si="24"/>
        <v/>
      </c>
      <c r="AV16" s="81" t="str">
        <f t="shared" si="24"/>
        <v/>
      </c>
      <c r="AW16" s="81" t="str">
        <f t="shared" si="24"/>
        <v/>
      </c>
      <c r="AX16" s="81" t="str">
        <f t="shared" si="24"/>
        <v/>
      </c>
      <c r="AY16" s="81" t="str">
        <f t="shared" si="24"/>
        <v/>
      </c>
      <c r="AZ16" s="81" t="str">
        <f t="shared" ref="AZ16:CC16" si="25">IFERROR(MID($A$2,AZ61,1),"")</f>
        <v/>
      </c>
      <c r="BA16" s="81" t="str">
        <f t="shared" si="25"/>
        <v/>
      </c>
      <c r="BB16" s="81" t="str">
        <f t="shared" si="25"/>
        <v/>
      </c>
      <c r="BC16" s="81" t="str">
        <f t="shared" si="25"/>
        <v/>
      </c>
      <c r="BD16" s="81" t="str">
        <f t="shared" si="25"/>
        <v/>
      </c>
      <c r="BE16" s="81" t="str">
        <f t="shared" si="25"/>
        <v/>
      </c>
      <c r="BF16" s="81" t="str">
        <f t="shared" si="25"/>
        <v/>
      </c>
      <c r="BG16" s="81" t="str">
        <f t="shared" si="25"/>
        <v/>
      </c>
      <c r="BH16" s="81" t="str">
        <f t="shared" si="25"/>
        <v/>
      </c>
      <c r="BI16" s="81" t="str">
        <f t="shared" si="25"/>
        <v/>
      </c>
      <c r="BJ16" s="81" t="str">
        <f t="shared" si="25"/>
        <v/>
      </c>
      <c r="BK16" s="81" t="str">
        <f t="shared" si="25"/>
        <v/>
      </c>
      <c r="BL16" s="81" t="str">
        <f t="shared" si="25"/>
        <v/>
      </c>
      <c r="BM16" s="81" t="str">
        <f t="shared" si="25"/>
        <v/>
      </c>
      <c r="BN16" s="81" t="str">
        <f t="shared" si="25"/>
        <v/>
      </c>
      <c r="BO16" s="81" t="str">
        <f t="shared" si="25"/>
        <v/>
      </c>
      <c r="BP16" s="81" t="str">
        <f t="shared" si="25"/>
        <v/>
      </c>
      <c r="BQ16" s="81" t="str">
        <f t="shared" si="25"/>
        <v/>
      </c>
      <c r="BR16" s="81" t="str">
        <f t="shared" si="25"/>
        <v/>
      </c>
      <c r="BS16" s="81" t="str">
        <f t="shared" si="25"/>
        <v/>
      </c>
      <c r="BT16" s="81" t="str">
        <f t="shared" si="25"/>
        <v/>
      </c>
      <c r="BU16" s="81" t="str">
        <f t="shared" si="25"/>
        <v/>
      </c>
      <c r="BV16" s="81" t="str">
        <f t="shared" si="25"/>
        <v/>
      </c>
      <c r="BW16" s="81" t="str">
        <f t="shared" si="25"/>
        <v/>
      </c>
      <c r="BX16" s="81" t="str">
        <f t="shared" si="25"/>
        <v/>
      </c>
      <c r="BY16" s="81" t="str">
        <f t="shared" si="25"/>
        <v/>
      </c>
      <c r="BZ16" s="81" t="str">
        <f t="shared" si="25"/>
        <v/>
      </c>
      <c r="CA16" s="81" t="str">
        <f t="shared" si="25"/>
        <v/>
      </c>
      <c r="CB16" s="81" t="str">
        <f t="shared" si="25"/>
        <v/>
      </c>
      <c r="CC16" s="81" t="str">
        <f t="shared" si="25"/>
        <v/>
      </c>
    </row>
    <row r="17" spans="1:81" x14ac:dyDescent="0.2">
      <c r="A17"/>
      <c r="B17"/>
      <c r="C17" s="51">
        <f t="shared" si="3"/>
        <v>10</v>
      </c>
      <c r="D17" s="51" t="str">
        <f t="shared" si="0"/>
        <v>MAKE</v>
      </c>
      <c r="E17" s="51">
        <f t="shared" si="4"/>
        <v>5</v>
      </c>
      <c r="F17" s="51">
        <f>IFERROR(IF(E17&lt;&gt;"",SUM(E$8:E17),""),"")</f>
        <v>58</v>
      </c>
      <c r="G17" s="52">
        <f t="shared" si="8"/>
        <v>2</v>
      </c>
      <c r="H17" s="52" t="str">
        <f t="shared" si="5"/>
        <v/>
      </c>
      <c r="I17" s="53">
        <f t="shared" si="9"/>
        <v>21</v>
      </c>
      <c r="J17" s="48"/>
      <c r="K17" s="49"/>
      <c r="L17" s="49"/>
      <c r="M17" s="50"/>
      <c r="N17" s="55">
        <v>10</v>
      </c>
      <c r="O17" s="52" t="str">
        <f t="shared" si="10"/>
        <v/>
      </c>
      <c r="P17" s="52" t="str">
        <f t="shared" si="11"/>
        <v/>
      </c>
      <c r="Q17" s="50"/>
      <c r="S17" s="47" t="s">
        <v>53</v>
      </c>
      <c r="T17" s="81" t="str">
        <f t="shared" ref="T17:AY17" si="26">IFERROR(MID($A$2,T62,1),"")</f>
        <v/>
      </c>
      <c r="U17" s="81" t="str">
        <f t="shared" si="26"/>
        <v/>
      </c>
      <c r="V17" s="81" t="str">
        <f t="shared" si="26"/>
        <v/>
      </c>
      <c r="W17" s="81" t="str">
        <f t="shared" si="26"/>
        <v/>
      </c>
      <c r="X17" s="81" t="str">
        <f t="shared" si="26"/>
        <v/>
      </c>
      <c r="Y17" s="81" t="str">
        <f t="shared" si="26"/>
        <v/>
      </c>
      <c r="Z17" s="81" t="str">
        <f t="shared" si="26"/>
        <v/>
      </c>
      <c r="AA17" s="81" t="str">
        <f t="shared" si="26"/>
        <v/>
      </c>
      <c r="AB17" s="81" t="str">
        <f t="shared" si="26"/>
        <v/>
      </c>
      <c r="AC17" s="81" t="str">
        <f t="shared" si="26"/>
        <v/>
      </c>
      <c r="AD17" s="81" t="str">
        <f t="shared" si="26"/>
        <v/>
      </c>
      <c r="AE17" s="81" t="str">
        <f t="shared" si="26"/>
        <v/>
      </c>
      <c r="AF17" s="81" t="str">
        <f t="shared" si="26"/>
        <v/>
      </c>
      <c r="AG17" s="81" t="str">
        <f t="shared" si="26"/>
        <v/>
      </c>
      <c r="AH17" s="81" t="str">
        <f t="shared" si="26"/>
        <v/>
      </c>
      <c r="AI17" s="81" t="str">
        <f t="shared" si="26"/>
        <v/>
      </c>
      <c r="AJ17" s="81" t="str">
        <f t="shared" si="26"/>
        <v/>
      </c>
      <c r="AK17" s="81" t="str">
        <f t="shared" si="26"/>
        <v/>
      </c>
      <c r="AL17" s="81" t="str">
        <f t="shared" si="26"/>
        <v/>
      </c>
      <c r="AM17" s="81" t="str">
        <f t="shared" si="26"/>
        <v/>
      </c>
      <c r="AN17" s="81" t="str">
        <f t="shared" si="26"/>
        <v/>
      </c>
      <c r="AO17" s="81" t="str">
        <f t="shared" si="26"/>
        <v/>
      </c>
      <c r="AP17" s="81" t="str">
        <f t="shared" si="26"/>
        <v/>
      </c>
      <c r="AQ17" s="81" t="str">
        <f t="shared" si="26"/>
        <v/>
      </c>
      <c r="AR17" s="81" t="str">
        <f t="shared" si="26"/>
        <v/>
      </c>
      <c r="AS17" s="81" t="str">
        <f t="shared" si="26"/>
        <v/>
      </c>
      <c r="AT17" s="81" t="str">
        <f t="shared" si="26"/>
        <v/>
      </c>
      <c r="AU17" s="81" t="str">
        <f t="shared" si="26"/>
        <v/>
      </c>
      <c r="AV17" s="81" t="str">
        <f t="shared" si="26"/>
        <v/>
      </c>
      <c r="AW17" s="81" t="str">
        <f t="shared" si="26"/>
        <v/>
      </c>
      <c r="AX17" s="81" t="str">
        <f t="shared" si="26"/>
        <v/>
      </c>
      <c r="AY17" s="81" t="str">
        <f t="shared" si="26"/>
        <v/>
      </c>
      <c r="AZ17" s="81" t="str">
        <f t="shared" ref="AZ17:CC17" si="27">IFERROR(MID($A$2,AZ62,1),"")</f>
        <v/>
      </c>
      <c r="BA17" s="81" t="str">
        <f t="shared" si="27"/>
        <v/>
      </c>
      <c r="BB17" s="81" t="str">
        <f t="shared" si="27"/>
        <v/>
      </c>
      <c r="BC17" s="81" t="str">
        <f t="shared" si="27"/>
        <v/>
      </c>
      <c r="BD17" s="81" t="str">
        <f t="shared" si="27"/>
        <v/>
      </c>
      <c r="BE17" s="81" t="str">
        <f t="shared" si="27"/>
        <v/>
      </c>
      <c r="BF17" s="81" t="str">
        <f t="shared" si="27"/>
        <v/>
      </c>
      <c r="BG17" s="81" t="str">
        <f t="shared" si="27"/>
        <v/>
      </c>
      <c r="BH17" s="81" t="str">
        <f t="shared" si="27"/>
        <v/>
      </c>
      <c r="BI17" s="81" t="str">
        <f t="shared" si="27"/>
        <v/>
      </c>
      <c r="BJ17" s="81" t="str">
        <f t="shared" si="27"/>
        <v/>
      </c>
      <c r="BK17" s="81" t="str">
        <f t="shared" si="27"/>
        <v/>
      </c>
      <c r="BL17" s="81" t="str">
        <f t="shared" si="27"/>
        <v/>
      </c>
      <c r="BM17" s="81" t="str">
        <f t="shared" si="27"/>
        <v/>
      </c>
      <c r="BN17" s="81" t="str">
        <f t="shared" si="27"/>
        <v/>
      </c>
      <c r="BO17" s="81" t="str">
        <f t="shared" si="27"/>
        <v/>
      </c>
      <c r="BP17" s="81" t="str">
        <f t="shared" si="27"/>
        <v/>
      </c>
      <c r="BQ17" s="81" t="str">
        <f t="shared" si="27"/>
        <v/>
      </c>
      <c r="BR17" s="81" t="str">
        <f t="shared" si="27"/>
        <v/>
      </c>
      <c r="BS17" s="81" t="str">
        <f t="shared" si="27"/>
        <v/>
      </c>
      <c r="BT17" s="81" t="str">
        <f t="shared" si="27"/>
        <v/>
      </c>
      <c r="BU17" s="81" t="str">
        <f t="shared" si="27"/>
        <v/>
      </c>
      <c r="BV17" s="81" t="str">
        <f t="shared" si="27"/>
        <v/>
      </c>
      <c r="BW17" s="81" t="str">
        <f t="shared" si="27"/>
        <v/>
      </c>
      <c r="BX17" s="81" t="str">
        <f t="shared" si="27"/>
        <v/>
      </c>
      <c r="BY17" s="81" t="str">
        <f t="shared" si="27"/>
        <v/>
      </c>
      <c r="BZ17" s="81" t="str">
        <f t="shared" si="27"/>
        <v/>
      </c>
      <c r="CA17" s="81" t="str">
        <f t="shared" si="27"/>
        <v/>
      </c>
      <c r="CB17" s="81" t="str">
        <f t="shared" si="27"/>
        <v/>
      </c>
      <c r="CC17" s="81" t="str">
        <f t="shared" si="27"/>
        <v/>
      </c>
    </row>
    <row r="18" spans="1:81" x14ac:dyDescent="0.2">
      <c r="A18"/>
      <c r="B18"/>
      <c r="C18" s="51">
        <f t="shared" si="3"/>
        <v>11</v>
      </c>
      <c r="D18" s="51" t="str">
        <f t="shared" si="0"/>
        <v>SURE</v>
      </c>
      <c r="E18" s="51">
        <f t="shared" si="4"/>
        <v>5</v>
      </c>
      <c r="F18" s="51">
        <f>IFERROR(IF(E18&lt;&gt;"",SUM(E$8:E18),""),"")</f>
        <v>63</v>
      </c>
      <c r="G18" s="52">
        <f t="shared" si="8"/>
        <v>2</v>
      </c>
      <c r="H18" s="52" t="str">
        <f t="shared" si="5"/>
        <v/>
      </c>
      <c r="I18" s="53">
        <f t="shared" si="9"/>
        <v>26</v>
      </c>
      <c r="J18" s="48"/>
      <c r="K18" s="49"/>
      <c r="L18" s="49"/>
      <c r="M18" s="50"/>
      <c r="N18" s="55">
        <v>11</v>
      </c>
      <c r="O18" s="52" t="str">
        <f t="shared" si="10"/>
        <v/>
      </c>
      <c r="P18" s="52" t="str">
        <f t="shared" si="11"/>
        <v/>
      </c>
      <c r="Q18" s="50"/>
      <c r="S18" s="47" t="s">
        <v>54</v>
      </c>
      <c r="T18" s="81" t="str">
        <f t="shared" ref="T18:AY18" si="28">IFERROR(MID($A$2,T63,1),"")</f>
        <v/>
      </c>
      <c r="U18" s="81" t="str">
        <f t="shared" si="28"/>
        <v/>
      </c>
      <c r="V18" s="81" t="str">
        <f t="shared" si="28"/>
        <v/>
      </c>
      <c r="W18" s="81" t="str">
        <f t="shared" si="28"/>
        <v/>
      </c>
      <c r="X18" s="81" t="str">
        <f t="shared" si="28"/>
        <v/>
      </c>
      <c r="Y18" s="81" t="str">
        <f t="shared" si="28"/>
        <v/>
      </c>
      <c r="Z18" s="81" t="str">
        <f t="shared" si="28"/>
        <v/>
      </c>
      <c r="AA18" s="81" t="str">
        <f t="shared" si="28"/>
        <v/>
      </c>
      <c r="AB18" s="81" t="str">
        <f t="shared" si="28"/>
        <v/>
      </c>
      <c r="AC18" s="81" t="str">
        <f t="shared" si="28"/>
        <v/>
      </c>
      <c r="AD18" s="81" t="str">
        <f t="shared" si="28"/>
        <v/>
      </c>
      <c r="AE18" s="81" t="str">
        <f t="shared" si="28"/>
        <v/>
      </c>
      <c r="AF18" s="81" t="str">
        <f t="shared" si="28"/>
        <v/>
      </c>
      <c r="AG18" s="81" t="str">
        <f t="shared" si="28"/>
        <v/>
      </c>
      <c r="AH18" s="81" t="str">
        <f t="shared" si="28"/>
        <v/>
      </c>
      <c r="AI18" s="81" t="str">
        <f t="shared" si="28"/>
        <v/>
      </c>
      <c r="AJ18" s="81" t="str">
        <f t="shared" si="28"/>
        <v/>
      </c>
      <c r="AK18" s="81" t="str">
        <f t="shared" si="28"/>
        <v/>
      </c>
      <c r="AL18" s="81" t="str">
        <f t="shared" si="28"/>
        <v/>
      </c>
      <c r="AM18" s="81" t="str">
        <f t="shared" si="28"/>
        <v/>
      </c>
      <c r="AN18" s="81" t="str">
        <f t="shared" si="28"/>
        <v/>
      </c>
      <c r="AO18" s="81" t="str">
        <f t="shared" si="28"/>
        <v/>
      </c>
      <c r="AP18" s="81" t="str">
        <f t="shared" si="28"/>
        <v/>
      </c>
      <c r="AQ18" s="81" t="str">
        <f t="shared" si="28"/>
        <v/>
      </c>
      <c r="AR18" s="81" t="str">
        <f t="shared" si="28"/>
        <v/>
      </c>
      <c r="AS18" s="81" t="str">
        <f t="shared" si="28"/>
        <v/>
      </c>
      <c r="AT18" s="81" t="str">
        <f t="shared" si="28"/>
        <v/>
      </c>
      <c r="AU18" s="81" t="str">
        <f t="shared" si="28"/>
        <v/>
      </c>
      <c r="AV18" s="81" t="str">
        <f t="shared" si="28"/>
        <v/>
      </c>
      <c r="AW18" s="81" t="str">
        <f t="shared" si="28"/>
        <v/>
      </c>
      <c r="AX18" s="81" t="str">
        <f t="shared" si="28"/>
        <v/>
      </c>
      <c r="AY18" s="81" t="str">
        <f t="shared" si="28"/>
        <v/>
      </c>
      <c r="AZ18" s="81" t="str">
        <f t="shared" ref="AZ18:CC18" si="29">IFERROR(MID($A$2,AZ63,1),"")</f>
        <v/>
      </c>
      <c r="BA18" s="81" t="str">
        <f t="shared" si="29"/>
        <v/>
      </c>
      <c r="BB18" s="81" t="str">
        <f t="shared" si="29"/>
        <v/>
      </c>
      <c r="BC18" s="81" t="str">
        <f t="shared" si="29"/>
        <v/>
      </c>
      <c r="BD18" s="81" t="str">
        <f t="shared" si="29"/>
        <v/>
      </c>
      <c r="BE18" s="81" t="str">
        <f t="shared" si="29"/>
        <v/>
      </c>
      <c r="BF18" s="81" t="str">
        <f t="shared" si="29"/>
        <v/>
      </c>
      <c r="BG18" s="81" t="str">
        <f t="shared" si="29"/>
        <v/>
      </c>
      <c r="BH18" s="81" t="str">
        <f t="shared" si="29"/>
        <v/>
      </c>
      <c r="BI18" s="81" t="str">
        <f t="shared" si="29"/>
        <v/>
      </c>
      <c r="BJ18" s="81" t="str">
        <f t="shared" si="29"/>
        <v/>
      </c>
      <c r="BK18" s="81" t="str">
        <f t="shared" si="29"/>
        <v/>
      </c>
      <c r="BL18" s="81" t="str">
        <f t="shared" si="29"/>
        <v/>
      </c>
      <c r="BM18" s="81" t="str">
        <f t="shared" si="29"/>
        <v/>
      </c>
      <c r="BN18" s="81" t="str">
        <f t="shared" si="29"/>
        <v/>
      </c>
      <c r="BO18" s="81" t="str">
        <f t="shared" si="29"/>
        <v/>
      </c>
      <c r="BP18" s="81" t="str">
        <f t="shared" si="29"/>
        <v/>
      </c>
      <c r="BQ18" s="81" t="str">
        <f t="shared" si="29"/>
        <v/>
      </c>
      <c r="BR18" s="81" t="str">
        <f t="shared" si="29"/>
        <v/>
      </c>
      <c r="BS18" s="81" t="str">
        <f t="shared" si="29"/>
        <v/>
      </c>
      <c r="BT18" s="81" t="str">
        <f t="shared" si="29"/>
        <v/>
      </c>
      <c r="BU18" s="81" t="str">
        <f t="shared" si="29"/>
        <v/>
      </c>
      <c r="BV18" s="81" t="str">
        <f t="shared" si="29"/>
        <v/>
      </c>
      <c r="BW18" s="81" t="str">
        <f t="shared" si="29"/>
        <v/>
      </c>
      <c r="BX18" s="81" t="str">
        <f t="shared" si="29"/>
        <v/>
      </c>
      <c r="BY18" s="81" t="str">
        <f t="shared" si="29"/>
        <v/>
      </c>
      <c r="BZ18" s="81" t="str">
        <f t="shared" si="29"/>
        <v/>
      </c>
      <c r="CA18" s="81" t="str">
        <f t="shared" si="29"/>
        <v/>
      </c>
      <c r="CB18" s="81" t="str">
        <f t="shared" si="29"/>
        <v/>
      </c>
      <c r="CC18" s="81" t="str">
        <f t="shared" si="29"/>
        <v/>
      </c>
    </row>
    <row r="19" spans="1:81" x14ac:dyDescent="0.2">
      <c r="A19"/>
      <c r="B19"/>
      <c r="C19" s="51">
        <f t="shared" si="3"/>
        <v>12</v>
      </c>
      <c r="D19" s="51" t="str">
        <f t="shared" si="0"/>
        <v>WE</v>
      </c>
      <c r="E19" s="51">
        <f t="shared" si="4"/>
        <v>3</v>
      </c>
      <c r="F19" s="51">
        <f>IFERROR(IF(E19&lt;&gt;"",SUM(E$8:E19),""),"")</f>
        <v>66</v>
      </c>
      <c r="G19" s="52">
        <f t="shared" si="8"/>
        <v>2</v>
      </c>
      <c r="H19" s="52" t="str">
        <f t="shared" si="5"/>
        <v/>
      </c>
      <c r="I19" s="53">
        <f t="shared" si="9"/>
        <v>29</v>
      </c>
      <c r="J19" s="48"/>
      <c r="K19" s="49"/>
      <c r="L19" s="49"/>
      <c r="M19" s="50"/>
      <c r="N19" s="55">
        <v>12</v>
      </c>
      <c r="O19" s="52" t="str">
        <f t="shared" si="10"/>
        <v/>
      </c>
      <c r="P19" s="52" t="str">
        <f t="shared" si="11"/>
        <v/>
      </c>
      <c r="Q19" s="50"/>
      <c r="S19" s="47" t="s">
        <v>60</v>
      </c>
      <c r="T19" s="81" t="str">
        <f t="shared" ref="T19:AY19" si="30">IFERROR(MID($A$2,T64,1),"")</f>
        <v/>
      </c>
      <c r="U19" s="81" t="str">
        <f t="shared" si="30"/>
        <v/>
      </c>
      <c r="V19" s="81" t="str">
        <f t="shared" si="30"/>
        <v/>
      </c>
      <c r="W19" s="81" t="str">
        <f t="shared" si="30"/>
        <v/>
      </c>
      <c r="X19" s="81" t="str">
        <f t="shared" si="30"/>
        <v/>
      </c>
      <c r="Y19" s="81" t="str">
        <f t="shared" si="30"/>
        <v/>
      </c>
      <c r="Z19" s="81" t="str">
        <f t="shared" si="30"/>
        <v/>
      </c>
      <c r="AA19" s="81" t="str">
        <f t="shared" si="30"/>
        <v/>
      </c>
      <c r="AB19" s="81" t="str">
        <f t="shared" si="30"/>
        <v/>
      </c>
      <c r="AC19" s="81" t="str">
        <f t="shared" si="30"/>
        <v/>
      </c>
      <c r="AD19" s="81" t="str">
        <f t="shared" si="30"/>
        <v/>
      </c>
      <c r="AE19" s="81" t="str">
        <f t="shared" si="30"/>
        <v/>
      </c>
      <c r="AF19" s="81" t="str">
        <f t="shared" si="30"/>
        <v/>
      </c>
      <c r="AG19" s="81" t="str">
        <f t="shared" si="30"/>
        <v/>
      </c>
      <c r="AH19" s="81" t="str">
        <f t="shared" si="30"/>
        <v/>
      </c>
      <c r="AI19" s="81" t="str">
        <f t="shared" si="30"/>
        <v/>
      </c>
      <c r="AJ19" s="81" t="str">
        <f t="shared" si="30"/>
        <v/>
      </c>
      <c r="AK19" s="81" t="str">
        <f t="shared" si="30"/>
        <v/>
      </c>
      <c r="AL19" s="81" t="str">
        <f t="shared" si="30"/>
        <v/>
      </c>
      <c r="AM19" s="81" t="str">
        <f t="shared" si="30"/>
        <v/>
      </c>
      <c r="AN19" s="81" t="str">
        <f t="shared" si="30"/>
        <v/>
      </c>
      <c r="AO19" s="81" t="str">
        <f t="shared" si="30"/>
        <v/>
      </c>
      <c r="AP19" s="81" t="str">
        <f t="shared" si="30"/>
        <v/>
      </c>
      <c r="AQ19" s="81" t="str">
        <f t="shared" si="30"/>
        <v/>
      </c>
      <c r="AR19" s="81" t="str">
        <f t="shared" si="30"/>
        <v/>
      </c>
      <c r="AS19" s="81" t="str">
        <f t="shared" si="30"/>
        <v/>
      </c>
      <c r="AT19" s="81" t="str">
        <f t="shared" si="30"/>
        <v/>
      </c>
      <c r="AU19" s="81" t="str">
        <f t="shared" si="30"/>
        <v/>
      </c>
      <c r="AV19" s="81" t="str">
        <f t="shared" si="30"/>
        <v/>
      </c>
      <c r="AW19" s="81" t="str">
        <f t="shared" si="30"/>
        <v/>
      </c>
      <c r="AX19" s="81" t="str">
        <f t="shared" si="30"/>
        <v/>
      </c>
      <c r="AY19" s="81" t="str">
        <f t="shared" si="30"/>
        <v/>
      </c>
      <c r="AZ19" s="81" t="str">
        <f t="shared" ref="AZ19:CC19" si="31">IFERROR(MID($A$2,AZ64,1),"")</f>
        <v/>
      </c>
      <c r="BA19" s="81" t="str">
        <f t="shared" si="31"/>
        <v/>
      </c>
      <c r="BB19" s="81" t="str">
        <f t="shared" si="31"/>
        <v/>
      </c>
      <c r="BC19" s="81" t="str">
        <f t="shared" si="31"/>
        <v/>
      </c>
      <c r="BD19" s="81" t="str">
        <f t="shared" si="31"/>
        <v/>
      </c>
      <c r="BE19" s="81" t="str">
        <f t="shared" si="31"/>
        <v/>
      </c>
      <c r="BF19" s="81" t="str">
        <f t="shared" si="31"/>
        <v/>
      </c>
      <c r="BG19" s="81" t="str">
        <f t="shared" si="31"/>
        <v/>
      </c>
      <c r="BH19" s="81" t="str">
        <f t="shared" si="31"/>
        <v/>
      </c>
      <c r="BI19" s="81" t="str">
        <f t="shared" si="31"/>
        <v/>
      </c>
      <c r="BJ19" s="81" t="str">
        <f t="shared" si="31"/>
        <v/>
      </c>
      <c r="BK19" s="81" t="str">
        <f t="shared" si="31"/>
        <v/>
      </c>
      <c r="BL19" s="81" t="str">
        <f t="shared" si="31"/>
        <v/>
      </c>
      <c r="BM19" s="81" t="str">
        <f t="shared" si="31"/>
        <v/>
      </c>
      <c r="BN19" s="81" t="str">
        <f t="shared" si="31"/>
        <v/>
      </c>
      <c r="BO19" s="81" t="str">
        <f t="shared" si="31"/>
        <v/>
      </c>
      <c r="BP19" s="81" t="str">
        <f t="shared" si="31"/>
        <v/>
      </c>
      <c r="BQ19" s="81" t="str">
        <f t="shared" si="31"/>
        <v/>
      </c>
      <c r="BR19" s="81" t="str">
        <f t="shared" si="31"/>
        <v/>
      </c>
      <c r="BS19" s="81" t="str">
        <f t="shared" si="31"/>
        <v/>
      </c>
      <c r="BT19" s="81" t="str">
        <f t="shared" si="31"/>
        <v/>
      </c>
      <c r="BU19" s="81" t="str">
        <f t="shared" si="31"/>
        <v/>
      </c>
      <c r="BV19" s="81" t="str">
        <f t="shared" si="31"/>
        <v/>
      </c>
      <c r="BW19" s="81" t="str">
        <f t="shared" si="31"/>
        <v/>
      </c>
      <c r="BX19" s="81" t="str">
        <f t="shared" si="31"/>
        <v/>
      </c>
      <c r="BY19" s="81" t="str">
        <f t="shared" si="31"/>
        <v/>
      </c>
      <c r="BZ19" s="81" t="str">
        <f t="shared" si="31"/>
        <v/>
      </c>
      <c r="CA19" s="81" t="str">
        <f t="shared" si="31"/>
        <v/>
      </c>
      <c r="CB19" s="81" t="str">
        <f t="shared" si="31"/>
        <v/>
      </c>
      <c r="CC19" s="81" t="str">
        <f t="shared" si="31"/>
        <v/>
      </c>
    </row>
    <row r="20" spans="1:81" x14ac:dyDescent="0.2">
      <c r="A20"/>
      <c r="B20"/>
      <c r="C20" s="51">
        <f t="shared" si="3"/>
        <v>13</v>
      </c>
      <c r="D20" s="51" t="str">
        <f t="shared" si="0"/>
        <v>DON'T</v>
      </c>
      <c r="E20" s="51">
        <f t="shared" si="4"/>
        <v>6</v>
      </c>
      <c r="F20" s="51">
        <f>IFERROR(IF(E20&lt;&gt;"",SUM(E$8:E20),""),"")</f>
        <v>72</v>
      </c>
      <c r="G20" s="52">
        <f t="shared" si="8"/>
        <v>2</v>
      </c>
      <c r="H20" s="52" t="str">
        <f t="shared" si="5"/>
        <v/>
      </c>
      <c r="I20" s="53">
        <f t="shared" si="9"/>
        <v>35</v>
      </c>
      <c r="J20" s="48"/>
      <c r="K20" s="49"/>
      <c r="L20" s="49"/>
      <c r="M20" s="50"/>
      <c r="N20" s="55">
        <v>13</v>
      </c>
      <c r="O20" s="52" t="str">
        <f t="shared" si="10"/>
        <v/>
      </c>
      <c r="P20" s="52" t="str">
        <f t="shared" si="11"/>
        <v/>
      </c>
      <c r="Q20" s="50"/>
      <c r="S20" s="47" t="s">
        <v>61</v>
      </c>
      <c r="T20" s="81" t="str">
        <f t="shared" ref="T20:AY20" si="32">IFERROR(MID($A$2,T65,1),"")</f>
        <v/>
      </c>
      <c r="U20" s="81" t="str">
        <f t="shared" si="32"/>
        <v/>
      </c>
      <c r="V20" s="81" t="str">
        <f t="shared" si="32"/>
        <v/>
      </c>
      <c r="W20" s="81" t="str">
        <f t="shared" si="32"/>
        <v/>
      </c>
      <c r="X20" s="81" t="str">
        <f t="shared" si="32"/>
        <v/>
      </c>
      <c r="Y20" s="81" t="str">
        <f t="shared" si="32"/>
        <v/>
      </c>
      <c r="Z20" s="81" t="str">
        <f t="shared" si="32"/>
        <v/>
      </c>
      <c r="AA20" s="81" t="str">
        <f t="shared" si="32"/>
        <v/>
      </c>
      <c r="AB20" s="81" t="str">
        <f t="shared" si="32"/>
        <v/>
      </c>
      <c r="AC20" s="81" t="str">
        <f t="shared" si="32"/>
        <v/>
      </c>
      <c r="AD20" s="81" t="str">
        <f t="shared" si="32"/>
        <v/>
      </c>
      <c r="AE20" s="81" t="str">
        <f t="shared" si="32"/>
        <v/>
      </c>
      <c r="AF20" s="81" t="str">
        <f t="shared" si="32"/>
        <v/>
      </c>
      <c r="AG20" s="81" t="str">
        <f t="shared" si="32"/>
        <v/>
      </c>
      <c r="AH20" s="81" t="str">
        <f t="shared" si="32"/>
        <v/>
      </c>
      <c r="AI20" s="81" t="str">
        <f t="shared" si="32"/>
        <v/>
      </c>
      <c r="AJ20" s="81" t="str">
        <f t="shared" si="32"/>
        <v/>
      </c>
      <c r="AK20" s="81" t="str">
        <f t="shared" si="32"/>
        <v/>
      </c>
      <c r="AL20" s="81" t="str">
        <f t="shared" si="32"/>
        <v/>
      </c>
      <c r="AM20" s="81" t="str">
        <f t="shared" si="32"/>
        <v/>
      </c>
      <c r="AN20" s="81" t="str">
        <f t="shared" si="32"/>
        <v/>
      </c>
      <c r="AO20" s="81" t="str">
        <f t="shared" si="32"/>
        <v/>
      </c>
      <c r="AP20" s="81" t="str">
        <f t="shared" si="32"/>
        <v/>
      </c>
      <c r="AQ20" s="81" t="str">
        <f t="shared" si="32"/>
        <v/>
      </c>
      <c r="AR20" s="81" t="str">
        <f t="shared" si="32"/>
        <v/>
      </c>
      <c r="AS20" s="81" t="str">
        <f t="shared" si="32"/>
        <v/>
      </c>
      <c r="AT20" s="81" t="str">
        <f t="shared" si="32"/>
        <v/>
      </c>
      <c r="AU20" s="81" t="str">
        <f t="shared" si="32"/>
        <v/>
      </c>
      <c r="AV20" s="81" t="str">
        <f t="shared" si="32"/>
        <v/>
      </c>
      <c r="AW20" s="81" t="str">
        <f t="shared" si="32"/>
        <v/>
      </c>
      <c r="AX20" s="81" t="str">
        <f t="shared" si="32"/>
        <v/>
      </c>
      <c r="AY20" s="81" t="str">
        <f t="shared" si="32"/>
        <v/>
      </c>
      <c r="AZ20" s="81" t="str">
        <f t="shared" ref="AZ20:CC20" si="33">IFERROR(MID($A$2,AZ65,1),"")</f>
        <v/>
      </c>
      <c r="BA20" s="81" t="str">
        <f t="shared" si="33"/>
        <v/>
      </c>
      <c r="BB20" s="81" t="str">
        <f t="shared" si="33"/>
        <v/>
      </c>
      <c r="BC20" s="81" t="str">
        <f t="shared" si="33"/>
        <v/>
      </c>
      <c r="BD20" s="81" t="str">
        <f t="shared" si="33"/>
        <v/>
      </c>
      <c r="BE20" s="81" t="str">
        <f t="shared" si="33"/>
        <v/>
      </c>
      <c r="BF20" s="81" t="str">
        <f t="shared" si="33"/>
        <v/>
      </c>
      <c r="BG20" s="81" t="str">
        <f t="shared" si="33"/>
        <v/>
      </c>
      <c r="BH20" s="81" t="str">
        <f t="shared" si="33"/>
        <v/>
      </c>
      <c r="BI20" s="81" t="str">
        <f t="shared" si="33"/>
        <v/>
      </c>
      <c r="BJ20" s="81" t="str">
        <f t="shared" si="33"/>
        <v/>
      </c>
      <c r="BK20" s="81" t="str">
        <f t="shared" si="33"/>
        <v/>
      </c>
      <c r="BL20" s="81" t="str">
        <f t="shared" si="33"/>
        <v/>
      </c>
      <c r="BM20" s="81" t="str">
        <f t="shared" si="33"/>
        <v/>
      </c>
      <c r="BN20" s="81" t="str">
        <f t="shared" si="33"/>
        <v/>
      </c>
      <c r="BO20" s="81" t="str">
        <f t="shared" si="33"/>
        <v/>
      </c>
      <c r="BP20" s="81" t="str">
        <f t="shared" si="33"/>
        <v/>
      </c>
      <c r="BQ20" s="81" t="str">
        <f t="shared" si="33"/>
        <v/>
      </c>
      <c r="BR20" s="81" t="str">
        <f t="shared" si="33"/>
        <v/>
      </c>
      <c r="BS20" s="81" t="str">
        <f t="shared" si="33"/>
        <v/>
      </c>
      <c r="BT20" s="81" t="str">
        <f t="shared" si="33"/>
        <v/>
      </c>
      <c r="BU20" s="81" t="str">
        <f t="shared" si="33"/>
        <v/>
      </c>
      <c r="BV20" s="81" t="str">
        <f t="shared" si="33"/>
        <v/>
      </c>
      <c r="BW20" s="81" t="str">
        <f t="shared" si="33"/>
        <v/>
      </c>
      <c r="BX20" s="81" t="str">
        <f t="shared" si="33"/>
        <v/>
      </c>
      <c r="BY20" s="81" t="str">
        <f t="shared" si="33"/>
        <v/>
      </c>
      <c r="BZ20" s="81" t="str">
        <f t="shared" si="33"/>
        <v/>
      </c>
      <c r="CA20" s="81" t="str">
        <f t="shared" si="33"/>
        <v/>
      </c>
      <c r="CB20" s="81" t="str">
        <f t="shared" si="33"/>
        <v/>
      </c>
      <c r="CC20" s="81" t="str">
        <f t="shared" si="33"/>
        <v/>
      </c>
    </row>
    <row r="21" spans="1:81" x14ac:dyDescent="0.2">
      <c r="A21"/>
      <c r="B21"/>
      <c r="C21" s="51">
        <f t="shared" si="3"/>
        <v>14</v>
      </c>
      <c r="D21" s="51" t="str">
        <f t="shared" si="0"/>
        <v>GET</v>
      </c>
      <c r="E21" s="51">
        <f t="shared" si="4"/>
        <v>4</v>
      </c>
      <c r="F21" s="51">
        <f>IFERROR(IF(E21&lt;&gt;"",SUM(E$8:E21),""),"")</f>
        <v>76</v>
      </c>
      <c r="G21" s="52">
        <f t="shared" si="8"/>
        <v>2</v>
      </c>
      <c r="H21" s="52">
        <f t="shared" si="5"/>
        <v>76</v>
      </c>
      <c r="I21" s="53">
        <f t="shared" si="9"/>
        <v>39</v>
      </c>
      <c r="J21" s="48"/>
      <c r="K21" s="49"/>
      <c r="L21" s="49"/>
      <c r="M21" s="50"/>
      <c r="N21" s="55">
        <v>14</v>
      </c>
      <c r="O21" s="52" t="str">
        <f t="shared" si="10"/>
        <v/>
      </c>
      <c r="P21" s="52" t="str">
        <f t="shared" si="11"/>
        <v/>
      </c>
      <c r="Q21" s="50"/>
      <c r="S21" s="47" t="s">
        <v>62</v>
      </c>
      <c r="T21" s="81" t="str">
        <f t="shared" ref="T21:AY21" si="34">IFERROR(MID($A$2,T66,1),"")</f>
        <v/>
      </c>
      <c r="U21" s="81" t="str">
        <f t="shared" si="34"/>
        <v/>
      </c>
      <c r="V21" s="81" t="str">
        <f t="shared" si="34"/>
        <v/>
      </c>
      <c r="W21" s="81" t="str">
        <f t="shared" si="34"/>
        <v/>
      </c>
      <c r="X21" s="81" t="str">
        <f t="shared" si="34"/>
        <v/>
      </c>
      <c r="Y21" s="81" t="str">
        <f t="shared" si="34"/>
        <v/>
      </c>
      <c r="Z21" s="81" t="str">
        <f t="shared" si="34"/>
        <v/>
      </c>
      <c r="AA21" s="81" t="str">
        <f t="shared" si="34"/>
        <v/>
      </c>
      <c r="AB21" s="81" t="str">
        <f t="shared" si="34"/>
        <v/>
      </c>
      <c r="AC21" s="81" t="str">
        <f t="shared" si="34"/>
        <v/>
      </c>
      <c r="AD21" s="81" t="str">
        <f t="shared" si="34"/>
        <v/>
      </c>
      <c r="AE21" s="81" t="str">
        <f t="shared" si="34"/>
        <v/>
      </c>
      <c r="AF21" s="81" t="str">
        <f t="shared" si="34"/>
        <v/>
      </c>
      <c r="AG21" s="81" t="str">
        <f t="shared" si="34"/>
        <v/>
      </c>
      <c r="AH21" s="81" t="str">
        <f t="shared" si="34"/>
        <v/>
      </c>
      <c r="AI21" s="81" t="str">
        <f t="shared" si="34"/>
        <v/>
      </c>
      <c r="AJ21" s="81" t="str">
        <f t="shared" si="34"/>
        <v/>
      </c>
      <c r="AK21" s="81" t="str">
        <f t="shared" si="34"/>
        <v/>
      </c>
      <c r="AL21" s="81" t="str">
        <f t="shared" si="34"/>
        <v/>
      </c>
      <c r="AM21" s="81" t="str">
        <f t="shared" si="34"/>
        <v/>
      </c>
      <c r="AN21" s="81" t="str">
        <f t="shared" si="34"/>
        <v/>
      </c>
      <c r="AO21" s="81" t="str">
        <f t="shared" si="34"/>
        <v/>
      </c>
      <c r="AP21" s="81" t="str">
        <f t="shared" si="34"/>
        <v/>
      </c>
      <c r="AQ21" s="81" t="str">
        <f t="shared" si="34"/>
        <v/>
      </c>
      <c r="AR21" s="81" t="str">
        <f t="shared" si="34"/>
        <v/>
      </c>
      <c r="AS21" s="81" t="str">
        <f t="shared" si="34"/>
        <v/>
      </c>
      <c r="AT21" s="81" t="str">
        <f t="shared" si="34"/>
        <v/>
      </c>
      <c r="AU21" s="81" t="str">
        <f t="shared" si="34"/>
        <v/>
      </c>
      <c r="AV21" s="81" t="str">
        <f t="shared" si="34"/>
        <v/>
      </c>
      <c r="AW21" s="81" t="str">
        <f t="shared" si="34"/>
        <v/>
      </c>
      <c r="AX21" s="81" t="str">
        <f t="shared" si="34"/>
        <v/>
      </c>
      <c r="AY21" s="81" t="str">
        <f t="shared" si="34"/>
        <v/>
      </c>
      <c r="AZ21" s="81" t="str">
        <f t="shared" ref="AZ21:CC21" si="35">IFERROR(MID($A$2,AZ66,1),"")</f>
        <v/>
      </c>
      <c r="BA21" s="81" t="str">
        <f t="shared" si="35"/>
        <v/>
      </c>
      <c r="BB21" s="81" t="str">
        <f t="shared" si="35"/>
        <v/>
      </c>
      <c r="BC21" s="81" t="str">
        <f t="shared" si="35"/>
        <v/>
      </c>
      <c r="BD21" s="81" t="str">
        <f t="shared" si="35"/>
        <v/>
      </c>
      <c r="BE21" s="81" t="str">
        <f t="shared" si="35"/>
        <v/>
      </c>
      <c r="BF21" s="81" t="str">
        <f t="shared" si="35"/>
        <v/>
      </c>
      <c r="BG21" s="81" t="str">
        <f t="shared" si="35"/>
        <v/>
      </c>
      <c r="BH21" s="81" t="str">
        <f t="shared" si="35"/>
        <v/>
      </c>
      <c r="BI21" s="81" t="str">
        <f t="shared" si="35"/>
        <v/>
      </c>
      <c r="BJ21" s="81" t="str">
        <f t="shared" si="35"/>
        <v/>
      </c>
      <c r="BK21" s="81" t="str">
        <f t="shared" si="35"/>
        <v/>
      </c>
      <c r="BL21" s="81" t="str">
        <f t="shared" si="35"/>
        <v/>
      </c>
      <c r="BM21" s="81" t="str">
        <f t="shared" si="35"/>
        <v/>
      </c>
      <c r="BN21" s="81" t="str">
        <f t="shared" si="35"/>
        <v/>
      </c>
      <c r="BO21" s="81" t="str">
        <f t="shared" si="35"/>
        <v/>
      </c>
      <c r="BP21" s="81" t="str">
        <f t="shared" si="35"/>
        <v/>
      </c>
      <c r="BQ21" s="81" t="str">
        <f t="shared" si="35"/>
        <v/>
      </c>
      <c r="BR21" s="81" t="str">
        <f t="shared" si="35"/>
        <v/>
      </c>
      <c r="BS21" s="81" t="str">
        <f t="shared" si="35"/>
        <v/>
      </c>
      <c r="BT21" s="81" t="str">
        <f t="shared" si="35"/>
        <v/>
      </c>
      <c r="BU21" s="81" t="str">
        <f t="shared" si="35"/>
        <v/>
      </c>
      <c r="BV21" s="81" t="str">
        <f t="shared" si="35"/>
        <v/>
      </c>
      <c r="BW21" s="81" t="str">
        <f t="shared" si="35"/>
        <v/>
      </c>
      <c r="BX21" s="81" t="str">
        <f t="shared" si="35"/>
        <v/>
      </c>
      <c r="BY21" s="81" t="str">
        <f t="shared" si="35"/>
        <v/>
      </c>
      <c r="BZ21" s="81" t="str">
        <f t="shared" si="35"/>
        <v/>
      </c>
      <c r="CA21" s="81" t="str">
        <f t="shared" si="35"/>
        <v/>
      </c>
      <c r="CB21" s="81" t="str">
        <f t="shared" si="35"/>
        <v/>
      </c>
      <c r="CC21" s="81" t="str">
        <f t="shared" si="35"/>
        <v/>
      </c>
    </row>
    <row r="22" spans="1:81" x14ac:dyDescent="0.2">
      <c r="A22"/>
      <c r="B22"/>
      <c r="C22" s="51">
        <f t="shared" si="3"/>
        <v>15</v>
      </c>
      <c r="D22" s="51" t="str">
        <f t="shared" si="0"/>
        <v>ON</v>
      </c>
      <c r="E22" s="51">
        <f t="shared" si="4"/>
        <v>3</v>
      </c>
      <c r="F22" s="51">
        <f>IFERROR(IF(E22&lt;&gt;"",SUM(E$8:E22),""),"")</f>
        <v>79</v>
      </c>
      <c r="G22" s="52">
        <f t="shared" si="8"/>
        <v>3</v>
      </c>
      <c r="H22" s="52" t="str">
        <f t="shared" si="5"/>
        <v/>
      </c>
      <c r="I22" s="53">
        <f t="shared" si="9"/>
        <v>3</v>
      </c>
      <c r="J22" s="48"/>
      <c r="K22" s="49"/>
      <c r="L22" s="49"/>
      <c r="M22" s="50"/>
      <c r="N22" s="55">
        <v>15</v>
      </c>
      <c r="O22" s="52" t="str">
        <f t="shared" si="10"/>
        <v/>
      </c>
      <c r="P22" s="52" t="str">
        <f t="shared" si="11"/>
        <v/>
      </c>
      <c r="Q22" s="50"/>
      <c r="S22" s="47" t="s">
        <v>63</v>
      </c>
      <c r="T22" s="81" t="str">
        <f t="shared" ref="T22:AY22" si="36">IFERROR(MID($A$2,T67,1),"")</f>
        <v/>
      </c>
      <c r="U22" s="81" t="str">
        <f t="shared" si="36"/>
        <v/>
      </c>
      <c r="V22" s="81" t="str">
        <f t="shared" si="36"/>
        <v/>
      </c>
      <c r="W22" s="81" t="str">
        <f t="shared" si="36"/>
        <v/>
      </c>
      <c r="X22" s="81" t="str">
        <f t="shared" si="36"/>
        <v/>
      </c>
      <c r="Y22" s="81" t="str">
        <f t="shared" si="36"/>
        <v/>
      </c>
      <c r="Z22" s="81" t="str">
        <f t="shared" si="36"/>
        <v/>
      </c>
      <c r="AA22" s="81" t="str">
        <f t="shared" si="36"/>
        <v/>
      </c>
      <c r="AB22" s="81" t="str">
        <f t="shared" si="36"/>
        <v/>
      </c>
      <c r="AC22" s="81" t="str">
        <f t="shared" si="36"/>
        <v/>
      </c>
      <c r="AD22" s="81" t="str">
        <f t="shared" si="36"/>
        <v/>
      </c>
      <c r="AE22" s="81" t="str">
        <f t="shared" si="36"/>
        <v/>
      </c>
      <c r="AF22" s="81" t="str">
        <f t="shared" si="36"/>
        <v/>
      </c>
      <c r="AG22" s="81" t="str">
        <f t="shared" si="36"/>
        <v/>
      </c>
      <c r="AH22" s="81" t="str">
        <f t="shared" si="36"/>
        <v/>
      </c>
      <c r="AI22" s="81" t="str">
        <f t="shared" si="36"/>
        <v/>
      </c>
      <c r="AJ22" s="81" t="str">
        <f t="shared" si="36"/>
        <v/>
      </c>
      <c r="AK22" s="81" t="str">
        <f t="shared" si="36"/>
        <v/>
      </c>
      <c r="AL22" s="81" t="str">
        <f t="shared" si="36"/>
        <v/>
      </c>
      <c r="AM22" s="81" t="str">
        <f t="shared" si="36"/>
        <v/>
      </c>
      <c r="AN22" s="81" t="str">
        <f t="shared" si="36"/>
        <v/>
      </c>
      <c r="AO22" s="81" t="str">
        <f t="shared" si="36"/>
        <v/>
      </c>
      <c r="AP22" s="81" t="str">
        <f t="shared" si="36"/>
        <v/>
      </c>
      <c r="AQ22" s="81" t="str">
        <f t="shared" si="36"/>
        <v/>
      </c>
      <c r="AR22" s="81" t="str">
        <f t="shared" si="36"/>
        <v/>
      </c>
      <c r="AS22" s="81" t="str">
        <f t="shared" si="36"/>
        <v/>
      </c>
      <c r="AT22" s="81" t="str">
        <f t="shared" si="36"/>
        <v/>
      </c>
      <c r="AU22" s="81" t="str">
        <f t="shared" si="36"/>
        <v/>
      </c>
      <c r="AV22" s="81" t="str">
        <f t="shared" si="36"/>
        <v/>
      </c>
      <c r="AW22" s="81" t="str">
        <f t="shared" si="36"/>
        <v/>
      </c>
      <c r="AX22" s="81" t="str">
        <f t="shared" si="36"/>
        <v/>
      </c>
      <c r="AY22" s="81" t="str">
        <f t="shared" si="36"/>
        <v/>
      </c>
      <c r="AZ22" s="81" t="str">
        <f t="shared" ref="AZ22:CC22" si="37">IFERROR(MID($A$2,AZ67,1),"")</f>
        <v/>
      </c>
      <c r="BA22" s="81" t="str">
        <f t="shared" si="37"/>
        <v/>
      </c>
      <c r="BB22" s="81" t="str">
        <f t="shared" si="37"/>
        <v/>
      </c>
      <c r="BC22" s="81" t="str">
        <f t="shared" si="37"/>
        <v/>
      </c>
      <c r="BD22" s="81" t="str">
        <f t="shared" si="37"/>
        <v/>
      </c>
      <c r="BE22" s="81" t="str">
        <f t="shared" si="37"/>
        <v/>
      </c>
      <c r="BF22" s="81" t="str">
        <f t="shared" si="37"/>
        <v/>
      </c>
      <c r="BG22" s="81" t="str">
        <f t="shared" si="37"/>
        <v/>
      </c>
      <c r="BH22" s="81" t="str">
        <f t="shared" si="37"/>
        <v/>
      </c>
      <c r="BI22" s="81" t="str">
        <f t="shared" si="37"/>
        <v/>
      </c>
      <c r="BJ22" s="81" t="str">
        <f t="shared" si="37"/>
        <v/>
      </c>
      <c r="BK22" s="81" t="str">
        <f t="shared" si="37"/>
        <v/>
      </c>
      <c r="BL22" s="81" t="str">
        <f t="shared" si="37"/>
        <v/>
      </c>
      <c r="BM22" s="81" t="str">
        <f t="shared" si="37"/>
        <v/>
      </c>
      <c r="BN22" s="81" t="str">
        <f t="shared" si="37"/>
        <v/>
      </c>
      <c r="BO22" s="81" t="str">
        <f t="shared" si="37"/>
        <v/>
      </c>
      <c r="BP22" s="81" t="str">
        <f t="shared" si="37"/>
        <v/>
      </c>
      <c r="BQ22" s="81" t="str">
        <f t="shared" si="37"/>
        <v/>
      </c>
      <c r="BR22" s="81" t="str">
        <f t="shared" si="37"/>
        <v/>
      </c>
      <c r="BS22" s="81" t="str">
        <f t="shared" si="37"/>
        <v/>
      </c>
      <c r="BT22" s="81" t="str">
        <f t="shared" si="37"/>
        <v/>
      </c>
      <c r="BU22" s="81" t="str">
        <f t="shared" si="37"/>
        <v/>
      </c>
      <c r="BV22" s="81" t="str">
        <f t="shared" si="37"/>
        <v/>
      </c>
      <c r="BW22" s="81" t="str">
        <f t="shared" si="37"/>
        <v/>
      </c>
      <c r="BX22" s="81" t="str">
        <f t="shared" si="37"/>
        <v/>
      </c>
      <c r="BY22" s="81" t="str">
        <f t="shared" si="37"/>
        <v/>
      </c>
      <c r="BZ22" s="81" t="str">
        <f t="shared" si="37"/>
        <v/>
      </c>
      <c r="CA22" s="81" t="str">
        <f t="shared" si="37"/>
        <v/>
      </c>
      <c r="CB22" s="81" t="str">
        <f t="shared" si="37"/>
        <v/>
      </c>
      <c r="CC22" s="81" t="str">
        <f t="shared" si="37"/>
        <v/>
      </c>
    </row>
    <row r="23" spans="1:81" x14ac:dyDescent="0.2">
      <c r="A23"/>
      <c r="B23"/>
      <c r="C23" s="51">
        <f t="shared" si="3"/>
        <v>16</v>
      </c>
      <c r="D23" s="51" t="str">
        <f t="shared" si="0"/>
        <v>THE</v>
      </c>
      <c r="E23" s="51">
        <f t="shared" si="4"/>
        <v>4</v>
      </c>
      <c r="F23" s="51">
        <f>IFERROR(IF(E23&lt;&gt;"",SUM(E$8:E23),""),"")</f>
        <v>83</v>
      </c>
      <c r="G23" s="52">
        <f t="shared" si="8"/>
        <v>3</v>
      </c>
      <c r="H23" s="52" t="str">
        <f t="shared" si="5"/>
        <v/>
      </c>
      <c r="I23" s="53">
        <f t="shared" si="9"/>
        <v>7</v>
      </c>
      <c r="J23" s="48"/>
      <c r="K23" s="49"/>
      <c r="L23" s="49"/>
      <c r="M23" s="50"/>
      <c r="N23" s="50"/>
      <c r="O23" s="50"/>
      <c r="P23" s="50"/>
      <c r="Q23" s="50"/>
    </row>
    <row r="24" spans="1:81" x14ac:dyDescent="0.2">
      <c r="A24"/>
      <c r="B24"/>
      <c r="C24" s="51">
        <f t="shared" si="3"/>
        <v>17</v>
      </c>
      <c r="D24" s="51" t="str">
        <f t="shared" si="0"/>
        <v>WRONG</v>
      </c>
      <c r="E24" s="51">
        <f t="shared" si="4"/>
        <v>6</v>
      </c>
      <c r="F24" s="51">
        <f>IFERROR(IF(E24&lt;&gt;"",SUM(E$8:E24),""),"")</f>
        <v>89</v>
      </c>
      <c r="G24" s="52">
        <f t="shared" si="8"/>
        <v>3</v>
      </c>
      <c r="H24" s="52" t="str">
        <f t="shared" si="5"/>
        <v/>
      </c>
      <c r="I24" s="53">
        <f t="shared" si="9"/>
        <v>13</v>
      </c>
      <c r="J24" s="48"/>
      <c r="K24" s="49"/>
      <c r="L24" s="49"/>
      <c r="M24" s="50"/>
      <c r="N24" s="50"/>
      <c r="O24" s="50"/>
      <c r="P24" s="50"/>
      <c r="Q24" s="50"/>
    </row>
    <row r="25" spans="1:81" x14ac:dyDescent="0.2">
      <c r="A25"/>
      <c r="B25"/>
      <c r="C25" s="51">
        <f t="shared" si="3"/>
        <v>18</v>
      </c>
      <c r="D25" s="51" t="str">
        <f t="shared" si="0"/>
        <v>TRACK</v>
      </c>
      <c r="E25" s="51">
        <f t="shared" si="4"/>
        <v>6</v>
      </c>
      <c r="F25" s="51">
        <f>IFERROR(IF(E25&lt;&gt;"",SUM(E$8:E25),""),"")</f>
        <v>95</v>
      </c>
      <c r="G25" s="52">
        <f t="shared" si="8"/>
        <v>3</v>
      </c>
      <c r="H25" s="52" t="str">
        <f t="shared" si="5"/>
        <v/>
      </c>
      <c r="I25" s="53">
        <f t="shared" si="9"/>
        <v>19</v>
      </c>
      <c r="J25" s="48"/>
      <c r="K25" s="49"/>
      <c r="L25" s="49"/>
      <c r="M25" s="50"/>
      <c r="N25" s="50"/>
      <c r="O25" s="50"/>
      <c r="P25" s="50"/>
      <c r="Q25" s="50"/>
    </row>
    <row r="26" spans="1:81" x14ac:dyDescent="0.2">
      <c r="A26"/>
      <c r="B26"/>
      <c r="C26" s="51">
        <f t="shared" si="3"/>
        <v>19</v>
      </c>
      <c r="D26" s="51" t="str">
        <f t="shared" si="0"/>
        <v>OR</v>
      </c>
      <c r="E26" s="51">
        <f t="shared" si="4"/>
        <v>3</v>
      </c>
      <c r="F26" s="51">
        <f>IFERROR(IF(E26&lt;&gt;"",SUM(E$8:E26),""),"")</f>
        <v>98</v>
      </c>
      <c r="G26" s="52">
        <f t="shared" si="8"/>
        <v>3</v>
      </c>
      <c r="H26" s="52" t="str">
        <f t="shared" si="5"/>
        <v/>
      </c>
      <c r="I26" s="53">
        <f t="shared" si="9"/>
        <v>22</v>
      </c>
      <c r="J26" s="48"/>
      <c r="K26" s="49"/>
      <c r="L26" s="49"/>
      <c r="M26" s="50"/>
      <c r="N26" s="50"/>
      <c r="O26" s="50"/>
      <c r="P26" s="50"/>
      <c r="Q26" s="50"/>
    </row>
    <row r="27" spans="1:81" x14ac:dyDescent="0.2">
      <c r="A27"/>
      <c r="B27"/>
      <c r="C27" s="51">
        <f t="shared" si="3"/>
        <v>20</v>
      </c>
      <c r="D27" s="51" t="str">
        <f t="shared" si="0"/>
        <v>TRY</v>
      </c>
      <c r="E27" s="51">
        <f t="shared" si="4"/>
        <v>4</v>
      </c>
      <c r="F27" s="51">
        <f>IFERROR(IF(E27&lt;&gt;"",SUM(E$8:E27),""),"")</f>
        <v>102</v>
      </c>
      <c r="G27" s="52">
        <f t="shared" si="8"/>
        <v>3</v>
      </c>
      <c r="H27" s="52" t="str">
        <f t="shared" si="5"/>
        <v/>
      </c>
      <c r="I27" s="53">
        <f t="shared" si="9"/>
        <v>26</v>
      </c>
      <c r="J27" s="48"/>
      <c r="K27" s="49"/>
      <c r="L27" s="49"/>
      <c r="M27" s="50"/>
      <c r="N27" s="50"/>
      <c r="O27" s="50"/>
      <c r="P27" s="50"/>
      <c r="Q27" s="50"/>
    </row>
    <row r="28" spans="1:81" x14ac:dyDescent="0.2">
      <c r="A28"/>
      <c r="B28"/>
      <c r="C28" s="51">
        <f t="shared" si="3"/>
        <v>21</v>
      </c>
      <c r="D28" s="51" t="str">
        <f t="shared" si="0"/>
        <v>TO</v>
      </c>
      <c r="E28" s="51">
        <f t="shared" si="4"/>
        <v>3</v>
      </c>
      <c r="F28" s="51">
        <f>IFERROR(IF(E28&lt;&gt;"",SUM(E$8:E28),""),"")</f>
        <v>105</v>
      </c>
      <c r="G28" s="52">
        <f t="shared" si="8"/>
        <v>3</v>
      </c>
      <c r="H28" s="52" t="str">
        <f t="shared" si="5"/>
        <v/>
      </c>
      <c r="I28" s="53">
        <f t="shared" si="9"/>
        <v>29</v>
      </c>
      <c r="J28" s="48"/>
      <c r="K28" s="49"/>
      <c r="L28" s="49"/>
      <c r="M28" s="50"/>
      <c r="N28" s="50"/>
      <c r="O28" s="50"/>
      <c r="P28" s="50"/>
      <c r="Q28" s="50"/>
    </row>
    <row r="29" spans="1:81" x14ac:dyDescent="0.2">
      <c r="A29"/>
      <c r="B29"/>
      <c r="C29" s="51">
        <f t="shared" si="3"/>
        <v>22</v>
      </c>
      <c r="D29" s="51" t="str">
        <f t="shared" si="0"/>
        <v>DO</v>
      </c>
      <c r="E29" s="51">
        <f t="shared" si="4"/>
        <v>3</v>
      </c>
      <c r="F29" s="51">
        <f>IFERROR(IF(E29&lt;&gt;"",SUM(E$8:E29),""),"")</f>
        <v>108</v>
      </c>
      <c r="G29" s="52">
        <f t="shared" si="8"/>
        <v>3</v>
      </c>
      <c r="H29" s="52" t="str">
        <f t="shared" si="5"/>
        <v/>
      </c>
      <c r="I29" s="53">
        <f t="shared" si="9"/>
        <v>32</v>
      </c>
      <c r="J29" s="48"/>
      <c r="K29" s="49"/>
      <c r="L29" s="49"/>
      <c r="M29" s="50"/>
      <c r="N29" s="50"/>
      <c r="O29" s="50"/>
      <c r="P29" s="50"/>
      <c r="Q29" s="50"/>
    </row>
    <row r="30" spans="1:81" x14ac:dyDescent="0.2">
      <c r="A30"/>
      <c r="B30"/>
      <c r="C30" s="51">
        <f t="shared" si="3"/>
        <v>23</v>
      </c>
      <c r="D30" s="51" t="str">
        <f t="shared" si="0"/>
        <v>TOO</v>
      </c>
      <c r="E30" s="51">
        <f t="shared" si="4"/>
        <v>4</v>
      </c>
      <c r="F30" s="51">
        <f>IFERROR(IF(E30&lt;&gt;"",SUM(E$8:E30),""),"")</f>
        <v>112</v>
      </c>
      <c r="G30" s="52">
        <f t="shared" si="8"/>
        <v>3</v>
      </c>
      <c r="H30" s="52">
        <f t="shared" si="5"/>
        <v>112</v>
      </c>
      <c r="I30" s="53">
        <f t="shared" si="9"/>
        <v>36</v>
      </c>
      <c r="J30" s="48"/>
      <c r="K30" s="49"/>
      <c r="L30" s="49"/>
      <c r="M30" s="50"/>
      <c r="N30" s="50"/>
      <c r="O30" s="50"/>
      <c r="P30" s="50"/>
      <c r="Q30" s="50"/>
    </row>
    <row r="31" spans="1:81" x14ac:dyDescent="0.2">
      <c r="A31"/>
      <c r="B31"/>
      <c r="C31" s="51">
        <f t="shared" si="3"/>
        <v>24</v>
      </c>
      <c r="D31" s="51" t="str">
        <f t="shared" si="0"/>
        <v>MUCH.</v>
      </c>
      <c r="E31" s="51">
        <f t="shared" si="4"/>
        <v>6</v>
      </c>
      <c r="F31" s="51">
        <f>IFERROR(IF(E31&lt;&gt;"",SUM(E$8:E31),""),"")</f>
        <v>118</v>
      </c>
      <c r="G31" s="52">
        <f t="shared" si="8"/>
        <v>4</v>
      </c>
      <c r="H31" s="52" t="str">
        <f t="shared" si="5"/>
        <v/>
      </c>
      <c r="I31" s="53">
        <f t="shared" si="9"/>
        <v>6</v>
      </c>
      <c r="J31" s="48"/>
      <c r="K31" s="49"/>
      <c r="L31" s="49"/>
      <c r="M31" s="50"/>
      <c r="N31" s="50"/>
      <c r="O31" s="50"/>
      <c r="P31" s="50"/>
      <c r="Q31" s="50"/>
    </row>
    <row r="32" spans="1:81" x14ac:dyDescent="0.2">
      <c r="A32"/>
      <c r="B32"/>
      <c r="C32" s="51">
        <f t="shared" si="3"/>
        <v>25</v>
      </c>
      <c r="D32" s="51" t="str">
        <f t="shared" si="0"/>
        <v>WE'RE</v>
      </c>
      <c r="E32" s="51">
        <f t="shared" si="4"/>
        <v>6</v>
      </c>
      <c r="F32" s="51">
        <f>IFERROR(IF(E32&lt;&gt;"",SUM(E$8:E32),""),"")</f>
        <v>124</v>
      </c>
      <c r="G32" s="52">
        <f t="shared" si="8"/>
        <v>4</v>
      </c>
      <c r="H32" s="52" t="str">
        <f t="shared" si="5"/>
        <v/>
      </c>
      <c r="I32" s="53">
        <f t="shared" si="9"/>
        <v>12</v>
      </c>
      <c r="J32" s="48"/>
      <c r="K32" s="49"/>
      <c r="L32" s="49"/>
      <c r="M32" s="50"/>
      <c r="N32" s="50"/>
      <c r="O32" s="50"/>
      <c r="P32" s="50"/>
      <c r="Q32" s="50"/>
    </row>
    <row r="33" spans="1:17" x14ac:dyDescent="0.2">
      <c r="A33"/>
      <c r="B33"/>
      <c r="C33" s="51">
        <f t="shared" si="3"/>
        <v>26</v>
      </c>
      <c r="D33" s="51" t="str">
        <f t="shared" si="0"/>
        <v>ALWAYS</v>
      </c>
      <c r="E33" s="51">
        <f t="shared" si="4"/>
        <v>7</v>
      </c>
      <c r="F33" s="51">
        <f>IFERROR(IF(E33&lt;&gt;"",SUM(E$8:E33),""),"")</f>
        <v>131</v>
      </c>
      <c r="G33" s="52">
        <f t="shared" si="8"/>
        <v>4</v>
      </c>
      <c r="H33" s="52" t="str">
        <f t="shared" si="5"/>
        <v/>
      </c>
      <c r="I33" s="53">
        <f t="shared" si="9"/>
        <v>19</v>
      </c>
      <c r="J33" s="48"/>
      <c r="K33" s="49"/>
      <c r="L33" s="49"/>
      <c r="M33" s="50"/>
      <c r="N33" s="50"/>
      <c r="O33" s="50"/>
      <c r="P33" s="50"/>
      <c r="Q33" s="50"/>
    </row>
    <row r="34" spans="1:17" x14ac:dyDescent="0.2">
      <c r="A34"/>
      <c r="B34"/>
      <c r="C34" s="51">
        <f t="shared" si="3"/>
        <v>27</v>
      </c>
      <c r="D34" s="51" t="str">
        <f t="shared" si="0"/>
        <v>THINKING</v>
      </c>
      <c r="E34" s="51">
        <f t="shared" si="4"/>
        <v>9</v>
      </c>
      <c r="F34" s="51">
        <f>IFERROR(IF(E34&lt;&gt;"",SUM(E$8:E34),""),"")</f>
        <v>140</v>
      </c>
      <c r="G34" s="52">
        <f t="shared" si="8"/>
        <v>4</v>
      </c>
      <c r="H34" s="52" t="str">
        <f t="shared" si="5"/>
        <v/>
      </c>
      <c r="I34" s="53">
        <f t="shared" si="9"/>
        <v>28</v>
      </c>
      <c r="J34" s="48"/>
      <c r="K34" s="49"/>
      <c r="L34" s="49"/>
      <c r="M34" s="50"/>
      <c r="N34" s="50"/>
      <c r="O34" s="50"/>
      <c r="P34" s="50"/>
      <c r="Q34" s="50"/>
    </row>
    <row r="35" spans="1:17" x14ac:dyDescent="0.2">
      <c r="A35"/>
      <c r="B35"/>
      <c r="C35" s="51">
        <f t="shared" si="3"/>
        <v>28</v>
      </c>
      <c r="D35" s="51" t="str">
        <f t="shared" si="0"/>
        <v>ABOUT</v>
      </c>
      <c r="E35" s="51">
        <f t="shared" si="4"/>
        <v>6</v>
      </c>
      <c r="F35" s="51">
        <f>IFERROR(IF(E35&lt;&gt;"",SUM(E$8:E35),""),"")</f>
        <v>146</v>
      </c>
      <c r="G35" s="52">
        <f t="shared" si="8"/>
        <v>4</v>
      </c>
      <c r="H35" s="52" t="str">
        <f t="shared" si="5"/>
        <v/>
      </c>
      <c r="I35" s="53">
        <f t="shared" si="9"/>
        <v>34</v>
      </c>
      <c r="J35" s="48"/>
      <c r="K35" s="49"/>
      <c r="L35" s="49"/>
      <c r="M35" s="50"/>
      <c r="N35" s="50"/>
      <c r="O35" s="50"/>
      <c r="P35" s="50"/>
      <c r="Q35" s="50"/>
    </row>
    <row r="36" spans="1:17" x14ac:dyDescent="0.2">
      <c r="A36"/>
      <c r="B36"/>
      <c r="C36" s="51">
        <f t="shared" si="3"/>
        <v>29</v>
      </c>
      <c r="D36" s="51" t="str">
        <f t="shared" si="0"/>
        <v>NEW</v>
      </c>
      <c r="E36" s="51">
        <f t="shared" si="4"/>
        <v>4</v>
      </c>
      <c r="F36" s="51">
        <f>IFERROR(IF(E36&lt;&gt;"",SUM(E$8:E36),""),"")</f>
        <v>150</v>
      </c>
      <c r="G36" s="52">
        <f t="shared" si="8"/>
        <v>4</v>
      </c>
      <c r="H36" s="52">
        <f t="shared" si="5"/>
        <v>150</v>
      </c>
      <c r="I36" s="53">
        <f t="shared" si="9"/>
        <v>38</v>
      </c>
      <c r="J36" s="48"/>
      <c r="K36" s="49"/>
      <c r="L36" s="49"/>
      <c r="M36" s="50"/>
      <c r="N36" s="50"/>
      <c r="O36" s="50"/>
      <c r="P36" s="50"/>
      <c r="Q36" s="50"/>
    </row>
    <row r="37" spans="1:17" x14ac:dyDescent="0.2">
      <c r="A37"/>
      <c r="B37"/>
      <c r="C37" s="51">
        <f t="shared" si="3"/>
        <v>30</v>
      </c>
      <c r="D37" s="51" t="str">
        <f t="shared" si="0"/>
        <v>MARKETS</v>
      </c>
      <c r="E37" s="51">
        <f t="shared" si="4"/>
        <v>8</v>
      </c>
      <c r="F37" s="51">
        <f>IFERROR(IF(E37&lt;&gt;"",SUM(E$8:E37),""),"")</f>
        <v>158</v>
      </c>
      <c r="G37" s="52">
        <f t="shared" si="8"/>
        <v>5</v>
      </c>
      <c r="H37" s="52" t="str">
        <f t="shared" si="5"/>
        <v/>
      </c>
      <c r="I37" s="53">
        <f t="shared" si="9"/>
        <v>8</v>
      </c>
      <c r="J37" s="48"/>
      <c r="K37" s="49"/>
      <c r="L37" s="49"/>
      <c r="M37" s="50"/>
      <c r="N37" s="50"/>
      <c r="O37" s="50"/>
      <c r="P37" s="50"/>
      <c r="Q37" s="50"/>
    </row>
    <row r="38" spans="1:17" x14ac:dyDescent="0.2">
      <c r="A38"/>
      <c r="B38"/>
      <c r="C38" s="51">
        <f t="shared" si="3"/>
        <v>31</v>
      </c>
      <c r="D38" s="51" t="str">
        <f t="shared" si="0"/>
        <v>WE</v>
      </c>
      <c r="E38" s="51">
        <f t="shared" si="4"/>
        <v>3</v>
      </c>
      <c r="F38" s="51">
        <f>IFERROR(IF(E38&lt;&gt;"",SUM(E$8:E38),""),"")</f>
        <v>161</v>
      </c>
      <c r="G38" s="52">
        <f t="shared" si="8"/>
        <v>5</v>
      </c>
      <c r="H38" s="52" t="str">
        <f t="shared" si="5"/>
        <v/>
      </c>
      <c r="I38" s="53">
        <f t="shared" si="9"/>
        <v>11</v>
      </c>
      <c r="J38" s="48"/>
      <c r="K38" s="49"/>
      <c r="L38" s="49"/>
      <c r="M38" s="50"/>
      <c r="N38" s="50"/>
      <c r="O38" s="50"/>
      <c r="P38" s="50"/>
      <c r="Q38" s="50"/>
    </row>
    <row r="39" spans="1:17" x14ac:dyDescent="0.2">
      <c r="A39"/>
      <c r="B39"/>
      <c r="C39" s="51">
        <f t="shared" si="3"/>
        <v>32</v>
      </c>
      <c r="D39" s="51" t="str">
        <f t="shared" si="0"/>
        <v>COULD</v>
      </c>
      <c r="E39" s="51">
        <f t="shared" si="4"/>
        <v>6</v>
      </c>
      <c r="F39" s="51">
        <f>IFERROR(IF(E39&lt;&gt;"",SUM(E$8:E39),""),"")</f>
        <v>167</v>
      </c>
      <c r="G39" s="52">
        <f t="shared" si="8"/>
        <v>5</v>
      </c>
      <c r="H39" s="52" t="str">
        <f t="shared" si="5"/>
        <v/>
      </c>
      <c r="I39" s="53">
        <f t="shared" si="9"/>
        <v>17</v>
      </c>
      <c r="J39" s="48"/>
      <c r="K39" s="49"/>
      <c r="L39" s="49"/>
      <c r="M39" s="50"/>
      <c r="N39" s="50"/>
      <c r="O39" s="50"/>
      <c r="P39" s="50"/>
      <c r="Q39" s="50"/>
    </row>
    <row r="40" spans="1:17" x14ac:dyDescent="0.2">
      <c r="A40"/>
      <c r="B40"/>
      <c r="C40" s="51">
        <f t="shared" si="3"/>
        <v>33</v>
      </c>
      <c r="D40" s="51" t="str">
        <f t="shared" si="0"/>
        <v>ENTER,</v>
      </c>
      <c r="E40" s="51">
        <f t="shared" si="4"/>
        <v>7</v>
      </c>
      <c r="F40" s="51">
        <f>IFERROR(IF(E40&lt;&gt;"",SUM(E$8:E40),""),"")</f>
        <v>174</v>
      </c>
      <c r="G40" s="52">
        <f t="shared" si="8"/>
        <v>5</v>
      </c>
      <c r="H40" s="52" t="str">
        <f t="shared" si="5"/>
        <v/>
      </c>
      <c r="I40" s="53">
        <f t="shared" si="9"/>
        <v>24</v>
      </c>
      <c r="J40" s="48"/>
      <c r="K40" s="49"/>
      <c r="L40" s="49"/>
      <c r="M40" s="50"/>
      <c r="N40" s="50"/>
      <c r="O40" s="50"/>
      <c r="P40" s="50"/>
      <c r="Q40" s="50"/>
    </row>
    <row r="41" spans="1:17" x14ac:dyDescent="0.2">
      <c r="A41"/>
      <c r="B41"/>
      <c r="C41" s="51">
        <f t="shared" si="3"/>
        <v>34</v>
      </c>
      <c r="D41" s="51" t="str">
        <f t="shared" si="0"/>
        <v>BUT</v>
      </c>
      <c r="E41" s="51">
        <f t="shared" si="4"/>
        <v>4</v>
      </c>
      <c r="F41" s="51">
        <f>IFERROR(IF(E41&lt;&gt;"",SUM(E$8:E41),""),"")</f>
        <v>178</v>
      </c>
      <c r="G41" s="52">
        <f t="shared" si="8"/>
        <v>5</v>
      </c>
      <c r="H41" s="52" t="str">
        <f t="shared" si="5"/>
        <v/>
      </c>
      <c r="I41" s="53">
        <f t="shared" si="9"/>
        <v>28</v>
      </c>
      <c r="J41" s="48"/>
      <c r="K41" s="49"/>
      <c r="L41" s="49"/>
      <c r="M41" s="50"/>
      <c r="N41" s="50"/>
      <c r="O41" s="50"/>
      <c r="P41" s="50"/>
      <c r="Q41" s="50"/>
    </row>
    <row r="42" spans="1:17" x14ac:dyDescent="0.2">
      <c r="A42"/>
      <c r="B42"/>
      <c r="C42" s="51">
        <f t="shared" si="3"/>
        <v>35</v>
      </c>
      <c r="D42" s="51" t="str">
        <f t="shared" si="0"/>
        <v>IT'S</v>
      </c>
      <c r="E42" s="51">
        <f t="shared" si="4"/>
        <v>5</v>
      </c>
      <c r="F42" s="51">
        <f>IFERROR(IF(E42&lt;&gt;"",SUM(E$8:E42),""),"")</f>
        <v>183</v>
      </c>
      <c r="G42" s="52">
        <f t="shared" si="8"/>
        <v>5</v>
      </c>
      <c r="H42" s="52" t="str">
        <f t="shared" si="5"/>
        <v/>
      </c>
      <c r="I42" s="53">
        <f t="shared" si="9"/>
        <v>33</v>
      </c>
      <c r="J42" s="48"/>
      <c r="K42" s="49"/>
      <c r="L42" s="49"/>
      <c r="M42" s="50"/>
      <c r="N42" s="50"/>
      <c r="O42" s="50"/>
      <c r="P42" s="50"/>
      <c r="Q42" s="50"/>
    </row>
    <row r="43" spans="1:17" x14ac:dyDescent="0.2">
      <c r="A43"/>
      <c r="B43"/>
      <c r="C43" s="51">
        <f t="shared" si="3"/>
        <v>36</v>
      </c>
      <c r="D43" s="51" t="str">
        <f t="shared" si="0"/>
        <v>ONLY</v>
      </c>
      <c r="E43" s="51">
        <f t="shared" si="4"/>
        <v>5</v>
      </c>
      <c r="F43" s="51">
        <f>IFERROR(IF(E43&lt;&gt;"",SUM(E$8:E43),""),"")</f>
        <v>188</v>
      </c>
      <c r="G43" s="52">
        <f t="shared" si="8"/>
        <v>5</v>
      </c>
      <c r="H43" s="52">
        <f t="shared" si="5"/>
        <v>188</v>
      </c>
      <c r="I43" s="53">
        <f t="shared" si="9"/>
        <v>38</v>
      </c>
      <c r="J43" s="48"/>
      <c r="K43" s="49"/>
      <c r="L43" s="49"/>
      <c r="M43" s="50"/>
      <c r="N43" s="50"/>
      <c r="O43" s="50"/>
      <c r="P43" s="50"/>
      <c r="Q43" s="50"/>
    </row>
    <row r="44" spans="1:17" x14ac:dyDescent="0.2">
      <c r="A44"/>
      <c r="B44"/>
      <c r="C44" s="51">
        <f t="shared" si="3"/>
        <v>37</v>
      </c>
      <c r="D44" s="51" t="str">
        <f t="shared" si="0"/>
        <v>BY</v>
      </c>
      <c r="E44" s="51">
        <f t="shared" si="4"/>
        <v>3</v>
      </c>
      <c r="F44" s="51">
        <f>IFERROR(IF(E44&lt;&gt;"",SUM(E$8:E44),""),"")</f>
        <v>191</v>
      </c>
      <c r="G44" s="52">
        <f t="shared" si="8"/>
        <v>6</v>
      </c>
      <c r="H44" s="52" t="str">
        <f t="shared" si="5"/>
        <v/>
      </c>
      <c r="I44" s="53">
        <f t="shared" si="9"/>
        <v>3</v>
      </c>
      <c r="J44" s="48"/>
      <c r="K44" s="49"/>
      <c r="L44" s="49"/>
      <c r="M44" s="50"/>
      <c r="N44" s="50"/>
      <c r="O44" s="50"/>
      <c r="P44" s="50"/>
      <c r="Q44" s="50"/>
    </row>
    <row r="45" spans="1:17" x14ac:dyDescent="0.2">
      <c r="A45"/>
      <c r="B45"/>
      <c r="C45" s="51">
        <f t="shared" si="3"/>
        <v>38</v>
      </c>
      <c r="D45" s="51" t="str">
        <f t="shared" si="0"/>
        <v>SAYING</v>
      </c>
      <c r="E45" s="51">
        <f t="shared" si="4"/>
        <v>7</v>
      </c>
      <c r="F45" s="51">
        <f>IFERROR(IF(E45&lt;&gt;"",SUM(E$8:E45),""),"")</f>
        <v>198</v>
      </c>
      <c r="G45" s="52">
        <f t="shared" si="8"/>
        <v>6</v>
      </c>
      <c r="H45" s="52" t="str">
        <f t="shared" si="5"/>
        <v/>
      </c>
      <c r="I45" s="53">
        <f t="shared" si="9"/>
        <v>10</v>
      </c>
      <c r="J45" s="48"/>
      <c r="K45" s="49"/>
      <c r="L45" s="49"/>
      <c r="M45" s="50"/>
      <c r="N45" s="50"/>
      <c r="O45" s="50"/>
      <c r="P45" s="50"/>
      <c r="Q45" s="50"/>
    </row>
    <row r="46" spans="1:17" x14ac:dyDescent="0.2">
      <c r="A46"/>
      <c r="B46"/>
      <c r="C46" s="51">
        <f t="shared" si="3"/>
        <v>39</v>
      </c>
      <c r="D46" s="51" t="str">
        <f t="shared" si="0"/>
        <v>NO</v>
      </c>
      <c r="E46" s="51">
        <f t="shared" si="4"/>
        <v>3</v>
      </c>
      <c r="F46" s="51">
        <f>IFERROR(IF(E46&lt;&gt;"",SUM(E$8:E46),""),"")</f>
        <v>201</v>
      </c>
      <c r="G46" s="52">
        <f t="shared" si="8"/>
        <v>6</v>
      </c>
      <c r="H46" s="52" t="str">
        <f t="shared" si="5"/>
        <v/>
      </c>
      <c r="I46" s="53">
        <f t="shared" si="9"/>
        <v>13</v>
      </c>
      <c r="J46" s="48"/>
      <c r="K46" s="49"/>
      <c r="L46" s="49"/>
      <c r="M46" s="50"/>
      <c r="N46" s="50"/>
      <c r="O46" s="50"/>
      <c r="P46" s="50"/>
      <c r="Q46" s="50"/>
    </row>
    <row r="47" spans="1:17" x14ac:dyDescent="0.2">
      <c r="A47"/>
      <c r="B47"/>
      <c r="C47" s="51">
        <f t="shared" si="3"/>
        <v>40</v>
      </c>
      <c r="D47" s="51" t="str">
        <f t="shared" si="0"/>
        <v>THAT</v>
      </c>
      <c r="E47" s="51">
        <f t="shared" si="4"/>
        <v>5</v>
      </c>
      <c r="F47" s="51">
        <f>IFERROR(IF(E47&lt;&gt;"",SUM(E$8:E47),""),"")</f>
        <v>206</v>
      </c>
      <c r="G47" s="52">
        <f t="shared" si="8"/>
        <v>6</v>
      </c>
      <c r="H47" s="52" t="str">
        <f t="shared" si="5"/>
        <v/>
      </c>
      <c r="I47" s="53">
        <f t="shared" si="9"/>
        <v>18</v>
      </c>
      <c r="J47" s="48"/>
      <c r="K47" s="49"/>
      <c r="L47" s="49"/>
      <c r="M47" s="50"/>
      <c r="N47" s="50"/>
      <c r="O47" s="50"/>
      <c r="P47" s="50"/>
      <c r="Q47" s="50"/>
    </row>
    <row r="48" spans="1:17" x14ac:dyDescent="0.2">
      <c r="A48"/>
      <c r="B48"/>
      <c r="C48" s="51">
        <f t="shared" si="3"/>
        <v>41</v>
      </c>
      <c r="D48" s="51" t="str">
        <f t="shared" si="0"/>
        <v>YOU</v>
      </c>
      <c r="E48" s="51">
        <f t="shared" si="4"/>
        <v>4</v>
      </c>
      <c r="F48" s="51">
        <f>IFERROR(IF(E48&lt;&gt;"",SUM(E$8:E48),""),"")</f>
        <v>210</v>
      </c>
      <c r="G48" s="52">
        <f t="shared" si="8"/>
        <v>6</v>
      </c>
      <c r="H48" s="52" t="str">
        <f t="shared" si="5"/>
        <v/>
      </c>
      <c r="I48" s="53">
        <f t="shared" si="9"/>
        <v>22</v>
      </c>
      <c r="J48" s="48"/>
      <c r="K48" s="49"/>
      <c r="L48" s="49"/>
      <c r="M48" s="50"/>
      <c r="N48" s="50"/>
      <c r="O48" s="50"/>
      <c r="P48" s="50"/>
      <c r="Q48" s="50"/>
    </row>
    <row r="49" spans="1:87" x14ac:dyDescent="0.2">
      <c r="A49"/>
      <c r="B49"/>
      <c r="C49" s="51">
        <f t="shared" si="3"/>
        <v>42</v>
      </c>
      <c r="D49" s="51" t="str">
        <f t="shared" si="0"/>
        <v>CAN</v>
      </c>
      <c r="E49" s="51">
        <f t="shared" si="4"/>
        <v>4</v>
      </c>
      <c r="F49" s="51">
        <f>IFERROR(IF(E49&lt;&gt;"",SUM(E$8:E49),""),"")</f>
        <v>214</v>
      </c>
      <c r="G49" s="52">
        <f t="shared" si="8"/>
        <v>6</v>
      </c>
      <c r="H49" s="52" t="str">
        <f t="shared" si="5"/>
        <v/>
      </c>
      <c r="I49" s="53">
        <f t="shared" si="9"/>
        <v>26</v>
      </c>
      <c r="J49" s="48"/>
      <c r="K49" s="49"/>
      <c r="L49" s="49"/>
      <c r="M49" s="50"/>
      <c r="N49" s="50"/>
      <c r="O49" s="50"/>
      <c r="P49" s="50"/>
      <c r="Q49" s="50"/>
    </row>
    <row r="50" spans="1:87" x14ac:dyDescent="0.2">
      <c r="A50"/>
      <c r="B50"/>
      <c r="C50" s="51">
        <f t="shared" si="3"/>
        <v>43</v>
      </c>
      <c r="D50" s="51" t="str">
        <f t="shared" si="0"/>
        <v>CONCENTRATE</v>
      </c>
      <c r="E50" s="51">
        <f t="shared" si="4"/>
        <v>12</v>
      </c>
      <c r="F50" s="51">
        <f>IFERROR(IF(E50&lt;&gt;"",SUM(E$8:E50),""),"")</f>
        <v>226</v>
      </c>
      <c r="G50" s="52">
        <f t="shared" si="8"/>
        <v>6</v>
      </c>
      <c r="H50" s="52">
        <f t="shared" si="5"/>
        <v>226</v>
      </c>
      <c r="I50" s="53">
        <f t="shared" si="9"/>
        <v>38</v>
      </c>
      <c r="J50" s="48"/>
      <c r="K50" s="49"/>
      <c r="L50" s="49"/>
      <c r="M50" s="50"/>
      <c r="N50" s="50"/>
      <c r="O50" s="50"/>
      <c r="P50" s="50"/>
      <c r="Q50" s="50"/>
    </row>
    <row r="51" spans="1:87" x14ac:dyDescent="0.2">
      <c r="A51"/>
      <c r="B51"/>
      <c r="C51" s="51">
        <f t="shared" si="3"/>
        <v>44</v>
      </c>
      <c r="D51" s="51" t="str">
        <f t="shared" si="0"/>
        <v>ON</v>
      </c>
      <c r="E51" s="51">
        <f t="shared" si="4"/>
        <v>3</v>
      </c>
      <c r="F51" s="51">
        <f>IFERROR(IF(E51&lt;&gt;"",SUM(E$8:E51),""),"")</f>
        <v>229</v>
      </c>
      <c r="G51" s="52">
        <f t="shared" si="8"/>
        <v>7</v>
      </c>
      <c r="H51" s="52" t="str">
        <f t="shared" si="5"/>
        <v/>
      </c>
      <c r="I51" s="53">
        <f t="shared" si="9"/>
        <v>3</v>
      </c>
      <c r="J51" s="48"/>
      <c r="K51" s="49"/>
      <c r="L51" s="49"/>
      <c r="M51" s="50"/>
      <c r="N51" s="50"/>
      <c r="O51" s="50"/>
      <c r="P51" s="50"/>
      <c r="Q51" s="50"/>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BC51" s="58"/>
      <c r="BD51" s="58"/>
      <c r="BE51" s="58"/>
      <c r="BF51" s="58"/>
      <c r="BG51" s="58"/>
      <c r="BH51" s="58"/>
      <c r="BI51" s="58"/>
      <c r="BJ51" s="58"/>
      <c r="BK51" s="58"/>
      <c r="BL51" s="58"/>
      <c r="BM51" s="58"/>
      <c r="BN51" s="58"/>
      <c r="BO51" s="58"/>
      <c r="BP51" s="58"/>
      <c r="BQ51" s="58"/>
      <c r="BR51" s="58"/>
      <c r="BS51" s="58"/>
      <c r="BT51" s="58"/>
      <c r="BU51" s="58"/>
      <c r="BV51" s="58"/>
      <c r="BW51" s="58"/>
      <c r="BX51" s="58"/>
      <c r="BY51" s="58"/>
      <c r="BZ51" s="58"/>
      <c r="CA51" s="58"/>
      <c r="CB51" s="58"/>
      <c r="CC51" s="58"/>
    </row>
    <row r="52" spans="1:87" x14ac:dyDescent="0.2">
      <c r="A52"/>
      <c r="B52"/>
      <c r="C52" s="51">
        <f t="shared" si="3"/>
        <v>45</v>
      </c>
      <c r="D52" s="51" t="str">
        <f t="shared" si="0"/>
        <v>THE</v>
      </c>
      <c r="E52" s="51">
        <f t="shared" si="4"/>
        <v>4</v>
      </c>
      <c r="F52" s="51">
        <f>IFERROR(IF(E52&lt;&gt;"",SUM(E$8:E52),""),"")</f>
        <v>233</v>
      </c>
      <c r="G52" s="52">
        <f t="shared" si="8"/>
        <v>7</v>
      </c>
      <c r="H52" s="52" t="str">
        <f t="shared" si="5"/>
        <v/>
      </c>
      <c r="I52" s="53">
        <f t="shared" si="9"/>
        <v>7</v>
      </c>
      <c r="J52" s="48"/>
      <c r="K52" s="49"/>
      <c r="L52" s="49"/>
      <c r="M52" s="50"/>
      <c r="N52" s="50"/>
      <c r="O52" s="50"/>
      <c r="P52" s="50"/>
      <c r="Q52" s="50"/>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BC52" s="58"/>
      <c r="BD52" s="58"/>
      <c r="BE52" s="58"/>
      <c r="BF52" s="58"/>
      <c r="BG52" s="58"/>
      <c r="BH52" s="58"/>
      <c r="BI52" s="58"/>
      <c r="BJ52" s="58"/>
      <c r="BK52" s="58"/>
      <c r="BL52" s="58"/>
      <c r="BM52" s="58"/>
      <c r="BN52" s="58"/>
      <c r="BO52" s="58"/>
      <c r="BP52" s="58"/>
      <c r="BQ52" s="58"/>
      <c r="BR52" s="58"/>
      <c r="BS52" s="58"/>
      <c r="BT52" s="58"/>
      <c r="BU52" s="58"/>
      <c r="BV52" s="58"/>
      <c r="BW52" s="58"/>
      <c r="BX52" s="58"/>
      <c r="BY52" s="58"/>
      <c r="BZ52" s="58"/>
      <c r="CA52" s="58"/>
      <c r="CB52" s="58"/>
      <c r="CC52" s="58"/>
    </row>
    <row r="53" spans="1:87" x14ac:dyDescent="0.2">
      <c r="A53"/>
      <c r="B53"/>
      <c r="C53" s="51">
        <f t="shared" si="3"/>
        <v>46</v>
      </c>
      <c r="D53" s="51" t="str">
        <f t="shared" si="0"/>
        <v>THINGS</v>
      </c>
      <c r="E53" s="51">
        <f t="shared" si="4"/>
        <v>7</v>
      </c>
      <c r="F53" s="51">
        <f>IFERROR(IF(E53&lt;&gt;"",SUM(E$8:E53),""),"")</f>
        <v>240</v>
      </c>
      <c r="G53" s="52">
        <f t="shared" si="8"/>
        <v>7</v>
      </c>
      <c r="H53" s="52" t="str">
        <f t="shared" si="5"/>
        <v/>
      </c>
      <c r="I53" s="53">
        <f t="shared" si="9"/>
        <v>14</v>
      </c>
      <c r="J53" s="48"/>
      <c r="K53" s="49"/>
      <c r="L53" s="49"/>
      <c r="M53" s="50"/>
      <c r="N53" s="50"/>
      <c r="O53" s="50"/>
      <c r="P53" s="50"/>
      <c r="Q53" s="50"/>
      <c r="S53" s="66">
        <v>2</v>
      </c>
      <c r="T53" s="67">
        <f>O8</f>
        <v>1</v>
      </c>
      <c r="U53" s="67">
        <f t="shared" ref="U53:AZ53" si="38">IFERROR(IF(T53&lt;(LOOKUP($S53,$N$8:$O$22)),T53+1,""),"")</f>
        <v>2</v>
      </c>
      <c r="V53" s="67">
        <f t="shared" si="38"/>
        <v>3</v>
      </c>
      <c r="W53" s="67">
        <f t="shared" si="38"/>
        <v>4</v>
      </c>
      <c r="X53" s="67">
        <f t="shared" si="38"/>
        <v>5</v>
      </c>
      <c r="Y53" s="67">
        <f t="shared" si="38"/>
        <v>6</v>
      </c>
      <c r="Z53" s="67">
        <f t="shared" si="38"/>
        <v>7</v>
      </c>
      <c r="AA53" s="67">
        <f t="shared" si="38"/>
        <v>8</v>
      </c>
      <c r="AB53" s="67">
        <f t="shared" si="38"/>
        <v>9</v>
      </c>
      <c r="AC53" s="67">
        <f t="shared" si="38"/>
        <v>10</v>
      </c>
      <c r="AD53" s="67">
        <f t="shared" si="38"/>
        <v>11</v>
      </c>
      <c r="AE53" s="67">
        <f t="shared" si="38"/>
        <v>12</v>
      </c>
      <c r="AF53" s="67">
        <f t="shared" si="38"/>
        <v>13</v>
      </c>
      <c r="AG53" s="67">
        <f t="shared" si="38"/>
        <v>14</v>
      </c>
      <c r="AH53" s="67">
        <f t="shared" si="38"/>
        <v>15</v>
      </c>
      <c r="AI53" s="67">
        <f t="shared" si="38"/>
        <v>16</v>
      </c>
      <c r="AJ53" s="67">
        <f t="shared" si="38"/>
        <v>17</v>
      </c>
      <c r="AK53" s="67">
        <f t="shared" si="38"/>
        <v>18</v>
      </c>
      <c r="AL53" s="67">
        <f t="shared" si="38"/>
        <v>19</v>
      </c>
      <c r="AM53" s="67">
        <f t="shared" si="38"/>
        <v>20</v>
      </c>
      <c r="AN53" s="67">
        <f t="shared" si="38"/>
        <v>21</v>
      </c>
      <c r="AO53" s="67">
        <f t="shared" si="38"/>
        <v>22</v>
      </c>
      <c r="AP53" s="67">
        <f t="shared" si="38"/>
        <v>23</v>
      </c>
      <c r="AQ53" s="67">
        <f t="shared" si="38"/>
        <v>24</v>
      </c>
      <c r="AR53" s="67">
        <f t="shared" si="38"/>
        <v>25</v>
      </c>
      <c r="AS53" s="67">
        <f t="shared" si="38"/>
        <v>26</v>
      </c>
      <c r="AT53" s="67">
        <f t="shared" si="38"/>
        <v>27</v>
      </c>
      <c r="AU53" s="67">
        <f t="shared" si="38"/>
        <v>28</v>
      </c>
      <c r="AV53" s="67">
        <f t="shared" si="38"/>
        <v>29</v>
      </c>
      <c r="AW53" s="67">
        <f t="shared" si="38"/>
        <v>30</v>
      </c>
      <c r="AX53" s="67">
        <f t="shared" si="38"/>
        <v>31</v>
      </c>
      <c r="AY53" s="67">
        <f t="shared" si="38"/>
        <v>32</v>
      </c>
      <c r="AZ53" s="67">
        <f t="shared" si="38"/>
        <v>33</v>
      </c>
      <c r="BA53" s="67">
        <f t="shared" ref="BA53:CC53" si="39">IFERROR(IF(AZ53&lt;(LOOKUP($S53,$N$8:$O$22)),AZ53+1,""),"")</f>
        <v>34</v>
      </c>
      <c r="BB53" s="67">
        <f t="shared" si="39"/>
        <v>35</v>
      </c>
      <c r="BC53" s="67">
        <f t="shared" si="39"/>
        <v>36</v>
      </c>
      <c r="BD53" s="67">
        <f t="shared" si="39"/>
        <v>37</v>
      </c>
      <c r="BE53" s="67" t="str">
        <f t="shared" si="39"/>
        <v/>
      </c>
      <c r="BF53" s="67" t="str">
        <f t="shared" si="39"/>
        <v/>
      </c>
      <c r="BG53" s="67" t="str">
        <f t="shared" si="39"/>
        <v/>
      </c>
      <c r="BH53" s="67" t="str">
        <f t="shared" si="39"/>
        <v/>
      </c>
      <c r="BI53" s="67" t="str">
        <f t="shared" si="39"/>
        <v/>
      </c>
      <c r="BJ53" s="67" t="str">
        <f t="shared" si="39"/>
        <v/>
      </c>
      <c r="BK53" s="67" t="str">
        <f t="shared" si="39"/>
        <v/>
      </c>
      <c r="BL53" s="67" t="str">
        <f t="shared" si="39"/>
        <v/>
      </c>
      <c r="BM53" s="67" t="str">
        <f t="shared" si="39"/>
        <v/>
      </c>
      <c r="BN53" s="67" t="str">
        <f t="shared" si="39"/>
        <v/>
      </c>
      <c r="BO53" s="67" t="str">
        <f t="shared" si="39"/>
        <v/>
      </c>
      <c r="BP53" s="67" t="str">
        <f t="shared" si="39"/>
        <v/>
      </c>
      <c r="BQ53" s="67" t="str">
        <f t="shared" si="39"/>
        <v/>
      </c>
      <c r="BR53" s="67" t="str">
        <f t="shared" si="39"/>
        <v/>
      </c>
      <c r="BS53" s="67" t="str">
        <f t="shared" si="39"/>
        <v/>
      </c>
      <c r="BT53" s="67" t="str">
        <f t="shared" si="39"/>
        <v/>
      </c>
      <c r="BU53" s="67" t="str">
        <f t="shared" si="39"/>
        <v/>
      </c>
      <c r="BV53" s="67" t="str">
        <f t="shared" si="39"/>
        <v/>
      </c>
      <c r="BW53" s="67" t="str">
        <f t="shared" si="39"/>
        <v/>
      </c>
      <c r="BX53" s="67" t="str">
        <f t="shared" si="39"/>
        <v/>
      </c>
      <c r="BY53" s="67" t="str">
        <f t="shared" si="39"/>
        <v/>
      </c>
      <c r="BZ53" s="67" t="str">
        <f t="shared" si="39"/>
        <v/>
      </c>
      <c r="CA53" s="67" t="str">
        <f t="shared" si="39"/>
        <v/>
      </c>
      <c r="CB53" s="67" t="str">
        <f t="shared" si="39"/>
        <v/>
      </c>
      <c r="CC53" s="67" t="str">
        <f t="shared" si="39"/>
        <v/>
      </c>
      <c r="CD53" s="66"/>
      <c r="CE53" s="66"/>
      <c r="CF53" s="66"/>
      <c r="CG53" s="66"/>
      <c r="CH53" s="66"/>
      <c r="CI53" s="66"/>
    </row>
    <row r="54" spans="1:87" x14ac:dyDescent="0.2">
      <c r="A54"/>
      <c r="B54"/>
      <c r="C54" s="51">
        <f t="shared" si="3"/>
        <v>47</v>
      </c>
      <c r="D54" s="51" t="str">
        <f t="shared" si="0"/>
        <v>THAT</v>
      </c>
      <c r="E54" s="51">
        <f t="shared" si="4"/>
        <v>5</v>
      </c>
      <c r="F54" s="51">
        <f>IFERROR(IF(E54&lt;&gt;"",SUM(E$8:E54),""),"")</f>
        <v>245</v>
      </c>
      <c r="G54" s="52">
        <f t="shared" si="8"/>
        <v>7</v>
      </c>
      <c r="H54" s="52" t="str">
        <f t="shared" si="5"/>
        <v/>
      </c>
      <c r="I54" s="53">
        <f t="shared" si="9"/>
        <v>19</v>
      </c>
      <c r="J54" s="48"/>
      <c r="K54" s="49"/>
      <c r="L54" s="49"/>
      <c r="M54" s="50"/>
      <c r="N54" s="50"/>
      <c r="O54" s="50"/>
      <c r="P54" s="50"/>
      <c r="Q54" s="50"/>
      <c r="S54" s="68">
        <v>3</v>
      </c>
      <c r="T54" s="67">
        <f t="shared" ref="T54:T66" si="40">IFERROR(O9+1,"")</f>
        <v>38</v>
      </c>
      <c r="U54" s="67">
        <f t="shared" ref="U54:AZ54" si="41">IFERROR(IF(T54&lt;(LOOKUP($S54,$N$8:$O$22)),T54+1,""),"")</f>
        <v>39</v>
      </c>
      <c r="V54" s="67">
        <f t="shared" si="41"/>
        <v>40</v>
      </c>
      <c r="W54" s="67">
        <f t="shared" si="41"/>
        <v>41</v>
      </c>
      <c r="X54" s="67">
        <f t="shared" si="41"/>
        <v>42</v>
      </c>
      <c r="Y54" s="67">
        <f t="shared" si="41"/>
        <v>43</v>
      </c>
      <c r="Z54" s="67">
        <f t="shared" si="41"/>
        <v>44</v>
      </c>
      <c r="AA54" s="67">
        <f t="shared" si="41"/>
        <v>45</v>
      </c>
      <c r="AB54" s="67">
        <f t="shared" si="41"/>
        <v>46</v>
      </c>
      <c r="AC54" s="67">
        <f t="shared" si="41"/>
        <v>47</v>
      </c>
      <c r="AD54" s="67">
        <f t="shared" si="41"/>
        <v>48</v>
      </c>
      <c r="AE54" s="67">
        <f t="shared" si="41"/>
        <v>49</v>
      </c>
      <c r="AF54" s="67">
        <f t="shared" si="41"/>
        <v>50</v>
      </c>
      <c r="AG54" s="67">
        <f t="shared" si="41"/>
        <v>51</v>
      </c>
      <c r="AH54" s="67">
        <f t="shared" si="41"/>
        <v>52</v>
      </c>
      <c r="AI54" s="67">
        <f t="shared" si="41"/>
        <v>53</v>
      </c>
      <c r="AJ54" s="67">
        <f t="shared" si="41"/>
        <v>54</v>
      </c>
      <c r="AK54" s="67">
        <f t="shared" si="41"/>
        <v>55</v>
      </c>
      <c r="AL54" s="67">
        <f t="shared" si="41"/>
        <v>56</v>
      </c>
      <c r="AM54" s="67">
        <f t="shared" si="41"/>
        <v>57</v>
      </c>
      <c r="AN54" s="67">
        <f t="shared" si="41"/>
        <v>58</v>
      </c>
      <c r="AO54" s="67">
        <f t="shared" si="41"/>
        <v>59</v>
      </c>
      <c r="AP54" s="67">
        <f t="shared" si="41"/>
        <v>60</v>
      </c>
      <c r="AQ54" s="67">
        <f t="shared" si="41"/>
        <v>61</v>
      </c>
      <c r="AR54" s="67">
        <f t="shared" si="41"/>
        <v>62</v>
      </c>
      <c r="AS54" s="67">
        <f t="shared" si="41"/>
        <v>63</v>
      </c>
      <c r="AT54" s="67">
        <f t="shared" si="41"/>
        <v>64</v>
      </c>
      <c r="AU54" s="67">
        <f t="shared" si="41"/>
        <v>65</v>
      </c>
      <c r="AV54" s="67">
        <f t="shared" si="41"/>
        <v>66</v>
      </c>
      <c r="AW54" s="67">
        <f t="shared" si="41"/>
        <v>67</v>
      </c>
      <c r="AX54" s="67">
        <f t="shared" si="41"/>
        <v>68</v>
      </c>
      <c r="AY54" s="67">
        <f t="shared" si="41"/>
        <v>69</v>
      </c>
      <c r="AZ54" s="67">
        <f t="shared" si="41"/>
        <v>70</v>
      </c>
      <c r="BA54" s="67">
        <f t="shared" ref="BA54:CC54" si="42">IFERROR(IF(AZ54&lt;(LOOKUP($S54,$N$8:$O$22)),AZ54+1,""),"")</f>
        <v>71</v>
      </c>
      <c r="BB54" s="67">
        <f t="shared" si="42"/>
        <v>72</v>
      </c>
      <c r="BC54" s="67">
        <f t="shared" si="42"/>
        <v>73</v>
      </c>
      <c r="BD54" s="67">
        <f t="shared" si="42"/>
        <v>74</v>
      </c>
      <c r="BE54" s="67">
        <f t="shared" si="42"/>
        <v>75</v>
      </c>
      <c r="BF54" s="67">
        <f t="shared" si="42"/>
        <v>76</v>
      </c>
      <c r="BG54" s="67" t="str">
        <f t="shared" si="42"/>
        <v/>
      </c>
      <c r="BH54" s="67" t="str">
        <f t="shared" si="42"/>
        <v/>
      </c>
      <c r="BI54" s="67" t="str">
        <f t="shared" si="42"/>
        <v/>
      </c>
      <c r="BJ54" s="67" t="str">
        <f t="shared" si="42"/>
        <v/>
      </c>
      <c r="BK54" s="67" t="str">
        <f t="shared" si="42"/>
        <v/>
      </c>
      <c r="BL54" s="67" t="str">
        <f t="shared" si="42"/>
        <v/>
      </c>
      <c r="BM54" s="67" t="str">
        <f t="shared" si="42"/>
        <v/>
      </c>
      <c r="BN54" s="67" t="str">
        <f t="shared" si="42"/>
        <v/>
      </c>
      <c r="BO54" s="67" t="str">
        <f t="shared" si="42"/>
        <v/>
      </c>
      <c r="BP54" s="67" t="str">
        <f t="shared" si="42"/>
        <v/>
      </c>
      <c r="BQ54" s="67" t="str">
        <f t="shared" si="42"/>
        <v/>
      </c>
      <c r="BR54" s="67" t="str">
        <f t="shared" si="42"/>
        <v/>
      </c>
      <c r="BS54" s="67" t="str">
        <f t="shared" si="42"/>
        <v/>
      </c>
      <c r="BT54" s="67" t="str">
        <f t="shared" si="42"/>
        <v/>
      </c>
      <c r="BU54" s="67" t="str">
        <f t="shared" si="42"/>
        <v/>
      </c>
      <c r="BV54" s="67" t="str">
        <f t="shared" si="42"/>
        <v/>
      </c>
      <c r="BW54" s="67" t="str">
        <f t="shared" si="42"/>
        <v/>
      </c>
      <c r="BX54" s="67" t="str">
        <f t="shared" si="42"/>
        <v/>
      </c>
      <c r="BY54" s="67" t="str">
        <f t="shared" si="42"/>
        <v/>
      </c>
      <c r="BZ54" s="67" t="str">
        <f t="shared" si="42"/>
        <v/>
      </c>
      <c r="CA54" s="67" t="str">
        <f t="shared" si="42"/>
        <v/>
      </c>
      <c r="CB54" s="67" t="str">
        <f t="shared" si="42"/>
        <v/>
      </c>
      <c r="CC54" s="67" t="str">
        <f t="shared" si="42"/>
        <v/>
      </c>
      <c r="CD54" s="66"/>
      <c r="CE54" s="66"/>
      <c r="CF54" s="66"/>
      <c r="CG54" s="66"/>
      <c r="CH54" s="66"/>
      <c r="CI54" s="66"/>
    </row>
    <row r="55" spans="1:87" x14ac:dyDescent="0.2">
      <c r="A55"/>
      <c r="B55"/>
      <c r="C55" s="51">
        <f t="shared" si="3"/>
        <v>48</v>
      </c>
      <c r="D55" s="51" t="str">
        <f t="shared" si="0"/>
        <v>ARE</v>
      </c>
      <c r="E55" s="51">
        <f t="shared" si="4"/>
        <v>4</v>
      </c>
      <c r="F55" s="51">
        <f>IFERROR(IF(E55&lt;&gt;"",SUM(E$8:E55),""),"")</f>
        <v>249</v>
      </c>
      <c r="G55" s="52">
        <f t="shared" si="8"/>
        <v>7</v>
      </c>
      <c r="H55" s="52" t="str">
        <f t="shared" si="5"/>
        <v/>
      </c>
      <c r="I55" s="53">
        <f t="shared" si="9"/>
        <v>23</v>
      </c>
      <c r="J55" s="48"/>
      <c r="K55" s="49"/>
      <c r="L55" s="49"/>
      <c r="M55" s="50"/>
      <c r="N55" s="50"/>
      <c r="O55" s="50"/>
      <c r="P55" s="50"/>
      <c r="Q55" s="50"/>
      <c r="S55" s="68">
        <v>4</v>
      </c>
      <c r="T55" s="67">
        <f t="shared" si="40"/>
        <v>77</v>
      </c>
      <c r="U55" s="67">
        <f t="shared" ref="U55:AZ55" si="43">IFERROR(IF(T55&lt;(LOOKUP($S55,$N$8:$O$22)),T55+1,""),"")</f>
        <v>78</v>
      </c>
      <c r="V55" s="67">
        <f t="shared" si="43"/>
        <v>79</v>
      </c>
      <c r="W55" s="67">
        <f t="shared" si="43"/>
        <v>80</v>
      </c>
      <c r="X55" s="67">
        <f t="shared" si="43"/>
        <v>81</v>
      </c>
      <c r="Y55" s="67">
        <f t="shared" si="43"/>
        <v>82</v>
      </c>
      <c r="Z55" s="67">
        <f t="shared" si="43"/>
        <v>83</v>
      </c>
      <c r="AA55" s="67">
        <f t="shared" si="43"/>
        <v>84</v>
      </c>
      <c r="AB55" s="67">
        <f t="shared" si="43"/>
        <v>85</v>
      </c>
      <c r="AC55" s="67">
        <f t="shared" si="43"/>
        <v>86</v>
      </c>
      <c r="AD55" s="67">
        <f t="shared" si="43"/>
        <v>87</v>
      </c>
      <c r="AE55" s="67">
        <f t="shared" si="43"/>
        <v>88</v>
      </c>
      <c r="AF55" s="67">
        <f t="shared" si="43"/>
        <v>89</v>
      </c>
      <c r="AG55" s="67">
        <f t="shared" si="43"/>
        <v>90</v>
      </c>
      <c r="AH55" s="67">
        <f t="shared" si="43"/>
        <v>91</v>
      </c>
      <c r="AI55" s="67">
        <f t="shared" si="43"/>
        <v>92</v>
      </c>
      <c r="AJ55" s="67">
        <f t="shared" si="43"/>
        <v>93</v>
      </c>
      <c r="AK55" s="67">
        <f t="shared" si="43"/>
        <v>94</v>
      </c>
      <c r="AL55" s="67">
        <f t="shared" si="43"/>
        <v>95</v>
      </c>
      <c r="AM55" s="67">
        <f t="shared" si="43"/>
        <v>96</v>
      </c>
      <c r="AN55" s="67">
        <f t="shared" si="43"/>
        <v>97</v>
      </c>
      <c r="AO55" s="67">
        <f t="shared" si="43"/>
        <v>98</v>
      </c>
      <c r="AP55" s="67">
        <f t="shared" si="43"/>
        <v>99</v>
      </c>
      <c r="AQ55" s="67">
        <f t="shared" si="43"/>
        <v>100</v>
      </c>
      <c r="AR55" s="67">
        <f t="shared" si="43"/>
        <v>101</v>
      </c>
      <c r="AS55" s="67">
        <f t="shared" si="43"/>
        <v>102</v>
      </c>
      <c r="AT55" s="67">
        <f t="shared" si="43"/>
        <v>103</v>
      </c>
      <c r="AU55" s="67">
        <f t="shared" si="43"/>
        <v>104</v>
      </c>
      <c r="AV55" s="67">
        <f t="shared" si="43"/>
        <v>105</v>
      </c>
      <c r="AW55" s="67">
        <f t="shared" si="43"/>
        <v>106</v>
      </c>
      <c r="AX55" s="67">
        <f t="shared" si="43"/>
        <v>107</v>
      </c>
      <c r="AY55" s="67">
        <f t="shared" si="43"/>
        <v>108</v>
      </c>
      <c r="AZ55" s="67">
        <f t="shared" si="43"/>
        <v>109</v>
      </c>
      <c r="BA55" s="67">
        <f t="shared" ref="BA55:CC55" si="44">IFERROR(IF(AZ55&lt;(LOOKUP($S55,$N$8:$O$22)),AZ55+1,""),"")</f>
        <v>110</v>
      </c>
      <c r="BB55" s="67">
        <f t="shared" si="44"/>
        <v>111</v>
      </c>
      <c r="BC55" s="67">
        <f t="shared" si="44"/>
        <v>112</v>
      </c>
      <c r="BD55" s="67" t="str">
        <f t="shared" si="44"/>
        <v/>
      </c>
      <c r="BE55" s="67" t="str">
        <f t="shared" si="44"/>
        <v/>
      </c>
      <c r="BF55" s="67" t="str">
        <f t="shared" si="44"/>
        <v/>
      </c>
      <c r="BG55" s="67" t="str">
        <f t="shared" si="44"/>
        <v/>
      </c>
      <c r="BH55" s="67" t="str">
        <f t="shared" si="44"/>
        <v/>
      </c>
      <c r="BI55" s="67" t="str">
        <f t="shared" si="44"/>
        <v/>
      </c>
      <c r="BJ55" s="67" t="str">
        <f t="shared" si="44"/>
        <v/>
      </c>
      <c r="BK55" s="67" t="str">
        <f t="shared" si="44"/>
        <v/>
      </c>
      <c r="BL55" s="67" t="str">
        <f t="shared" si="44"/>
        <v/>
      </c>
      <c r="BM55" s="67" t="str">
        <f t="shared" si="44"/>
        <v/>
      </c>
      <c r="BN55" s="67" t="str">
        <f t="shared" si="44"/>
        <v/>
      </c>
      <c r="BO55" s="67" t="str">
        <f t="shared" si="44"/>
        <v/>
      </c>
      <c r="BP55" s="67" t="str">
        <f t="shared" si="44"/>
        <v/>
      </c>
      <c r="BQ55" s="67" t="str">
        <f t="shared" si="44"/>
        <v/>
      </c>
      <c r="BR55" s="67" t="str">
        <f t="shared" si="44"/>
        <v/>
      </c>
      <c r="BS55" s="67" t="str">
        <f t="shared" si="44"/>
        <v/>
      </c>
      <c r="BT55" s="67" t="str">
        <f t="shared" si="44"/>
        <v/>
      </c>
      <c r="BU55" s="67" t="str">
        <f t="shared" si="44"/>
        <v/>
      </c>
      <c r="BV55" s="67" t="str">
        <f t="shared" si="44"/>
        <v/>
      </c>
      <c r="BW55" s="67" t="str">
        <f t="shared" si="44"/>
        <v/>
      </c>
      <c r="BX55" s="67" t="str">
        <f t="shared" si="44"/>
        <v/>
      </c>
      <c r="BY55" s="67" t="str">
        <f t="shared" si="44"/>
        <v/>
      </c>
      <c r="BZ55" s="67" t="str">
        <f t="shared" si="44"/>
        <v/>
      </c>
      <c r="CA55" s="67" t="str">
        <f t="shared" si="44"/>
        <v/>
      </c>
      <c r="CB55" s="67" t="str">
        <f t="shared" si="44"/>
        <v/>
      </c>
      <c r="CC55" s="67" t="str">
        <f t="shared" si="44"/>
        <v/>
      </c>
      <c r="CD55" s="66"/>
      <c r="CE55" s="66"/>
      <c r="CF55" s="66"/>
      <c r="CG55" s="66"/>
      <c r="CH55" s="66"/>
      <c r="CI55" s="66"/>
    </row>
    <row r="56" spans="1:87" x14ac:dyDescent="0.2">
      <c r="A56"/>
      <c r="B56"/>
      <c r="C56" s="51">
        <f t="shared" si="3"/>
        <v>49</v>
      </c>
      <c r="D56" s="51" t="str">
        <f t="shared" si="0"/>
        <v>REALLY</v>
      </c>
      <c r="E56" s="51">
        <f t="shared" si="4"/>
        <v>7</v>
      </c>
      <c r="F56" s="51">
        <f>IFERROR(IF(E56&lt;&gt;"",SUM(E$8:E56),""),"")</f>
        <v>256</v>
      </c>
      <c r="G56" s="52">
        <f t="shared" si="8"/>
        <v>7</v>
      </c>
      <c r="H56" s="52">
        <f t="shared" si="5"/>
        <v>256</v>
      </c>
      <c r="I56" s="53">
        <f t="shared" si="9"/>
        <v>30</v>
      </c>
      <c r="J56" s="48"/>
      <c r="K56" s="49"/>
      <c r="L56" s="49"/>
      <c r="M56" s="50"/>
      <c r="N56" s="50"/>
      <c r="O56" s="50"/>
      <c r="P56" s="50"/>
      <c r="Q56" s="50"/>
      <c r="S56" s="68">
        <v>5</v>
      </c>
      <c r="T56" s="67">
        <f t="shared" si="40"/>
        <v>113</v>
      </c>
      <c r="U56" s="67">
        <f t="shared" ref="U56:AZ56" si="45">IFERROR(IF(T56&lt;(LOOKUP($S56,$N$8:$O$22)),T56+1,""),"")</f>
        <v>114</v>
      </c>
      <c r="V56" s="67">
        <f t="shared" si="45"/>
        <v>115</v>
      </c>
      <c r="W56" s="67">
        <f t="shared" si="45"/>
        <v>116</v>
      </c>
      <c r="X56" s="67">
        <f t="shared" si="45"/>
        <v>117</v>
      </c>
      <c r="Y56" s="67">
        <f t="shared" si="45"/>
        <v>118</v>
      </c>
      <c r="Z56" s="67">
        <f t="shared" si="45"/>
        <v>119</v>
      </c>
      <c r="AA56" s="67">
        <f t="shared" si="45"/>
        <v>120</v>
      </c>
      <c r="AB56" s="67">
        <f t="shared" si="45"/>
        <v>121</v>
      </c>
      <c r="AC56" s="67">
        <f t="shared" si="45"/>
        <v>122</v>
      </c>
      <c r="AD56" s="67">
        <f t="shared" si="45"/>
        <v>123</v>
      </c>
      <c r="AE56" s="67">
        <f t="shared" si="45"/>
        <v>124</v>
      </c>
      <c r="AF56" s="67">
        <f t="shared" si="45"/>
        <v>125</v>
      </c>
      <c r="AG56" s="67">
        <f t="shared" si="45"/>
        <v>126</v>
      </c>
      <c r="AH56" s="67">
        <f t="shared" si="45"/>
        <v>127</v>
      </c>
      <c r="AI56" s="67">
        <f t="shared" si="45"/>
        <v>128</v>
      </c>
      <c r="AJ56" s="67">
        <f t="shared" si="45"/>
        <v>129</v>
      </c>
      <c r="AK56" s="67">
        <f t="shared" si="45"/>
        <v>130</v>
      </c>
      <c r="AL56" s="67">
        <f t="shared" si="45"/>
        <v>131</v>
      </c>
      <c r="AM56" s="67">
        <f t="shared" si="45"/>
        <v>132</v>
      </c>
      <c r="AN56" s="67">
        <f t="shared" si="45"/>
        <v>133</v>
      </c>
      <c r="AO56" s="67">
        <f t="shared" si="45"/>
        <v>134</v>
      </c>
      <c r="AP56" s="67">
        <f t="shared" si="45"/>
        <v>135</v>
      </c>
      <c r="AQ56" s="67">
        <f t="shared" si="45"/>
        <v>136</v>
      </c>
      <c r="AR56" s="67">
        <f t="shared" si="45"/>
        <v>137</v>
      </c>
      <c r="AS56" s="67">
        <f t="shared" si="45"/>
        <v>138</v>
      </c>
      <c r="AT56" s="67">
        <f t="shared" si="45"/>
        <v>139</v>
      </c>
      <c r="AU56" s="67">
        <f t="shared" si="45"/>
        <v>140</v>
      </c>
      <c r="AV56" s="67">
        <f t="shared" si="45"/>
        <v>141</v>
      </c>
      <c r="AW56" s="67">
        <f t="shared" si="45"/>
        <v>142</v>
      </c>
      <c r="AX56" s="67">
        <f t="shared" si="45"/>
        <v>143</v>
      </c>
      <c r="AY56" s="67">
        <f t="shared" si="45"/>
        <v>144</v>
      </c>
      <c r="AZ56" s="67">
        <f t="shared" si="45"/>
        <v>145</v>
      </c>
      <c r="BA56" s="67">
        <f t="shared" ref="BA56:CC56" si="46">IFERROR(IF(AZ56&lt;(LOOKUP($S56,$N$8:$O$22)),AZ56+1,""),"")</f>
        <v>146</v>
      </c>
      <c r="BB56" s="67">
        <f t="shared" si="46"/>
        <v>147</v>
      </c>
      <c r="BC56" s="67">
        <f t="shared" si="46"/>
        <v>148</v>
      </c>
      <c r="BD56" s="67">
        <f t="shared" si="46"/>
        <v>149</v>
      </c>
      <c r="BE56" s="67">
        <f t="shared" si="46"/>
        <v>150</v>
      </c>
      <c r="BF56" s="67" t="str">
        <f t="shared" si="46"/>
        <v/>
      </c>
      <c r="BG56" s="67" t="str">
        <f t="shared" si="46"/>
        <v/>
      </c>
      <c r="BH56" s="67" t="str">
        <f t="shared" si="46"/>
        <v/>
      </c>
      <c r="BI56" s="67" t="str">
        <f t="shared" si="46"/>
        <v/>
      </c>
      <c r="BJ56" s="67" t="str">
        <f t="shared" si="46"/>
        <v/>
      </c>
      <c r="BK56" s="67" t="str">
        <f t="shared" si="46"/>
        <v/>
      </c>
      <c r="BL56" s="67" t="str">
        <f t="shared" si="46"/>
        <v/>
      </c>
      <c r="BM56" s="67" t="str">
        <f t="shared" si="46"/>
        <v/>
      </c>
      <c r="BN56" s="67" t="str">
        <f t="shared" si="46"/>
        <v/>
      </c>
      <c r="BO56" s="67" t="str">
        <f t="shared" si="46"/>
        <v/>
      </c>
      <c r="BP56" s="67" t="str">
        <f t="shared" si="46"/>
        <v/>
      </c>
      <c r="BQ56" s="67" t="str">
        <f t="shared" si="46"/>
        <v/>
      </c>
      <c r="BR56" s="67" t="str">
        <f t="shared" si="46"/>
        <v/>
      </c>
      <c r="BS56" s="67" t="str">
        <f t="shared" si="46"/>
        <v/>
      </c>
      <c r="BT56" s="67" t="str">
        <f t="shared" si="46"/>
        <v/>
      </c>
      <c r="BU56" s="67" t="str">
        <f t="shared" si="46"/>
        <v/>
      </c>
      <c r="BV56" s="67" t="str">
        <f t="shared" si="46"/>
        <v/>
      </c>
      <c r="BW56" s="67" t="str">
        <f t="shared" si="46"/>
        <v/>
      </c>
      <c r="BX56" s="67" t="str">
        <f t="shared" si="46"/>
        <v/>
      </c>
      <c r="BY56" s="67" t="str">
        <f t="shared" si="46"/>
        <v/>
      </c>
      <c r="BZ56" s="67" t="str">
        <f t="shared" si="46"/>
        <v/>
      </c>
      <c r="CA56" s="67" t="str">
        <f t="shared" si="46"/>
        <v/>
      </c>
      <c r="CB56" s="67" t="str">
        <f t="shared" si="46"/>
        <v/>
      </c>
      <c r="CC56" s="67" t="str">
        <f t="shared" si="46"/>
        <v/>
      </c>
      <c r="CD56" s="66"/>
      <c r="CE56" s="66"/>
      <c r="CF56" s="66"/>
      <c r="CG56" s="66"/>
      <c r="CH56" s="66"/>
      <c r="CI56" s="66"/>
    </row>
    <row r="57" spans="1:87" x14ac:dyDescent="0.2">
      <c r="A57"/>
      <c r="B57"/>
      <c r="C57" s="51">
        <f t="shared" si="3"/>
        <v>50</v>
      </c>
      <c r="D57" s="51" t="str">
        <f t="shared" si="0"/>
        <v>IMPORTANT.</v>
      </c>
      <c r="E57" s="51">
        <f t="shared" si="4"/>
        <v>11</v>
      </c>
      <c r="F57" s="51">
        <f>IFERROR(IF(E57&lt;&gt;"",SUM(E$8:E57),""),"")</f>
        <v>267</v>
      </c>
      <c r="G57" s="52">
        <f t="shared" si="8"/>
        <v>8</v>
      </c>
      <c r="H57" s="52">
        <f t="shared" si="5"/>
        <v>267</v>
      </c>
      <c r="I57" s="53">
        <f t="shared" si="9"/>
        <v>11</v>
      </c>
      <c r="J57" s="48"/>
      <c r="K57" s="49"/>
      <c r="L57" s="49"/>
      <c r="M57" s="50"/>
      <c r="N57" s="50"/>
      <c r="O57" s="50"/>
      <c r="P57" s="50"/>
      <c r="Q57" s="50"/>
      <c r="S57" s="68">
        <v>6</v>
      </c>
      <c r="T57" s="67">
        <f t="shared" si="40"/>
        <v>151</v>
      </c>
      <c r="U57" s="67">
        <f t="shared" ref="U57:AZ57" si="47">IFERROR(IF(T57&lt;(LOOKUP($S57,$N$8:$O$22)),T57+1,""),"")</f>
        <v>152</v>
      </c>
      <c r="V57" s="67">
        <f t="shared" si="47"/>
        <v>153</v>
      </c>
      <c r="W57" s="67">
        <f t="shared" si="47"/>
        <v>154</v>
      </c>
      <c r="X57" s="67">
        <f t="shared" si="47"/>
        <v>155</v>
      </c>
      <c r="Y57" s="67">
        <f t="shared" si="47"/>
        <v>156</v>
      </c>
      <c r="Z57" s="67">
        <f t="shared" si="47"/>
        <v>157</v>
      </c>
      <c r="AA57" s="67">
        <f t="shared" si="47"/>
        <v>158</v>
      </c>
      <c r="AB57" s="67">
        <f t="shared" si="47"/>
        <v>159</v>
      </c>
      <c r="AC57" s="67">
        <f t="shared" si="47"/>
        <v>160</v>
      </c>
      <c r="AD57" s="67">
        <f t="shared" si="47"/>
        <v>161</v>
      </c>
      <c r="AE57" s="67">
        <f t="shared" si="47"/>
        <v>162</v>
      </c>
      <c r="AF57" s="67">
        <f t="shared" si="47"/>
        <v>163</v>
      </c>
      <c r="AG57" s="67">
        <f t="shared" si="47"/>
        <v>164</v>
      </c>
      <c r="AH57" s="67">
        <f t="shared" si="47"/>
        <v>165</v>
      </c>
      <c r="AI57" s="67">
        <f t="shared" si="47"/>
        <v>166</v>
      </c>
      <c r="AJ57" s="67">
        <f t="shared" si="47"/>
        <v>167</v>
      </c>
      <c r="AK57" s="67">
        <f t="shared" si="47"/>
        <v>168</v>
      </c>
      <c r="AL57" s="67">
        <f t="shared" si="47"/>
        <v>169</v>
      </c>
      <c r="AM57" s="67">
        <f t="shared" si="47"/>
        <v>170</v>
      </c>
      <c r="AN57" s="67">
        <f t="shared" si="47"/>
        <v>171</v>
      </c>
      <c r="AO57" s="67">
        <f t="shared" si="47"/>
        <v>172</v>
      </c>
      <c r="AP57" s="67">
        <f t="shared" si="47"/>
        <v>173</v>
      </c>
      <c r="AQ57" s="67">
        <f t="shared" si="47"/>
        <v>174</v>
      </c>
      <c r="AR57" s="67">
        <f t="shared" si="47"/>
        <v>175</v>
      </c>
      <c r="AS57" s="67">
        <f t="shared" si="47"/>
        <v>176</v>
      </c>
      <c r="AT57" s="67">
        <f t="shared" si="47"/>
        <v>177</v>
      </c>
      <c r="AU57" s="67">
        <f t="shared" si="47"/>
        <v>178</v>
      </c>
      <c r="AV57" s="67">
        <f t="shared" si="47"/>
        <v>179</v>
      </c>
      <c r="AW57" s="67">
        <f t="shared" si="47"/>
        <v>180</v>
      </c>
      <c r="AX57" s="67">
        <f t="shared" si="47"/>
        <v>181</v>
      </c>
      <c r="AY57" s="67">
        <f t="shared" si="47"/>
        <v>182</v>
      </c>
      <c r="AZ57" s="67">
        <f t="shared" si="47"/>
        <v>183</v>
      </c>
      <c r="BA57" s="67">
        <f t="shared" ref="BA57:CC57" si="48">IFERROR(IF(AZ57&lt;(LOOKUP($S57,$N$8:$O$22)),AZ57+1,""),"")</f>
        <v>184</v>
      </c>
      <c r="BB57" s="67">
        <f t="shared" si="48"/>
        <v>185</v>
      </c>
      <c r="BC57" s="67">
        <f t="shared" si="48"/>
        <v>186</v>
      </c>
      <c r="BD57" s="67">
        <f t="shared" si="48"/>
        <v>187</v>
      </c>
      <c r="BE57" s="67">
        <f t="shared" si="48"/>
        <v>188</v>
      </c>
      <c r="BF57" s="67" t="str">
        <f t="shared" si="48"/>
        <v/>
      </c>
      <c r="BG57" s="67" t="str">
        <f t="shared" si="48"/>
        <v/>
      </c>
      <c r="BH57" s="67" t="str">
        <f t="shared" si="48"/>
        <v/>
      </c>
      <c r="BI57" s="67" t="str">
        <f t="shared" si="48"/>
        <v/>
      </c>
      <c r="BJ57" s="67" t="str">
        <f t="shared" si="48"/>
        <v/>
      </c>
      <c r="BK57" s="67" t="str">
        <f t="shared" si="48"/>
        <v/>
      </c>
      <c r="BL57" s="67" t="str">
        <f t="shared" si="48"/>
        <v/>
      </c>
      <c r="BM57" s="67" t="str">
        <f t="shared" si="48"/>
        <v/>
      </c>
      <c r="BN57" s="67" t="str">
        <f t="shared" si="48"/>
        <v/>
      </c>
      <c r="BO57" s="67" t="str">
        <f t="shared" si="48"/>
        <v/>
      </c>
      <c r="BP57" s="67" t="str">
        <f t="shared" si="48"/>
        <v/>
      </c>
      <c r="BQ57" s="67" t="str">
        <f t="shared" si="48"/>
        <v/>
      </c>
      <c r="BR57" s="67" t="str">
        <f t="shared" si="48"/>
        <v/>
      </c>
      <c r="BS57" s="67" t="str">
        <f t="shared" si="48"/>
        <v/>
      </c>
      <c r="BT57" s="67" t="str">
        <f t="shared" si="48"/>
        <v/>
      </c>
      <c r="BU57" s="67" t="str">
        <f t="shared" si="48"/>
        <v/>
      </c>
      <c r="BV57" s="67" t="str">
        <f t="shared" si="48"/>
        <v/>
      </c>
      <c r="BW57" s="67" t="str">
        <f t="shared" si="48"/>
        <v/>
      </c>
      <c r="BX57" s="67" t="str">
        <f t="shared" si="48"/>
        <v/>
      </c>
      <c r="BY57" s="67" t="str">
        <f t="shared" si="48"/>
        <v/>
      </c>
      <c r="BZ57" s="67" t="str">
        <f t="shared" si="48"/>
        <v/>
      </c>
      <c r="CA57" s="67" t="str">
        <f t="shared" si="48"/>
        <v/>
      </c>
      <c r="CB57" s="67" t="str">
        <f t="shared" si="48"/>
        <v/>
      </c>
      <c r="CC57" s="67" t="str">
        <f t="shared" si="48"/>
        <v/>
      </c>
      <c r="CD57" s="66"/>
      <c r="CE57" s="66"/>
      <c r="CF57" s="66"/>
      <c r="CG57" s="66"/>
      <c r="CH57" s="66"/>
      <c r="CI57" s="66"/>
    </row>
    <row r="58" spans="1:87" x14ac:dyDescent="0.2">
      <c r="A58"/>
      <c r="B58"/>
      <c r="C58" s="51" t="str">
        <f t="shared" si="3"/>
        <v/>
      </c>
      <c r="D58" s="51" t="str">
        <f t="shared" si="0"/>
        <v/>
      </c>
      <c r="E58" s="51" t="str">
        <f t="shared" si="4"/>
        <v/>
      </c>
      <c r="F58" s="51" t="str">
        <f>IFERROR(IF(E58&lt;&gt;"",SUM(E$8:E58),""),"")</f>
        <v/>
      </c>
      <c r="G58" s="52" t="str">
        <f t="shared" si="8"/>
        <v/>
      </c>
      <c r="H58" s="52" t="str">
        <f t="shared" si="5"/>
        <v/>
      </c>
      <c r="I58" s="53" t="str">
        <f t="shared" si="9"/>
        <v/>
      </c>
      <c r="J58" s="48"/>
      <c r="K58" s="49"/>
      <c r="L58" s="49"/>
      <c r="M58" s="50"/>
      <c r="N58" s="50"/>
      <c r="O58" s="50"/>
      <c r="P58" s="50"/>
      <c r="Q58" s="50"/>
      <c r="S58" s="68">
        <v>7</v>
      </c>
      <c r="T58" s="67">
        <f t="shared" si="40"/>
        <v>189</v>
      </c>
      <c r="U58" s="67">
        <f t="shared" ref="U58:AZ58" si="49">IFERROR(IF(T58&lt;(LOOKUP($S58,$N$8:$O$22)),T58+1,""),"")</f>
        <v>190</v>
      </c>
      <c r="V58" s="67">
        <f t="shared" si="49"/>
        <v>191</v>
      </c>
      <c r="W58" s="67">
        <f t="shared" si="49"/>
        <v>192</v>
      </c>
      <c r="X58" s="67">
        <f t="shared" si="49"/>
        <v>193</v>
      </c>
      <c r="Y58" s="67">
        <f t="shared" si="49"/>
        <v>194</v>
      </c>
      <c r="Z58" s="67">
        <f t="shared" si="49"/>
        <v>195</v>
      </c>
      <c r="AA58" s="67">
        <f t="shared" si="49"/>
        <v>196</v>
      </c>
      <c r="AB58" s="67">
        <f t="shared" si="49"/>
        <v>197</v>
      </c>
      <c r="AC58" s="67">
        <f t="shared" si="49"/>
        <v>198</v>
      </c>
      <c r="AD58" s="67">
        <f t="shared" si="49"/>
        <v>199</v>
      </c>
      <c r="AE58" s="67">
        <f t="shared" si="49"/>
        <v>200</v>
      </c>
      <c r="AF58" s="67">
        <f t="shared" si="49"/>
        <v>201</v>
      </c>
      <c r="AG58" s="67">
        <f t="shared" si="49"/>
        <v>202</v>
      </c>
      <c r="AH58" s="67">
        <f t="shared" si="49"/>
        <v>203</v>
      </c>
      <c r="AI58" s="67">
        <f t="shared" si="49"/>
        <v>204</v>
      </c>
      <c r="AJ58" s="67">
        <f t="shared" si="49"/>
        <v>205</v>
      </c>
      <c r="AK58" s="67">
        <f t="shared" si="49"/>
        <v>206</v>
      </c>
      <c r="AL58" s="67">
        <f t="shared" si="49"/>
        <v>207</v>
      </c>
      <c r="AM58" s="67">
        <f t="shared" si="49"/>
        <v>208</v>
      </c>
      <c r="AN58" s="67">
        <f t="shared" si="49"/>
        <v>209</v>
      </c>
      <c r="AO58" s="67">
        <f t="shared" si="49"/>
        <v>210</v>
      </c>
      <c r="AP58" s="67">
        <f t="shared" si="49"/>
        <v>211</v>
      </c>
      <c r="AQ58" s="67">
        <f t="shared" si="49"/>
        <v>212</v>
      </c>
      <c r="AR58" s="67">
        <f t="shared" si="49"/>
        <v>213</v>
      </c>
      <c r="AS58" s="67">
        <f t="shared" si="49"/>
        <v>214</v>
      </c>
      <c r="AT58" s="67">
        <f t="shared" si="49"/>
        <v>215</v>
      </c>
      <c r="AU58" s="67">
        <f t="shared" si="49"/>
        <v>216</v>
      </c>
      <c r="AV58" s="67">
        <f t="shared" si="49"/>
        <v>217</v>
      </c>
      <c r="AW58" s="67">
        <f t="shared" si="49"/>
        <v>218</v>
      </c>
      <c r="AX58" s="67">
        <f t="shared" si="49"/>
        <v>219</v>
      </c>
      <c r="AY58" s="67">
        <f t="shared" si="49"/>
        <v>220</v>
      </c>
      <c r="AZ58" s="67">
        <f t="shared" si="49"/>
        <v>221</v>
      </c>
      <c r="BA58" s="67">
        <f t="shared" ref="BA58:CC58" si="50">IFERROR(IF(AZ58&lt;(LOOKUP($S58,$N$8:$O$22)),AZ58+1,""),"")</f>
        <v>222</v>
      </c>
      <c r="BB58" s="67">
        <f t="shared" si="50"/>
        <v>223</v>
      </c>
      <c r="BC58" s="67">
        <f t="shared" si="50"/>
        <v>224</v>
      </c>
      <c r="BD58" s="67">
        <f t="shared" si="50"/>
        <v>225</v>
      </c>
      <c r="BE58" s="67">
        <f t="shared" si="50"/>
        <v>226</v>
      </c>
      <c r="BF58" s="67" t="str">
        <f t="shared" si="50"/>
        <v/>
      </c>
      <c r="BG58" s="67" t="str">
        <f t="shared" si="50"/>
        <v/>
      </c>
      <c r="BH58" s="67" t="str">
        <f t="shared" si="50"/>
        <v/>
      </c>
      <c r="BI58" s="67" t="str">
        <f t="shared" si="50"/>
        <v/>
      </c>
      <c r="BJ58" s="67" t="str">
        <f t="shared" si="50"/>
        <v/>
      </c>
      <c r="BK58" s="67" t="str">
        <f t="shared" si="50"/>
        <v/>
      </c>
      <c r="BL58" s="67" t="str">
        <f t="shared" si="50"/>
        <v/>
      </c>
      <c r="BM58" s="67" t="str">
        <f t="shared" si="50"/>
        <v/>
      </c>
      <c r="BN58" s="67" t="str">
        <f t="shared" si="50"/>
        <v/>
      </c>
      <c r="BO58" s="67" t="str">
        <f t="shared" si="50"/>
        <v/>
      </c>
      <c r="BP58" s="67" t="str">
        <f t="shared" si="50"/>
        <v/>
      </c>
      <c r="BQ58" s="67" t="str">
        <f t="shared" si="50"/>
        <v/>
      </c>
      <c r="BR58" s="67" t="str">
        <f t="shared" si="50"/>
        <v/>
      </c>
      <c r="BS58" s="67" t="str">
        <f t="shared" si="50"/>
        <v/>
      </c>
      <c r="BT58" s="67" t="str">
        <f t="shared" si="50"/>
        <v/>
      </c>
      <c r="BU58" s="67" t="str">
        <f t="shared" si="50"/>
        <v/>
      </c>
      <c r="BV58" s="67" t="str">
        <f t="shared" si="50"/>
        <v/>
      </c>
      <c r="BW58" s="67" t="str">
        <f t="shared" si="50"/>
        <v/>
      </c>
      <c r="BX58" s="67" t="str">
        <f t="shared" si="50"/>
        <v/>
      </c>
      <c r="BY58" s="67" t="str">
        <f t="shared" si="50"/>
        <v/>
      </c>
      <c r="BZ58" s="67" t="str">
        <f t="shared" si="50"/>
        <v/>
      </c>
      <c r="CA58" s="67" t="str">
        <f t="shared" si="50"/>
        <v/>
      </c>
      <c r="CB58" s="67" t="str">
        <f t="shared" si="50"/>
        <v/>
      </c>
      <c r="CC58" s="67" t="str">
        <f t="shared" si="50"/>
        <v/>
      </c>
      <c r="CD58" s="66"/>
      <c r="CE58" s="66"/>
      <c r="CF58" s="66"/>
      <c r="CG58" s="66"/>
      <c r="CH58" s="66"/>
      <c r="CI58" s="66"/>
    </row>
    <row r="59" spans="1:87" x14ac:dyDescent="0.2">
      <c r="A59"/>
      <c r="B59"/>
      <c r="C59" s="51" t="str">
        <f t="shared" si="3"/>
        <v/>
      </c>
      <c r="D59" s="51" t="str">
        <f t="shared" si="0"/>
        <v/>
      </c>
      <c r="E59" s="51" t="str">
        <f t="shared" si="4"/>
        <v/>
      </c>
      <c r="F59" s="51" t="str">
        <f>IFERROR(IF(E59&lt;&gt;"",SUM(E$8:E59),""),"")</f>
        <v/>
      </c>
      <c r="G59" s="52" t="str">
        <f t="shared" si="8"/>
        <v/>
      </c>
      <c r="H59" s="52" t="str">
        <f t="shared" si="5"/>
        <v/>
      </c>
      <c r="I59" s="53" t="str">
        <f t="shared" si="9"/>
        <v/>
      </c>
      <c r="J59" s="48"/>
      <c r="K59" s="49"/>
      <c r="L59" s="49"/>
      <c r="M59" s="50"/>
      <c r="N59" s="50"/>
      <c r="O59" s="50"/>
      <c r="P59" s="50"/>
      <c r="Q59" s="50"/>
      <c r="S59" s="68">
        <v>8</v>
      </c>
      <c r="T59" s="67">
        <f t="shared" si="40"/>
        <v>227</v>
      </c>
      <c r="U59" s="67">
        <f t="shared" ref="U59:AZ59" si="51">IFERROR(IF(T59&lt;(LOOKUP($S59,$N$8:$O$22)),T59+1,""),"")</f>
        <v>228</v>
      </c>
      <c r="V59" s="67">
        <f t="shared" si="51"/>
        <v>229</v>
      </c>
      <c r="W59" s="67">
        <f t="shared" si="51"/>
        <v>230</v>
      </c>
      <c r="X59" s="67">
        <f t="shared" si="51"/>
        <v>231</v>
      </c>
      <c r="Y59" s="67">
        <f t="shared" si="51"/>
        <v>232</v>
      </c>
      <c r="Z59" s="67">
        <f t="shared" si="51"/>
        <v>233</v>
      </c>
      <c r="AA59" s="67">
        <f t="shared" si="51"/>
        <v>234</v>
      </c>
      <c r="AB59" s="67">
        <f t="shared" si="51"/>
        <v>235</v>
      </c>
      <c r="AC59" s="67">
        <f t="shared" si="51"/>
        <v>236</v>
      </c>
      <c r="AD59" s="67">
        <f t="shared" si="51"/>
        <v>237</v>
      </c>
      <c r="AE59" s="67">
        <f t="shared" si="51"/>
        <v>238</v>
      </c>
      <c r="AF59" s="67">
        <f t="shared" si="51"/>
        <v>239</v>
      </c>
      <c r="AG59" s="67">
        <f t="shared" si="51"/>
        <v>240</v>
      </c>
      <c r="AH59" s="67">
        <f t="shared" si="51"/>
        <v>241</v>
      </c>
      <c r="AI59" s="67">
        <f t="shared" si="51"/>
        <v>242</v>
      </c>
      <c r="AJ59" s="67">
        <f t="shared" si="51"/>
        <v>243</v>
      </c>
      <c r="AK59" s="67">
        <f t="shared" si="51"/>
        <v>244</v>
      </c>
      <c r="AL59" s="67">
        <f t="shared" si="51"/>
        <v>245</v>
      </c>
      <c r="AM59" s="67">
        <f t="shared" si="51"/>
        <v>246</v>
      </c>
      <c r="AN59" s="67">
        <f t="shared" si="51"/>
        <v>247</v>
      </c>
      <c r="AO59" s="67">
        <f t="shared" si="51"/>
        <v>248</v>
      </c>
      <c r="AP59" s="67">
        <f t="shared" si="51"/>
        <v>249</v>
      </c>
      <c r="AQ59" s="67">
        <f t="shared" si="51"/>
        <v>250</v>
      </c>
      <c r="AR59" s="67">
        <f t="shared" si="51"/>
        <v>251</v>
      </c>
      <c r="AS59" s="67">
        <f t="shared" si="51"/>
        <v>252</v>
      </c>
      <c r="AT59" s="67">
        <f t="shared" si="51"/>
        <v>253</v>
      </c>
      <c r="AU59" s="67">
        <f t="shared" si="51"/>
        <v>254</v>
      </c>
      <c r="AV59" s="67">
        <f t="shared" si="51"/>
        <v>255</v>
      </c>
      <c r="AW59" s="67">
        <f t="shared" si="51"/>
        <v>256</v>
      </c>
      <c r="AX59" s="67" t="str">
        <f t="shared" si="51"/>
        <v/>
      </c>
      <c r="AY59" s="67" t="str">
        <f t="shared" si="51"/>
        <v/>
      </c>
      <c r="AZ59" s="67" t="str">
        <f t="shared" si="51"/>
        <v/>
      </c>
      <c r="BA59" s="67" t="str">
        <f t="shared" ref="BA59:CC59" si="52">IFERROR(IF(AZ59&lt;(LOOKUP($S59,$N$8:$O$22)),AZ59+1,""),"")</f>
        <v/>
      </c>
      <c r="BB59" s="67" t="str">
        <f t="shared" si="52"/>
        <v/>
      </c>
      <c r="BC59" s="67" t="str">
        <f t="shared" si="52"/>
        <v/>
      </c>
      <c r="BD59" s="67" t="str">
        <f t="shared" si="52"/>
        <v/>
      </c>
      <c r="BE59" s="67" t="str">
        <f t="shared" si="52"/>
        <v/>
      </c>
      <c r="BF59" s="67" t="str">
        <f t="shared" si="52"/>
        <v/>
      </c>
      <c r="BG59" s="67" t="str">
        <f t="shared" si="52"/>
        <v/>
      </c>
      <c r="BH59" s="67" t="str">
        <f t="shared" si="52"/>
        <v/>
      </c>
      <c r="BI59" s="67" t="str">
        <f t="shared" si="52"/>
        <v/>
      </c>
      <c r="BJ59" s="67" t="str">
        <f t="shared" si="52"/>
        <v/>
      </c>
      <c r="BK59" s="67" t="str">
        <f t="shared" si="52"/>
        <v/>
      </c>
      <c r="BL59" s="67" t="str">
        <f t="shared" si="52"/>
        <v/>
      </c>
      <c r="BM59" s="67" t="str">
        <f t="shared" si="52"/>
        <v/>
      </c>
      <c r="BN59" s="67" t="str">
        <f t="shared" si="52"/>
        <v/>
      </c>
      <c r="BO59" s="67" t="str">
        <f t="shared" si="52"/>
        <v/>
      </c>
      <c r="BP59" s="67" t="str">
        <f t="shared" si="52"/>
        <v/>
      </c>
      <c r="BQ59" s="67" t="str">
        <f t="shared" si="52"/>
        <v/>
      </c>
      <c r="BR59" s="67" t="str">
        <f t="shared" si="52"/>
        <v/>
      </c>
      <c r="BS59" s="67" t="str">
        <f t="shared" si="52"/>
        <v/>
      </c>
      <c r="BT59" s="67" t="str">
        <f t="shared" si="52"/>
        <v/>
      </c>
      <c r="BU59" s="67" t="str">
        <f t="shared" si="52"/>
        <v/>
      </c>
      <c r="BV59" s="67" t="str">
        <f t="shared" si="52"/>
        <v/>
      </c>
      <c r="BW59" s="67" t="str">
        <f t="shared" si="52"/>
        <v/>
      </c>
      <c r="BX59" s="67" t="str">
        <f t="shared" si="52"/>
        <v/>
      </c>
      <c r="BY59" s="67" t="str">
        <f t="shared" si="52"/>
        <v/>
      </c>
      <c r="BZ59" s="67" t="str">
        <f t="shared" si="52"/>
        <v/>
      </c>
      <c r="CA59" s="67" t="str">
        <f t="shared" si="52"/>
        <v/>
      </c>
      <c r="CB59" s="67" t="str">
        <f t="shared" si="52"/>
        <v/>
      </c>
      <c r="CC59" s="67" t="str">
        <f t="shared" si="52"/>
        <v/>
      </c>
      <c r="CD59" s="66"/>
      <c r="CE59" s="66"/>
      <c r="CF59" s="66"/>
      <c r="CG59" s="66"/>
      <c r="CH59" s="66"/>
      <c r="CI59" s="66"/>
    </row>
    <row r="60" spans="1:87" x14ac:dyDescent="0.2">
      <c r="A60"/>
      <c r="B60"/>
      <c r="C60" s="51" t="str">
        <f t="shared" si="3"/>
        <v/>
      </c>
      <c r="D60" s="51" t="str">
        <f t="shared" si="0"/>
        <v/>
      </c>
      <c r="E60" s="51" t="str">
        <f t="shared" si="4"/>
        <v/>
      </c>
      <c r="F60" s="51" t="str">
        <f>IFERROR(IF(E60&lt;&gt;"",SUM(E$8:E60),""),"")</f>
        <v/>
      </c>
      <c r="G60" s="52" t="str">
        <f t="shared" si="8"/>
        <v/>
      </c>
      <c r="H60" s="52" t="str">
        <f t="shared" si="5"/>
        <v/>
      </c>
      <c r="I60" s="53" t="str">
        <f t="shared" si="9"/>
        <v/>
      </c>
      <c r="J60" s="48"/>
      <c r="K60" s="49"/>
      <c r="L60" s="49"/>
      <c r="M60" s="50"/>
      <c r="N60" s="50"/>
      <c r="O60" s="50"/>
      <c r="P60" s="50"/>
      <c r="Q60" s="50"/>
      <c r="S60" s="68">
        <v>9</v>
      </c>
      <c r="T60" s="67">
        <f t="shared" si="40"/>
        <v>257</v>
      </c>
      <c r="U60" s="67">
        <f t="shared" ref="U60:AZ60" si="53">IFERROR(IF(T60&lt;(LOOKUP($S60,$N$8:$O$22)),T60+1,""),"")</f>
        <v>258</v>
      </c>
      <c r="V60" s="67">
        <f t="shared" si="53"/>
        <v>259</v>
      </c>
      <c r="W60" s="67">
        <f t="shared" si="53"/>
        <v>260</v>
      </c>
      <c r="X60" s="67">
        <f t="shared" si="53"/>
        <v>261</v>
      </c>
      <c r="Y60" s="67">
        <f t="shared" si="53"/>
        <v>262</v>
      </c>
      <c r="Z60" s="67">
        <f t="shared" si="53"/>
        <v>263</v>
      </c>
      <c r="AA60" s="67">
        <f t="shared" si="53"/>
        <v>264</v>
      </c>
      <c r="AB60" s="67">
        <f t="shared" si="53"/>
        <v>265</v>
      </c>
      <c r="AC60" s="67">
        <f t="shared" si="53"/>
        <v>266</v>
      </c>
      <c r="AD60" s="67">
        <f t="shared" si="53"/>
        <v>267</v>
      </c>
      <c r="AE60" s="67" t="str">
        <f t="shared" si="53"/>
        <v/>
      </c>
      <c r="AF60" s="67" t="str">
        <f t="shared" si="53"/>
        <v/>
      </c>
      <c r="AG60" s="67" t="str">
        <f t="shared" si="53"/>
        <v/>
      </c>
      <c r="AH60" s="67" t="str">
        <f t="shared" si="53"/>
        <v/>
      </c>
      <c r="AI60" s="67" t="str">
        <f t="shared" si="53"/>
        <v/>
      </c>
      <c r="AJ60" s="67" t="str">
        <f t="shared" si="53"/>
        <v/>
      </c>
      <c r="AK60" s="67" t="str">
        <f t="shared" si="53"/>
        <v/>
      </c>
      <c r="AL60" s="67" t="str">
        <f t="shared" si="53"/>
        <v/>
      </c>
      <c r="AM60" s="67" t="str">
        <f t="shared" si="53"/>
        <v/>
      </c>
      <c r="AN60" s="67" t="str">
        <f t="shared" si="53"/>
        <v/>
      </c>
      <c r="AO60" s="67" t="str">
        <f t="shared" si="53"/>
        <v/>
      </c>
      <c r="AP60" s="67" t="str">
        <f t="shared" si="53"/>
        <v/>
      </c>
      <c r="AQ60" s="67" t="str">
        <f t="shared" si="53"/>
        <v/>
      </c>
      <c r="AR60" s="67" t="str">
        <f t="shared" si="53"/>
        <v/>
      </c>
      <c r="AS60" s="67" t="str">
        <f t="shared" si="53"/>
        <v/>
      </c>
      <c r="AT60" s="67" t="str">
        <f t="shared" si="53"/>
        <v/>
      </c>
      <c r="AU60" s="67" t="str">
        <f t="shared" si="53"/>
        <v/>
      </c>
      <c r="AV60" s="67" t="str">
        <f t="shared" si="53"/>
        <v/>
      </c>
      <c r="AW60" s="67" t="str">
        <f t="shared" si="53"/>
        <v/>
      </c>
      <c r="AX60" s="67" t="str">
        <f t="shared" si="53"/>
        <v/>
      </c>
      <c r="AY60" s="67" t="str">
        <f t="shared" si="53"/>
        <v/>
      </c>
      <c r="AZ60" s="67" t="str">
        <f t="shared" si="53"/>
        <v/>
      </c>
      <c r="BA60" s="67" t="str">
        <f t="shared" ref="BA60:CC60" si="54">IFERROR(IF(AZ60&lt;(LOOKUP($S60,$N$8:$O$22)),AZ60+1,""),"")</f>
        <v/>
      </c>
      <c r="BB60" s="67" t="str">
        <f t="shared" si="54"/>
        <v/>
      </c>
      <c r="BC60" s="67" t="str">
        <f t="shared" si="54"/>
        <v/>
      </c>
      <c r="BD60" s="67" t="str">
        <f t="shared" si="54"/>
        <v/>
      </c>
      <c r="BE60" s="67" t="str">
        <f t="shared" si="54"/>
        <v/>
      </c>
      <c r="BF60" s="67" t="str">
        <f t="shared" si="54"/>
        <v/>
      </c>
      <c r="BG60" s="67" t="str">
        <f t="shared" si="54"/>
        <v/>
      </c>
      <c r="BH60" s="67" t="str">
        <f t="shared" si="54"/>
        <v/>
      </c>
      <c r="BI60" s="67" t="str">
        <f t="shared" si="54"/>
        <v/>
      </c>
      <c r="BJ60" s="67" t="str">
        <f t="shared" si="54"/>
        <v/>
      </c>
      <c r="BK60" s="67" t="str">
        <f t="shared" si="54"/>
        <v/>
      </c>
      <c r="BL60" s="67" t="str">
        <f t="shared" si="54"/>
        <v/>
      </c>
      <c r="BM60" s="67" t="str">
        <f t="shared" si="54"/>
        <v/>
      </c>
      <c r="BN60" s="67" t="str">
        <f t="shared" si="54"/>
        <v/>
      </c>
      <c r="BO60" s="67" t="str">
        <f t="shared" si="54"/>
        <v/>
      </c>
      <c r="BP60" s="67" t="str">
        <f t="shared" si="54"/>
        <v/>
      </c>
      <c r="BQ60" s="67" t="str">
        <f t="shared" si="54"/>
        <v/>
      </c>
      <c r="BR60" s="67" t="str">
        <f t="shared" si="54"/>
        <v/>
      </c>
      <c r="BS60" s="67" t="str">
        <f t="shared" si="54"/>
        <v/>
      </c>
      <c r="BT60" s="67" t="str">
        <f t="shared" si="54"/>
        <v/>
      </c>
      <c r="BU60" s="67" t="str">
        <f t="shared" si="54"/>
        <v/>
      </c>
      <c r="BV60" s="67" t="str">
        <f t="shared" si="54"/>
        <v/>
      </c>
      <c r="BW60" s="67" t="str">
        <f t="shared" si="54"/>
        <v/>
      </c>
      <c r="BX60" s="67" t="str">
        <f t="shared" si="54"/>
        <v/>
      </c>
      <c r="BY60" s="67" t="str">
        <f t="shared" si="54"/>
        <v/>
      </c>
      <c r="BZ60" s="67" t="str">
        <f t="shared" si="54"/>
        <v/>
      </c>
      <c r="CA60" s="67" t="str">
        <f t="shared" si="54"/>
        <v/>
      </c>
      <c r="CB60" s="67" t="str">
        <f t="shared" si="54"/>
        <v/>
      </c>
      <c r="CC60" s="67" t="str">
        <f t="shared" si="54"/>
        <v/>
      </c>
      <c r="CD60" s="66"/>
      <c r="CE60" s="66"/>
      <c r="CF60" s="66"/>
      <c r="CG60" s="66"/>
      <c r="CH60" s="66"/>
      <c r="CI60" s="66"/>
    </row>
    <row r="61" spans="1:87" x14ac:dyDescent="0.2">
      <c r="A61"/>
      <c r="B61"/>
      <c r="C61" s="51" t="str">
        <f t="shared" si="3"/>
        <v/>
      </c>
      <c r="D61" s="51" t="str">
        <f t="shared" si="0"/>
        <v/>
      </c>
      <c r="E61" s="51" t="str">
        <f t="shared" si="4"/>
        <v/>
      </c>
      <c r="F61" s="51" t="str">
        <f>IFERROR(IF(E61&lt;&gt;"",SUM(E$8:E61),""),"")</f>
        <v/>
      </c>
      <c r="G61" s="52" t="str">
        <f t="shared" si="8"/>
        <v/>
      </c>
      <c r="H61" s="52" t="str">
        <f t="shared" si="5"/>
        <v/>
      </c>
      <c r="I61" s="53" t="str">
        <f t="shared" si="9"/>
        <v/>
      </c>
      <c r="J61" s="50"/>
      <c r="K61" s="50"/>
      <c r="L61" s="50"/>
      <c r="M61" s="50"/>
      <c r="N61" s="50"/>
      <c r="O61" s="50"/>
      <c r="P61" s="50"/>
      <c r="Q61" s="50"/>
      <c r="S61" s="68">
        <v>10</v>
      </c>
      <c r="T61" s="67">
        <f t="shared" si="40"/>
        <v>268</v>
      </c>
      <c r="U61" s="67">
        <f t="shared" ref="U61:AZ61" si="55">IFERROR(IF(T61&lt;(LOOKUP($S61,$N$8:$O$22)),T61+1,""),"")</f>
        <v>269</v>
      </c>
      <c r="V61" s="67">
        <f t="shared" si="55"/>
        <v>270</v>
      </c>
      <c r="W61" s="67">
        <f t="shared" si="55"/>
        <v>271</v>
      </c>
      <c r="X61" s="67">
        <f t="shared" si="55"/>
        <v>272</v>
      </c>
      <c r="Y61" s="67">
        <f t="shared" si="55"/>
        <v>273</v>
      </c>
      <c r="Z61" s="67">
        <f t="shared" si="55"/>
        <v>274</v>
      </c>
      <c r="AA61" s="67">
        <f t="shared" si="55"/>
        <v>275</v>
      </c>
      <c r="AB61" s="67">
        <f t="shared" si="55"/>
        <v>276</v>
      </c>
      <c r="AC61" s="67">
        <f t="shared" si="55"/>
        <v>277</v>
      </c>
      <c r="AD61" s="67">
        <f t="shared" si="55"/>
        <v>278</v>
      </c>
      <c r="AE61" s="67">
        <f t="shared" si="55"/>
        <v>279</v>
      </c>
      <c r="AF61" s="67">
        <f t="shared" si="55"/>
        <v>280</v>
      </c>
      <c r="AG61" s="67">
        <f t="shared" si="55"/>
        <v>281</v>
      </c>
      <c r="AH61" s="67">
        <f t="shared" si="55"/>
        <v>282</v>
      </c>
      <c r="AI61" s="67">
        <f t="shared" si="55"/>
        <v>283</v>
      </c>
      <c r="AJ61" s="67">
        <f t="shared" si="55"/>
        <v>284</v>
      </c>
      <c r="AK61" s="67">
        <f t="shared" si="55"/>
        <v>285</v>
      </c>
      <c r="AL61" s="67">
        <f t="shared" si="55"/>
        <v>286</v>
      </c>
      <c r="AM61" s="67">
        <f t="shared" si="55"/>
        <v>287</v>
      </c>
      <c r="AN61" s="67">
        <f t="shared" si="55"/>
        <v>288</v>
      </c>
      <c r="AO61" s="67">
        <f t="shared" si="55"/>
        <v>289</v>
      </c>
      <c r="AP61" s="67">
        <f t="shared" si="55"/>
        <v>290</v>
      </c>
      <c r="AQ61" s="67">
        <f t="shared" si="55"/>
        <v>291</v>
      </c>
      <c r="AR61" s="67">
        <f t="shared" si="55"/>
        <v>292</v>
      </c>
      <c r="AS61" s="67">
        <f t="shared" si="55"/>
        <v>293</v>
      </c>
      <c r="AT61" s="67">
        <f t="shared" si="55"/>
        <v>294</v>
      </c>
      <c r="AU61" s="67">
        <f t="shared" si="55"/>
        <v>295</v>
      </c>
      <c r="AV61" s="67">
        <f t="shared" si="55"/>
        <v>296</v>
      </c>
      <c r="AW61" s="67">
        <f t="shared" si="55"/>
        <v>297</v>
      </c>
      <c r="AX61" s="67">
        <f t="shared" si="55"/>
        <v>298</v>
      </c>
      <c r="AY61" s="67">
        <f t="shared" si="55"/>
        <v>299</v>
      </c>
      <c r="AZ61" s="67">
        <f t="shared" si="55"/>
        <v>300</v>
      </c>
      <c r="BA61" s="67">
        <f t="shared" ref="BA61:CC61" si="56">IFERROR(IF(AZ61&lt;(LOOKUP($S61,$N$8:$O$22)),AZ61+1,""),"")</f>
        <v>301</v>
      </c>
      <c r="BB61" s="67">
        <f t="shared" si="56"/>
        <v>302</v>
      </c>
      <c r="BC61" s="67">
        <f t="shared" si="56"/>
        <v>303</v>
      </c>
      <c r="BD61" s="67">
        <f t="shared" si="56"/>
        <v>304</v>
      </c>
      <c r="BE61" s="67">
        <f t="shared" si="56"/>
        <v>305</v>
      </c>
      <c r="BF61" s="67">
        <f t="shared" si="56"/>
        <v>306</v>
      </c>
      <c r="BG61" s="67">
        <f t="shared" si="56"/>
        <v>307</v>
      </c>
      <c r="BH61" s="67">
        <f t="shared" si="56"/>
        <v>308</v>
      </c>
      <c r="BI61" s="67">
        <f t="shared" si="56"/>
        <v>309</v>
      </c>
      <c r="BJ61" s="67">
        <f t="shared" si="56"/>
        <v>310</v>
      </c>
      <c r="BK61" s="67">
        <f t="shared" si="56"/>
        <v>311</v>
      </c>
      <c r="BL61" s="67">
        <f t="shared" si="56"/>
        <v>312</v>
      </c>
      <c r="BM61" s="67">
        <f t="shared" si="56"/>
        <v>313</v>
      </c>
      <c r="BN61" s="67">
        <f t="shared" si="56"/>
        <v>314</v>
      </c>
      <c r="BO61" s="67">
        <f t="shared" si="56"/>
        <v>315</v>
      </c>
      <c r="BP61" s="67">
        <f t="shared" si="56"/>
        <v>316</v>
      </c>
      <c r="BQ61" s="67">
        <f t="shared" si="56"/>
        <v>317</v>
      </c>
      <c r="BR61" s="67">
        <f t="shared" si="56"/>
        <v>318</v>
      </c>
      <c r="BS61" s="67">
        <f t="shared" si="56"/>
        <v>319</v>
      </c>
      <c r="BT61" s="67">
        <f t="shared" si="56"/>
        <v>320</v>
      </c>
      <c r="BU61" s="67">
        <f t="shared" si="56"/>
        <v>321</v>
      </c>
      <c r="BV61" s="67">
        <f t="shared" si="56"/>
        <v>322</v>
      </c>
      <c r="BW61" s="67">
        <f t="shared" si="56"/>
        <v>323</v>
      </c>
      <c r="BX61" s="67">
        <f t="shared" si="56"/>
        <v>324</v>
      </c>
      <c r="BY61" s="67">
        <f t="shared" si="56"/>
        <v>325</v>
      </c>
      <c r="BZ61" s="67">
        <f t="shared" si="56"/>
        <v>326</v>
      </c>
      <c r="CA61" s="67">
        <f t="shared" si="56"/>
        <v>327</v>
      </c>
      <c r="CB61" s="67">
        <f t="shared" si="56"/>
        <v>328</v>
      </c>
      <c r="CC61" s="67">
        <f t="shared" si="56"/>
        <v>329</v>
      </c>
      <c r="CD61" s="66"/>
      <c r="CE61" s="66"/>
      <c r="CF61" s="66"/>
      <c r="CG61" s="66"/>
      <c r="CH61" s="66"/>
      <c r="CI61" s="66"/>
    </row>
    <row r="62" spans="1:87" x14ac:dyDescent="0.2">
      <c r="A62"/>
      <c r="B62"/>
      <c r="C62" s="51" t="str">
        <f t="shared" si="3"/>
        <v/>
      </c>
      <c r="D62" s="51" t="str">
        <f t="shared" si="0"/>
        <v/>
      </c>
      <c r="E62" s="51" t="str">
        <f t="shared" si="4"/>
        <v/>
      </c>
      <c r="F62" s="51" t="str">
        <f>IFERROR(IF(E62&lt;&gt;"",SUM(E$8:E62),""),"")</f>
        <v/>
      </c>
      <c r="G62" s="52" t="str">
        <f t="shared" si="8"/>
        <v/>
      </c>
      <c r="H62" s="52" t="str">
        <f t="shared" si="5"/>
        <v/>
      </c>
      <c r="I62" s="53" t="str">
        <f t="shared" si="9"/>
        <v/>
      </c>
      <c r="S62" s="68">
        <v>11</v>
      </c>
      <c r="T62" s="67" t="str">
        <f t="shared" si="40"/>
        <v/>
      </c>
      <c r="U62" s="67" t="str">
        <f t="shared" ref="U62:AZ62" si="57">IFERROR(IF(T62&lt;(LOOKUP($S62,$N$8:$O$22)),T62+1,""),"")</f>
        <v/>
      </c>
      <c r="V62" s="67" t="str">
        <f t="shared" si="57"/>
        <v/>
      </c>
      <c r="W62" s="67" t="str">
        <f t="shared" si="57"/>
        <v/>
      </c>
      <c r="X62" s="67" t="str">
        <f t="shared" si="57"/>
        <v/>
      </c>
      <c r="Y62" s="67" t="str">
        <f t="shared" si="57"/>
        <v/>
      </c>
      <c r="Z62" s="67" t="str">
        <f t="shared" si="57"/>
        <v/>
      </c>
      <c r="AA62" s="67" t="str">
        <f t="shared" si="57"/>
        <v/>
      </c>
      <c r="AB62" s="67" t="str">
        <f t="shared" si="57"/>
        <v/>
      </c>
      <c r="AC62" s="67" t="str">
        <f t="shared" si="57"/>
        <v/>
      </c>
      <c r="AD62" s="67" t="str">
        <f t="shared" si="57"/>
        <v/>
      </c>
      <c r="AE62" s="67" t="str">
        <f t="shared" si="57"/>
        <v/>
      </c>
      <c r="AF62" s="67" t="str">
        <f t="shared" si="57"/>
        <v/>
      </c>
      <c r="AG62" s="67" t="str">
        <f t="shared" si="57"/>
        <v/>
      </c>
      <c r="AH62" s="67" t="str">
        <f t="shared" si="57"/>
        <v/>
      </c>
      <c r="AI62" s="67" t="str">
        <f t="shared" si="57"/>
        <v/>
      </c>
      <c r="AJ62" s="67" t="str">
        <f t="shared" si="57"/>
        <v/>
      </c>
      <c r="AK62" s="67" t="str">
        <f t="shared" si="57"/>
        <v/>
      </c>
      <c r="AL62" s="67" t="str">
        <f t="shared" si="57"/>
        <v/>
      </c>
      <c r="AM62" s="67" t="str">
        <f t="shared" si="57"/>
        <v/>
      </c>
      <c r="AN62" s="67" t="str">
        <f t="shared" si="57"/>
        <v/>
      </c>
      <c r="AO62" s="67" t="str">
        <f t="shared" si="57"/>
        <v/>
      </c>
      <c r="AP62" s="67" t="str">
        <f t="shared" si="57"/>
        <v/>
      </c>
      <c r="AQ62" s="67" t="str">
        <f t="shared" si="57"/>
        <v/>
      </c>
      <c r="AR62" s="67" t="str">
        <f t="shared" si="57"/>
        <v/>
      </c>
      <c r="AS62" s="67" t="str">
        <f t="shared" si="57"/>
        <v/>
      </c>
      <c r="AT62" s="67" t="str">
        <f t="shared" si="57"/>
        <v/>
      </c>
      <c r="AU62" s="67" t="str">
        <f t="shared" si="57"/>
        <v/>
      </c>
      <c r="AV62" s="67" t="str">
        <f t="shared" si="57"/>
        <v/>
      </c>
      <c r="AW62" s="67" t="str">
        <f t="shared" si="57"/>
        <v/>
      </c>
      <c r="AX62" s="67" t="str">
        <f t="shared" si="57"/>
        <v/>
      </c>
      <c r="AY62" s="67" t="str">
        <f t="shared" si="57"/>
        <v/>
      </c>
      <c r="AZ62" s="67" t="str">
        <f t="shared" si="57"/>
        <v/>
      </c>
      <c r="BA62" s="67" t="str">
        <f t="shared" ref="BA62:CC62" si="58">IFERROR(IF(AZ62&lt;(LOOKUP($S62,$N$8:$O$22)),AZ62+1,""),"")</f>
        <v/>
      </c>
      <c r="BB62" s="67" t="str">
        <f t="shared" si="58"/>
        <v/>
      </c>
      <c r="BC62" s="67" t="str">
        <f t="shared" si="58"/>
        <v/>
      </c>
      <c r="BD62" s="67" t="str">
        <f t="shared" si="58"/>
        <v/>
      </c>
      <c r="BE62" s="67" t="str">
        <f t="shared" si="58"/>
        <v/>
      </c>
      <c r="BF62" s="67" t="str">
        <f t="shared" si="58"/>
        <v/>
      </c>
      <c r="BG62" s="67" t="str">
        <f t="shared" si="58"/>
        <v/>
      </c>
      <c r="BH62" s="67" t="str">
        <f t="shared" si="58"/>
        <v/>
      </c>
      <c r="BI62" s="67" t="str">
        <f t="shared" si="58"/>
        <v/>
      </c>
      <c r="BJ62" s="67" t="str">
        <f t="shared" si="58"/>
        <v/>
      </c>
      <c r="BK62" s="67" t="str">
        <f t="shared" si="58"/>
        <v/>
      </c>
      <c r="BL62" s="67" t="str">
        <f t="shared" si="58"/>
        <v/>
      </c>
      <c r="BM62" s="67" t="str">
        <f t="shared" si="58"/>
        <v/>
      </c>
      <c r="BN62" s="67" t="str">
        <f t="shared" si="58"/>
        <v/>
      </c>
      <c r="BO62" s="67" t="str">
        <f t="shared" si="58"/>
        <v/>
      </c>
      <c r="BP62" s="67" t="str">
        <f t="shared" si="58"/>
        <v/>
      </c>
      <c r="BQ62" s="67" t="str">
        <f t="shared" si="58"/>
        <v/>
      </c>
      <c r="BR62" s="67" t="str">
        <f t="shared" si="58"/>
        <v/>
      </c>
      <c r="BS62" s="67" t="str">
        <f t="shared" si="58"/>
        <v/>
      </c>
      <c r="BT62" s="67" t="str">
        <f t="shared" si="58"/>
        <v/>
      </c>
      <c r="BU62" s="67" t="str">
        <f t="shared" si="58"/>
        <v/>
      </c>
      <c r="BV62" s="67" t="str">
        <f t="shared" si="58"/>
        <v/>
      </c>
      <c r="BW62" s="67" t="str">
        <f t="shared" si="58"/>
        <v/>
      </c>
      <c r="BX62" s="67" t="str">
        <f t="shared" si="58"/>
        <v/>
      </c>
      <c r="BY62" s="67" t="str">
        <f t="shared" si="58"/>
        <v/>
      </c>
      <c r="BZ62" s="67" t="str">
        <f t="shared" si="58"/>
        <v/>
      </c>
      <c r="CA62" s="67" t="str">
        <f t="shared" si="58"/>
        <v/>
      </c>
      <c r="CB62" s="67" t="str">
        <f t="shared" si="58"/>
        <v/>
      </c>
      <c r="CC62" s="67" t="str">
        <f t="shared" si="58"/>
        <v/>
      </c>
      <c r="CD62" s="66"/>
      <c r="CE62" s="66"/>
      <c r="CF62" s="66"/>
      <c r="CG62" s="66"/>
      <c r="CH62" s="66"/>
      <c r="CI62" s="66"/>
    </row>
    <row r="63" spans="1:87" x14ac:dyDescent="0.2">
      <c r="A63"/>
      <c r="B63"/>
      <c r="C63" s="51" t="str">
        <f t="shared" si="3"/>
        <v/>
      </c>
      <c r="D63" s="51" t="str">
        <f t="shared" si="0"/>
        <v/>
      </c>
      <c r="E63" s="51" t="str">
        <f t="shared" si="4"/>
        <v/>
      </c>
      <c r="F63" s="51" t="str">
        <f>IFERROR(IF(E63&lt;&gt;"",SUM(E$8:E63),""),"")</f>
        <v/>
      </c>
      <c r="G63" s="52" t="str">
        <f t="shared" si="8"/>
        <v/>
      </c>
      <c r="H63" s="52" t="str">
        <f t="shared" si="5"/>
        <v/>
      </c>
      <c r="I63" s="53" t="str">
        <f t="shared" si="9"/>
        <v/>
      </c>
      <c r="S63" s="68">
        <v>12</v>
      </c>
      <c r="T63" s="67" t="str">
        <f t="shared" si="40"/>
        <v/>
      </c>
      <c r="U63" s="67" t="str">
        <f t="shared" ref="U63:AZ63" si="59">IFERROR(IF(T63&lt;(LOOKUP($S63,$N$8:$O$22)),T63+1,""),"")</f>
        <v/>
      </c>
      <c r="V63" s="67" t="str">
        <f t="shared" si="59"/>
        <v/>
      </c>
      <c r="W63" s="67" t="str">
        <f t="shared" si="59"/>
        <v/>
      </c>
      <c r="X63" s="67" t="str">
        <f t="shared" si="59"/>
        <v/>
      </c>
      <c r="Y63" s="67" t="str">
        <f t="shared" si="59"/>
        <v/>
      </c>
      <c r="Z63" s="67" t="str">
        <f t="shared" si="59"/>
        <v/>
      </c>
      <c r="AA63" s="67" t="str">
        <f t="shared" si="59"/>
        <v/>
      </c>
      <c r="AB63" s="67" t="str">
        <f t="shared" si="59"/>
        <v/>
      </c>
      <c r="AC63" s="67" t="str">
        <f t="shared" si="59"/>
        <v/>
      </c>
      <c r="AD63" s="67" t="str">
        <f t="shared" si="59"/>
        <v/>
      </c>
      <c r="AE63" s="67" t="str">
        <f t="shared" si="59"/>
        <v/>
      </c>
      <c r="AF63" s="67" t="str">
        <f t="shared" si="59"/>
        <v/>
      </c>
      <c r="AG63" s="67" t="str">
        <f t="shared" si="59"/>
        <v/>
      </c>
      <c r="AH63" s="67" t="str">
        <f t="shared" si="59"/>
        <v/>
      </c>
      <c r="AI63" s="67" t="str">
        <f t="shared" si="59"/>
        <v/>
      </c>
      <c r="AJ63" s="67" t="str">
        <f t="shared" si="59"/>
        <v/>
      </c>
      <c r="AK63" s="67" t="str">
        <f t="shared" si="59"/>
        <v/>
      </c>
      <c r="AL63" s="67" t="str">
        <f t="shared" si="59"/>
        <v/>
      </c>
      <c r="AM63" s="67" t="str">
        <f t="shared" si="59"/>
        <v/>
      </c>
      <c r="AN63" s="67" t="str">
        <f t="shared" si="59"/>
        <v/>
      </c>
      <c r="AO63" s="67" t="str">
        <f t="shared" si="59"/>
        <v/>
      </c>
      <c r="AP63" s="67" t="str">
        <f t="shared" si="59"/>
        <v/>
      </c>
      <c r="AQ63" s="67" t="str">
        <f t="shared" si="59"/>
        <v/>
      </c>
      <c r="AR63" s="67" t="str">
        <f t="shared" si="59"/>
        <v/>
      </c>
      <c r="AS63" s="67" t="str">
        <f t="shared" si="59"/>
        <v/>
      </c>
      <c r="AT63" s="67" t="str">
        <f t="shared" si="59"/>
        <v/>
      </c>
      <c r="AU63" s="67" t="str">
        <f t="shared" si="59"/>
        <v/>
      </c>
      <c r="AV63" s="67" t="str">
        <f t="shared" si="59"/>
        <v/>
      </c>
      <c r="AW63" s="67" t="str">
        <f t="shared" si="59"/>
        <v/>
      </c>
      <c r="AX63" s="67" t="str">
        <f t="shared" si="59"/>
        <v/>
      </c>
      <c r="AY63" s="67" t="str">
        <f t="shared" si="59"/>
        <v/>
      </c>
      <c r="AZ63" s="67" t="str">
        <f t="shared" si="59"/>
        <v/>
      </c>
      <c r="BA63" s="67" t="str">
        <f t="shared" ref="BA63:CC63" si="60">IFERROR(IF(AZ63&lt;(LOOKUP($S63,$N$8:$O$22)),AZ63+1,""),"")</f>
        <v/>
      </c>
      <c r="BB63" s="67" t="str">
        <f t="shared" si="60"/>
        <v/>
      </c>
      <c r="BC63" s="67" t="str">
        <f t="shared" si="60"/>
        <v/>
      </c>
      <c r="BD63" s="67" t="str">
        <f t="shared" si="60"/>
        <v/>
      </c>
      <c r="BE63" s="67" t="str">
        <f t="shared" si="60"/>
        <v/>
      </c>
      <c r="BF63" s="67" t="str">
        <f t="shared" si="60"/>
        <v/>
      </c>
      <c r="BG63" s="67" t="str">
        <f t="shared" si="60"/>
        <v/>
      </c>
      <c r="BH63" s="67" t="str">
        <f t="shared" si="60"/>
        <v/>
      </c>
      <c r="BI63" s="67" t="str">
        <f t="shared" si="60"/>
        <v/>
      </c>
      <c r="BJ63" s="67" t="str">
        <f t="shared" si="60"/>
        <v/>
      </c>
      <c r="BK63" s="67" t="str">
        <f t="shared" si="60"/>
        <v/>
      </c>
      <c r="BL63" s="67" t="str">
        <f t="shared" si="60"/>
        <v/>
      </c>
      <c r="BM63" s="67" t="str">
        <f t="shared" si="60"/>
        <v/>
      </c>
      <c r="BN63" s="67" t="str">
        <f t="shared" si="60"/>
        <v/>
      </c>
      <c r="BO63" s="67" t="str">
        <f t="shared" si="60"/>
        <v/>
      </c>
      <c r="BP63" s="67" t="str">
        <f t="shared" si="60"/>
        <v/>
      </c>
      <c r="BQ63" s="67" t="str">
        <f t="shared" si="60"/>
        <v/>
      </c>
      <c r="BR63" s="67" t="str">
        <f t="shared" si="60"/>
        <v/>
      </c>
      <c r="BS63" s="67" t="str">
        <f t="shared" si="60"/>
        <v/>
      </c>
      <c r="BT63" s="67" t="str">
        <f t="shared" si="60"/>
        <v/>
      </c>
      <c r="BU63" s="67" t="str">
        <f t="shared" si="60"/>
        <v/>
      </c>
      <c r="BV63" s="67" t="str">
        <f t="shared" si="60"/>
        <v/>
      </c>
      <c r="BW63" s="67" t="str">
        <f t="shared" si="60"/>
        <v/>
      </c>
      <c r="BX63" s="67" t="str">
        <f t="shared" si="60"/>
        <v/>
      </c>
      <c r="BY63" s="67" t="str">
        <f t="shared" si="60"/>
        <v/>
      </c>
      <c r="BZ63" s="67" t="str">
        <f t="shared" si="60"/>
        <v/>
      </c>
      <c r="CA63" s="67" t="str">
        <f t="shared" si="60"/>
        <v/>
      </c>
      <c r="CB63" s="67" t="str">
        <f t="shared" si="60"/>
        <v/>
      </c>
      <c r="CC63" s="67" t="str">
        <f t="shared" si="60"/>
        <v/>
      </c>
      <c r="CD63" s="66"/>
      <c r="CE63" s="66"/>
      <c r="CF63" s="66"/>
      <c r="CG63" s="66"/>
      <c r="CH63" s="66"/>
      <c r="CI63" s="66"/>
    </row>
    <row r="64" spans="1:87" x14ac:dyDescent="0.2">
      <c r="A64"/>
      <c r="B64"/>
      <c r="C64" s="51" t="str">
        <f t="shared" si="3"/>
        <v/>
      </c>
      <c r="D64" s="51" t="str">
        <f t="shared" si="0"/>
        <v/>
      </c>
      <c r="E64" s="51" t="str">
        <f t="shared" si="4"/>
        <v/>
      </c>
      <c r="F64" s="51" t="str">
        <f>IFERROR(IF(E64&lt;&gt;"",SUM(E$8:E64),""),"")</f>
        <v/>
      </c>
      <c r="G64" s="52" t="str">
        <f t="shared" si="8"/>
        <v/>
      </c>
      <c r="H64" s="52" t="str">
        <f t="shared" si="5"/>
        <v/>
      </c>
      <c r="I64" s="53" t="str">
        <f t="shared" si="9"/>
        <v/>
      </c>
      <c r="S64" s="68">
        <v>13</v>
      </c>
      <c r="T64" s="67" t="str">
        <f t="shared" si="40"/>
        <v/>
      </c>
      <c r="U64" s="67" t="str">
        <f t="shared" ref="U64:AZ64" si="61">IFERROR(IF(T64&lt;(LOOKUP($S64,$N$8:$O$22)),T64+1,""),"")</f>
        <v/>
      </c>
      <c r="V64" s="67" t="str">
        <f t="shared" si="61"/>
        <v/>
      </c>
      <c r="W64" s="67" t="str">
        <f t="shared" si="61"/>
        <v/>
      </c>
      <c r="X64" s="67" t="str">
        <f t="shared" si="61"/>
        <v/>
      </c>
      <c r="Y64" s="67" t="str">
        <f t="shared" si="61"/>
        <v/>
      </c>
      <c r="Z64" s="67" t="str">
        <f t="shared" si="61"/>
        <v/>
      </c>
      <c r="AA64" s="67" t="str">
        <f t="shared" si="61"/>
        <v/>
      </c>
      <c r="AB64" s="67" t="str">
        <f t="shared" si="61"/>
        <v/>
      </c>
      <c r="AC64" s="67" t="str">
        <f t="shared" si="61"/>
        <v/>
      </c>
      <c r="AD64" s="67" t="str">
        <f t="shared" si="61"/>
        <v/>
      </c>
      <c r="AE64" s="67" t="str">
        <f t="shared" si="61"/>
        <v/>
      </c>
      <c r="AF64" s="67" t="str">
        <f t="shared" si="61"/>
        <v/>
      </c>
      <c r="AG64" s="67" t="str">
        <f t="shared" si="61"/>
        <v/>
      </c>
      <c r="AH64" s="67" t="str">
        <f t="shared" si="61"/>
        <v/>
      </c>
      <c r="AI64" s="67" t="str">
        <f t="shared" si="61"/>
        <v/>
      </c>
      <c r="AJ64" s="67" t="str">
        <f t="shared" si="61"/>
        <v/>
      </c>
      <c r="AK64" s="67" t="str">
        <f t="shared" si="61"/>
        <v/>
      </c>
      <c r="AL64" s="67" t="str">
        <f t="shared" si="61"/>
        <v/>
      </c>
      <c r="AM64" s="67" t="str">
        <f t="shared" si="61"/>
        <v/>
      </c>
      <c r="AN64" s="67" t="str">
        <f t="shared" si="61"/>
        <v/>
      </c>
      <c r="AO64" s="67" t="str">
        <f t="shared" si="61"/>
        <v/>
      </c>
      <c r="AP64" s="67" t="str">
        <f t="shared" si="61"/>
        <v/>
      </c>
      <c r="AQ64" s="67" t="str">
        <f t="shared" si="61"/>
        <v/>
      </c>
      <c r="AR64" s="67" t="str">
        <f t="shared" si="61"/>
        <v/>
      </c>
      <c r="AS64" s="67" t="str">
        <f t="shared" si="61"/>
        <v/>
      </c>
      <c r="AT64" s="67" t="str">
        <f t="shared" si="61"/>
        <v/>
      </c>
      <c r="AU64" s="67" t="str">
        <f t="shared" si="61"/>
        <v/>
      </c>
      <c r="AV64" s="67" t="str">
        <f t="shared" si="61"/>
        <v/>
      </c>
      <c r="AW64" s="67" t="str">
        <f t="shared" si="61"/>
        <v/>
      </c>
      <c r="AX64" s="67" t="str">
        <f t="shared" si="61"/>
        <v/>
      </c>
      <c r="AY64" s="67" t="str">
        <f t="shared" si="61"/>
        <v/>
      </c>
      <c r="AZ64" s="67" t="str">
        <f t="shared" si="61"/>
        <v/>
      </c>
      <c r="BA64" s="67" t="str">
        <f t="shared" ref="BA64:CC64" si="62">IFERROR(IF(AZ64&lt;(LOOKUP($S64,$N$8:$O$22)),AZ64+1,""),"")</f>
        <v/>
      </c>
      <c r="BB64" s="67" t="str">
        <f t="shared" si="62"/>
        <v/>
      </c>
      <c r="BC64" s="67" t="str">
        <f t="shared" si="62"/>
        <v/>
      </c>
      <c r="BD64" s="67" t="str">
        <f t="shared" si="62"/>
        <v/>
      </c>
      <c r="BE64" s="67" t="str">
        <f t="shared" si="62"/>
        <v/>
      </c>
      <c r="BF64" s="67" t="str">
        <f t="shared" si="62"/>
        <v/>
      </c>
      <c r="BG64" s="67" t="str">
        <f t="shared" si="62"/>
        <v/>
      </c>
      <c r="BH64" s="67" t="str">
        <f t="shared" si="62"/>
        <v/>
      </c>
      <c r="BI64" s="67" t="str">
        <f t="shared" si="62"/>
        <v/>
      </c>
      <c r="BJ64" s="67" t="str">
        <f t="shared" si="62"/>
        <v/>
      </c>
      <c r="BK64" s="67" t="str">
        <f t="shared" si="62"/>
        <v/>
      </c>
      <c r="BL64" s="67" t="str">
        <f t="shared" si="62"/>
        <v/>
      </c>
      <c r="BM64" s="67" t="str">
        <f t="shared" si="62"/>
        <v/>
      </c>
      <c r="BN64" s="67" t="str">
        <f t="shared" si="62"/>
        <v/>
      </c>
      <c r="BO64" s="67" t="str">
        <f t="shared" si="62"/>
        <v/>
      </c>
      <c r="BP64" s="67" t="str">
        <f t="shared" si="62"/>
        <v/>
      </c>
      <c r="BQ64" s="67" t="str">
        <f t="shared" si="62"/>
        <v/>
      </c>
      <c r="BR64" s="67" t="str">
        <f t="shared" si="62"/>
        <v/>
      </c>
      <c r="BS64" s="67" t="str">
        <f t="shared" si="62"/>
        <v/>
      </c>
      <c r="BT64" s="67" t="str">
        <f t="shared" si="62"/>
        <v/>
      </c>
      <c r="BU64" s="67" t="str">
        <f t="shared" si="62"/>
        <v/>
      </c>
      <c r="BV64" s="67" t="str">
        <f t="shared" si="62"/>
        <v/>
      </c>
      <c r="BW64" s="67" t="str">
        <f t="shared" si="62"/>
        <v/>
      </c>
      <c r="BX64" s="67" t="str">
        <f t="shared" si="62"/>
        <v/>
      </c>
      <c r="BY64" s="67" t="str">
        <f t="shared" si="62"/>
        <v/>
      </c>
      <c r="BZ64" s="67" t="str">
        <f t="shared" si="62"/>
        <v/>
      </c>
      <c r="CA64" s="67" t="str">
        <f t="shared" si="62"/>
        <v/>
      </c>
      <c r="CB64" s="67" t="str">
        <f t="shared" si="62"/>
        <v/>
      </c>
      <c r="CC64" s="67" t="str">
        <f t="shared" si="62"/>
        <v/>
      </c>
      <c r="CD64" s="66"/>
      <c r="CE64" s="66"/>
      <c r="CF64" s="66"/>
      <c r="CG64" s="66"/>
      <c r="CH64" s="66"/>
      <c r="CI64" s="66"/>
    </row>
    <row r="65" spans="1:87" x14ac:dyDescent="0.2">
      <c r="A65"/>
      <c r="B65"/>
      <c r="C65" s="51" t="str">
        <f t="shared" si="3"/>
        <v/>
      </c>
      <c r="D65" s="51" t="str">
        <f t="shared" si="0"/>
        <v/>
      </c>
      <c r="E65" s="51" t="str">
        <f t="shared" si="4"/>
        <v/>
      </c>
      <c r="F65" s="51" t="str">
        <f>IFERROR(IF(E65&lt;&gt;"",SUM(E$8:E65),""),"")</f>
        <v/>
      </c>
      <c r="G65" s="52" t="str">
        <f t="shared" si="8"/>
        <v/>
      </c>
      <c r="H65" s="52" t="str">
        <f t="shared" si="5"/>
        <v/>
      </c>
      <c r="I65" s="53" t="str">
        <f t="shared" si="9"/>
        <v/>
      </c>
      <c r="S65" s="68">
        <v>14</v>
      </c>
      <c r="T65" s="67" t="str">
        <f t="shared" si="40"/>
        <v/>
      </c>
      <c r="U65" s="67" t="str">
        <f t="shared" ref="U65:AZ65" si="63">IFERROR(IF(T65&lt;(LOOKUP($S65,$N$8:$O$22)),T65+1,""),"")</f>
        <v/>
      </c>
      <c r="V65" s="67" t="str">
        <f t="shared" si="63"/>
        <v/>
      </c>
      <c r="W65" s="67" t="str">
        <f t="shared" si="63"/>
        <v/>
      </c>
      <c r="X65" s="67" t="str">
        <f t="shared" si="63"/>
        <v/>
      </c>
      <c r="Y65" s="67" t="str">
        <f t="shared" si="63"/>
        <v/>
      </c>
      <c r="Z65" s="67" t="str">
        <f t="shared" si="63"/>
        <v/>
      </c>
      <c r="AA65" s="67" t="str">
        <f t="shared" si="63"/>
        <v/>
      </c>
      <c r="AB65" s="67" t="str">
        <f t="shared" si="63"/>
        <v/>
      </c>
      <c r="AC65" s="67" t="str">
        <f t="shared" si="63"/>
        <v/>
      </c>
      <c r="AD65" s="67" t="str">
        <f t="shared" si="63"/>
        <v/>
      </c>
      <c r="AE65" s="67" t="str">
        <f t="shared" si="63"/>
        <v/>
      </c>
      <c r="AF65" s="67" t="str">
        <f t="shared" si="63"/>
        <v/>
      </c>
      <c r="AG65" s="67" t="str">
        <f t="shared" si="63"/>
        <v/>
      </c>
      <c r="AH65" s="67" t="str">
        <f t="shared" si="63"/>
        <v/>
      </c>
      <c r="AI65" s="67" t="str">
        <f t="shared" si="63"/>
        <v/>
      </c>
      <c r="AJ65" s="67" t="str">
        <f t="shared" si="63"/>
        <v/>
      </c>
      <c r="AK65" s="67" t="str">
        <f t="shared" si="63"/>
        <v/>
      </c>
      <c r="AL65" s="67" t="str">
        <f t="shared" si="63"/>
        <v/>
      </c>
      <c r="AM65" s="67" t="str">
        <f t="shared" si="63"/>
        <v/>
      </c>
      <c r="AN65" s="67" t="str">
        <f t="shared" si="63"/>
        <v/>
      </c>
      <c r="AO65" s="67" t="str">
        <f t="shared" si="63"/>
        <v/>
      </c>
      <c r="AP65" s="67" t="str">
        <f t="shared" si="63"/>
        <v/>
      </c>
      <c r="AQ65" s="67" t="str">
        <f t="shared" si="63"/>
        <v/>
      </c>
      <c r="AR65" s="67" t="str">
        <f t="shared" si="63"/>
        <v/>
      </c>
      <c r="AS65" s="67" t="str">
        <f t="shared" si="63"/>
        <v/>
      </c>
      <c r="AT65" s="67" t="str">
        <f t="shared" si="63"/>
        <v/>
      </c>
      <c r="AU65" s="67" t="str">
        <f t="shared" si="63"/>
        <v/>
      </c>
      <c r="AV65" s="67" t="str">
        <f t="shared" si="63"/>
        <v/>
      </c>
      <c r="AW65" s="67" t="str">
        <f t="shared" si="63"/>
        <v/>
      </c>
      <c r="AX65" s="67" t="str">
        <f t="shared" si="63"/>
        <v/>
      </c>
      <c r="AY65" s="67" t="str">
        <f t="shared" si="63"/>
        <v/>
      </c>
      <c r="AZ65" s="67" t="str">
        <f t="shared" si="63"/>
        <v/>
      </c>
      <c r="BA65" s="67" t="str">
        <f t="shared" ref="BA65:CC65" si="64">IFERROR(IF(AZ65&lt;(LOOKUP($S65,$N$8:$O$22)),AZ65+1,""),"")</f>
        <v/>
      </c>
      <c r="BB65" s="67" t="str">
        <f t="shared" si="64"/>
        <v/>
      </c>
      <c r="BC65" s="67" t="str">
        <f t="shared" si="64"/>
        <v/>
      </c>
      <c r="BD65" s="67" t="str">
        <f t="shared" si="64"/>
        <v/>
      </c>
      <c r="BE65" s="67" t="str">
        <f t="shared" si="64"/>
        <v/>
      </c>
      <c r="BF65" s="67" t="str">
        <f t="shared" si="64"/>
        <v/>
      </c>
      <c r="BG65" s="67" t="str">
        <f t="shared" si="64"/>
        <v/>
      </c>
      <c r="BH65" s="67" t="str">
        <f t="shared" si="64"/>
        <v/>
      </c>
      <c r="BI65" s="67" t="str">
        <f t="shared" si="64"/>
        <v/>
      </c>
      <c r="BJ65" s="67" t="str">
        <f t="shared" si="64"/>
        <v/>
      </c>
      <c r="BK65" s="67" t="str">
        <f t="shared" si="64"/>
        <v/>
      </c>
      <c r="BL65" s="67" t="str">
        <f t="shared" si="64"/>
        <v/>
      </c>
      <c r="BM65" s="67" t="str">
        <f t="shared" si="64"/>
        <v/>
      </c>
      <c r="BN65" s="67" t="str">
        <f t="shared" si="64"/>
        <v/>
      </c>
      <c r="BO65" s="67" t="str">
        <f t="shared" si="64"/>
        <v/>
      </c>
      <c r="BP65" s="67" t="str">
        <f t="shared" si="64"/>
        <v/>
      </c>
      <c r="BQ65" s="67" t="str">
        <f t="shared" si="64"/>
        <v/>
      </c>
      <c r="BR65" s="67" t="str">
        <f t="shared" si="64"/>
        <v/>
      </c>
      <c r="BS65" s="67" t="str">
        <f t="shared" si="64"/>
        <v/>
      </c>
      <c r="BT65" s="67" t="str">
        <f t="shared" si="64"/>
        <v/>
      </c>
      <c r="BU65" s="67" t="str">
        <f t="shared" si="64"/>
        <v/>
      </c>
      <c r="BV65" s="67" t="str">
        <f t="shared" si="64"/>
        <v/>
      </c>
      <c r="BW65" s="67" t="str">
        <f t="shared" si="64"/>
        <v/>
      </c>
      <c r="BX65" s="67" t="str">
        <f t="shared" si="64"/>
        <v/>
      </c>
      <c r="BY65" s="67" t="str">
        <f t="shared" si="64"/>
        <v/>
      </c>
      <c r="BZ65" s="67" t="str">
        <f t="shared" si="64"/>
        <v/>
      </c>
      <c r="CA65" s="67" t="str">
        <f t="shared" si="64"/>
        <v/>
      </c>
      <c r="CB65" s="67" t="str">
        <f t="shared" si="64"/>
        <v/>
      </c>
      <c r="CC65" s="67" t="str">
        <f t="shared" si="64"/>
        <v/>
      </c>
      <c r="CD65" s="66"/>
      <c r="CE65" s="66"/>
      <c r="CF65" s="66"/>
      <c r="CG65" s="66"/>
      <c r="CH65" s="66"/>
      <c r="CI65" s="66"/>
    </row>
    <row r="66" spans="1:87" x14ac:dyDescent="0.2">
      <c r="A66"/>
      <c r="B66"/>
      <c r="C66" s="51" t="str">
        <f t="shared" si="3"/>
        <v/>
      </c>
      <c r="D66" s="51" t="str">
        <f t="shared" si="0"/>
        <v/>
      </c>
      <c r="E66" s="51" t="str">
        <f t="shared" si="4"/>
        <v/>
      </c>
      <c r="F66" s="51" t="str">
        <f>IFERROR(IF(E66&lt;&gt;"",SUM(E$8:E66),""),"")</f>
        <v/>
      </c>
      <c r="G66" s="52" t="str">
        <f t="shared" si="8"/>
        <v/>
      </c>
      <c r="H66" s="52" t="str">
        <f t="shared" si="5"/>
        <v/>
      </c>
      <c r="I66" s="53" t="str">
        <f t="shared" si="9"/>
        <v/>
      </c>
      <c r="S66" s="68">
        <v>15</v>
      </c>
      <c r="T66" s="67" t="str">
        <f t="shared" si="40"/>
        <v/>
      </c>
      <c r="U66" s="67" t="str">
        <f t="shared" ref="U66:AZ66" si="65">IFERROR(IF(T66&lt;(LOOKUP($S66,$N$8:$O$22)),T66+1,""),"")</f>
        <v/>
      </c>
      <c r="V66" s="67" t="str">
        <f t="shared" si="65"/>
        <v/>
      </c>
      <c r="W66" s="67" t="str">
        <f t="shared" si="65"/>
        <v/>
      </c>
      <c r="X66" s="67" t="str">
        <f t="shared" si="65"/>
        <v/>
      </c>
      <c r="Y66" s="67" t="str">
        <f t="shared" si="65"/>
        <v/>
      </c>
      <c r="Z66" s="67" t="str">
        <f t="shared" si="65"/>
        <v/>
      </c>
      <c r="AA66" s="67" t="str">
        <f t="shared" si="65"/>
        <v/>
      </c>
      <c r="AB66" s="67" t="str">
        <f t="shared" si="65"/>
        <v/>
      </c>
      <c r="AC66" s="67" t="str">
        <f t="shared" si="65"/>
        <v/>
      </c>
      <c r="AD66" s="67" t="str">
        <f t="shared" si="65"/>
        <v/>
      </c>
      <c r="AE66" s="67" t="str">
        <f t="shared" si="65"/>
        <v/>
      </c>
      <c r="AF66" s="67" t="str">
        <f t="shared" si="65"/>
        <v/>
      </c>
      <c r="AG66" s="67" t="str">
        <f t="shared" si="65"/>
        <v/>
      </c>
      <c r="AH66" s="67" t="str">
        <f t="shared" si="65"/>
        <v/>
      </c>
      <c r="AI66" s="67" t="str">
        <f t="shared" si="65"/>
        <v/>
      </c>
      <c r="AJ66" s="67" t="str">
        <f t="shared" si="65"/>
        <v/>
      </c>
      <c r="AK66" s="67" t="str">
        <f t="shared" si="65"/>
        <v/>
      </c>
      <c r="AL66" s="67" t="str">
        <f t="shared" si="65"/>
        <v/>
      </c>
      <c r="AM66" s="67" t="str">
        <f t="shared" si="65"/>
        <v/>
      </c>
      <c r="AN66" s="67" t="str">
        <f t="shared" si="65"/>
        <v/>
      </c>
      <c r="AO66" s="67" t="str">
        <f t="shared" si="65"/>
        <v/>
      </c>
      <c r="AP66" s="67" t="str">
        <f t="shared" si="65"/>
        <v/>
      </c>
      <c r="AQ66" s="67" t="str">
        <f t="shared" si="65"/>
        <v/>
      </c>
      <c r="AR66" s="67" t="str">
        <f t="shared" si="65"/>
        <v/>
      </c>
      <c r="AS66" s="67" t="str">
        <f t="shared" si="65"/>
        <v/>
      </c>
      <c r="AT66" s="67" t="str">
        <f t="shared" si="65"/>
        <v/>
      </c>
      <c r="AU66" s="67" t="str">
        <f t="shared" si="65"/>
        <v/>
      </c>
      <c r="AV66" s="67" t="str">
        <f t="shared" si="65"/>
        <v/>
      </c>
      <c r="AW66" s="67" t="str">
        <f t="shared" si="65"/>
        <v/>
      </c>
      <c r="AX66" s="67" t="str">
        <f t="shared" si="65"/>
        <v/>
      </c>
      <c r="AY66" s="67" t="str">
        <f t="shared" si="65"/>
        <v/>
      </c>
      <c r="AZ66" s="67" t="str">
        <f t="shared" si="65"/>
        <v/>
      </c>
      <c r="BA66" s="67" t="str">
        <f t="shared" ref="BA66:CC66" si="66">IFERROR(IF(AZ66&lt;(LOOKUP($S66,$N$8:$O$22)),AZ66+1,""),"")</f>
        <v/>
      </c>
      <c r="BB66" s="67" t="str">
        <f t="shared" si="66"/>
        <v/>
      </c>
      <c r="BC66" s="67" t="str">
        <f t="shared" si="66"/>
        <v/>
      </c>
      <c r="BD66" s="67" t="str">
        <f t="shared" si="66"/>
        <v/>
      </c>
      <c r="BE66" s="67" t="str">
        <f t="shared" si="66"/>
        <v/>
      </c>
      <c r="BF66" s="67" t="str">
        <f t="shared" si="66"/>
        <v/>
      </c>
      <c r="BG66" s="67" t="str">
        <f t="shared" si="66"/>
        <v/>
      </c>
      <c r="BH66" s="67" t="str">
        <f t="shared" si="66"/>
        <v/>
      </c>
      <c r="BI66" s="67" t="str">
        <f t="shared" si="66"/>
        <v/>
      </c>
      <c r="BJ66" s="67" t="str">
        <f t="shared" si="66"/>
        <v/>
      </c>
      <c r="BK66" s="67" t="str">
        <f t="shared" si="66"/>
        <v/>
      </c>
      <c r="BL66" s="67" t="str">
        <f t="shared" si="66"/>
        <v/>
      </c>
      <c r="BM66" s="67" t="str">
        <f t="shared" si="66"/>
        <v/>
      </c>
      <c r="BN66" s="67" t="str">
        <f t="shared" si="66"/>
        <v/>
      </c>
      <c r="BO66" s="67" t="str">
        <f t="shared" si="66"/>
        <v/>
      </c>
      <c r="BP66" s="67" t="str">
        <f t="shared" si="66"/>
        <v/>
      </c>
      <c r="BQ66" s="67" t="str">
        <f t="shared" si="66"/>
        <v/>
      </c>
      <c r="BR66" s="67" t="str">
        <f t="shared" si="66"/>
        <v/>
      </c>
      <c r="BS66" s="67" t="str">
        <f t="shared" si="66"/>
        <v/>
      </c>
      <c r="BT66" s="67" t="str">
        <f t="shared" si="66"/>
        <v/>
      </c>
      <c r="BU66" s="67" t="str">
        <f t="shared" si="66"/>
        <v/>
      </c>
      <c r="BV66" s="67" t="str">
        <f t="shared" si="66"/>
        <v/>
      </c>
      <c r="BW66" s="67" t="str">
        <f t="shared" si="66"/>
        <v/>
      </c>
      <c r="BX66" s="67" t="str">
        <f t="shared" si="66"/>
        <v/>
      </c>
      <c r="BY66" s="67" t="str">
        <f t="shared" si="66"/>
        <v/>
      </c>
      <c r="BZ66" s="67" t="str">
        <f t="shared" si="66"/>
        <v/>
      </c>
      <c r="CA66" s="67" t="str">
        <f t="shared" si="66"/>
        <v/>
      </c>
      <c r="CB66" s="67" t="str">
        <f t="shared" si="66"/>
        <v/>
      </c>
      <c r="CC66" s="67" t="str">
        <f t="shared" si="66"/>
        <v/>
      </c>
      <c r="CD66" s="66"/>
      <c r="CE66" s="66"/>
      <c r="CF66" s="66"/>
      <c r="CG66" s="66"/>
      <c r="CH66" s="66"/>
      <c r="CI66" s="66"/>
    </row>
    <row r="67" spans="1:87" x14ac:dyDescent="0.2">
      <c r="A67"/>
      <c r="B67"/>
      <c r="C67" s="51" t="str">
        <f t="shared" si="3"/>
        <v/>
      </c>
      <c r="D67" s="51" t="str">
        <f t="shared" si="0"/>
        <v/>
      </c>
      <c r="E67" s="51" t="str">
        <f t="shared" si="4"/>
        <v/>
      </c>
      <c r="F67" s="51" t="str">
        <f>IFERROR(IF(E67&lt;&gt;"",SUM(E$8:E67),""),"")</f>
        <v/>
      </c>
      <c r="G67" s="52" t="str">
        <f t="shared" si="8"/>
        <v/>
      </c>
      <c r="H67" s="52" t="str">
        <f t="shared" si="5"/>
        <v/>
      </c>
      <c r="I67" s="53" t="str">
        <f t="shared" si="9"/>
        <v/>
      </c>
      <c r="S67" s="68">
        <v>16</v>
      </c>
      <c r="T67" s="67" t="str">
        <f>IFERROR(O22,"")</f>
        <v/>
      </c>
      <c r="U67" s="67" t="str">
        <f t="shared" ref="U67:AZ67" si="67">IFERROR(IF(T67&lt;(LOOKUP($S67,$N$8:$O$22)),T67+1,""),"")</f>
        <v/>
      </c>
      <c r="V67" s="67" t="str">
        <f t="shared" si="67"/>
        <v/>
      </c>
      <c r="W67" s="67" t="str">
        <f t="shared" si="67"/>
        <v/>
      </c>
      <c r="X67" s="67" t="str">
        <f t="shared" si="67"/>
        <v/>
      </c>
      <c r="Y67" s="67" t="str">
        <f t="shared" si="67"/>
        <v/>
      </c>
      <c r="Z67" s="67" t="str">
        <f t="shared" si="67"/>
        <v/>
      </c>
      <c r="AA67" s="67" t="str">
        <f t="shared" si="67"/>
        <v/>
      </c>
      <c r="AB67" s="67" t="str">
        <f t="shared" si="67"/>
        <v/>
      </c>
      <c r="AC67" s="67" t="str">
        <f t="shared" si="67"/>
        <v/>
      </c>
      <c r="AD67" s="67" t="str">
        <f t="shared" si="67"/>
        <v/>
      </c>
      <c r="AE67" s="67" t="str">
        <f t="shared" si="67"/>
        <v/>
      </c>
      <c r="AF67" s="67" t="str">
        <f t="shared" si="67"/>
        <v/>
      </c>
      <c r="AG67" s="67" t="str">
        <f t="shared" si="67"/>
        <v/>
      </c>
      <c r="AH67" s="67" t="str">
        <f t="shared" si="67"/>
        <v/>
      </c>
      <c r="AI67" s="67" t="str">
        <f t="shared" si="67"/>
        <v/>
      </c>
      <c r="AJ67" s="67" t="str">
        <f t="shared" si="67"/>
        <v/>
      </c>
      <c r="AK67" s="67" t="str">
        <f t="shared" si="67"/>
        <v/>
      </c>
      <c r="AL67" s="67" t="str">
        <f t="shared" si="67"/>
        <v/>
      </c>
      <c r="AM67" s="67" t="str">
        <f t="shared" si="67"/>
        <v/>
      </c>
      <c r="AN67" s="67" t="str">
        <f t="shared" si="67"/>
        <v/>
      </c>
      <c r="AO67" s="67" t="str">
        <f t="shared" si="67"/>
        <v/>
      </c>
      <c r="AP67" s="67" t="str">
        <f t="shared" si="67"/>
        <v/>
      </c>
      <c r="AQ67" s="67" t="str">
        <f t="shared" si="67"/>
        <v/>
      </c>
      <c r="AR67" s="67" t="str">
        <f t="shared" si="67"/>
        <v/>
      </c>
      <c r="AS67" s="67" t="str">
        <f t="shared" si="67"/>
        <v/>
      </c>
      <c r="AT67" s="67" t="str">
        <f t="shared" si="67"/>
        <v/>
      </c>
      <c r="AU67" s="67" t="str">
        <f t="shared" si="67"/>
        <v/>
      </c>
      <c r="AV67" s="67" t="str">
        <f t="shared" si="67"/>
        <v/>
      </c>
      <c r="AW67" s="67" t="str">
        <f t="shared" si="67"/>
        <v/>
      </c>
      <c r="AX67" s="67" t="str">
        <f t="shared" si="67"/>
        <v/>
      </c>
      <c r="AY67" s="67" t="str">
        <f t="shared" si="67"/>
        <v/>
      </c>
      <c r="AZ67" s="67" t="str">
        <f t="shared" si="67"/>
        <v/>
      </c>
      <c r="BA67" s="67" t="str">
        <f t="shared" ref="BA67:CC67" si="68">IFERROR(IF(AZ67&lt;(LOOKUP($S67,$N$8:$O$22)),AZ67+1,""),"")</f>
        <v/>
      </c>
      <c r="BB67" s="67" t="str">
        <f t="shared" si="68"/>
        <v/>
      </c>
      <c r="BC67" s="67" t="str">
        <f t="shared" si="68"/>
        <v/>
      </c>
      <c r="BD67" s="67" t="str">
        <f t="shared" si="68"/>
        <v/>
      </c>
      <c r="BE67" s="67" t="str">
        <f t="shared" si="68"/>
        <v/>
      </c>
      <c r="BF67" s="67" t="str">
        <f t="shared" si="68"/>
        <v/>
      </c>
      <c r="BG67" s="67" t="str">
        <f t="shared" si="68"/>
        <v/>
      </c>
      <c r="BH67" s="67" t="str">
        <f t="shared" si="68"/>
        <v/>
      </c>
      <c r="BI67" s="67" t="str">
        <f t="shared" si="68"/>
        <v/>
      </c>
      <c r="BJ67" s="67" t="str">
        <f t="shared" si="68"/>
        <v/>
      </c>
      <c r="BK67" s="67" t="str">
        <f t="shared" si="68"/>
        <v/>
      </c>
      <c r="BL67" s="67" t="str">
        <f t="shared" si="68"/>
        <v/>
      </c>
      <c r="BM67" s="67" t="str">
        <f t="shared" si="68"/>
        <v/>
      </c>
      <c r="BN67" s="67" t="str">
        <f t="shared" si="68"/>
        <v/>
      </c>
      <c r="BO67" s="67" t="str">
        <f t="shared" si="68"/>
        <v/>
      </c>
      <c r="BP67" s="67" t="str">
        <f t="shared" si="68"/>
        <v/>
      </c>
      <c r="BQ67" s="67" t="str">
        <f t="shared" si="68"/>
        <v/>
      </c>
      <c r="BR67" s="67" t="str">
        <f t="shared" si="68"/>
        <v/>
      </c>
      <c r="BS67" s="67" t="str">
        <f t="shared" si="68"/>
        <v/>
      </c>
      <c r="BT67" s="67" t="str">
        <f t="shared" si="68"/>
        <v/>
      </c>
      <c r="BU67" s="67" t="str">
        <f t="shared" si="68"/>
        <v/>
      </c>
      <c r="BV67" s="67" t="str">
        <f t="shared" si="68"/>
        <v/>
      </c>
      <c r="BW67" s="67" t="str">
        <f t="shared" si="68"/>
        <v/>
      </c>
      <c r="BX67" s="67" t="str">
        <f t="shared" si="68"/>
        <v/>
      </c>
      <c r="BY67" s="67" t="str">
        <f t="shared" si="68"/>
        <v/>
      </c>
      <c r="BZ67" s="67" t="str">
        <f t="shared" si="68"/>
        <v/>
      </c>
      <c r="CA67" s="67" t="str">
        <f t="shared" si="68"/>
        <v/>
      </c>
      <c r="CB67" s="67" t="str">
        <f t="shared" si="68"/>
        <v/>
      </c>
      <c r="CC67" s="67" t="str">
        <f t="shared" si="68"/>
        <v/>
      </c>
      <c r="CD67" s="66"/>
      <c r="CE67" s="66"/>
      <c r="CF67" s="66"/>
      <c r="CG67" s="66"/>
      <c r="CH67" s="66"/>
      <c r="CI67" s="66"/>
    </row>
    <row r="68" spans="1:87" x14ac:dyDescent="0.2">
      <c r="A68"/>
      <c r="B68"/>
      <c r="C68" s="51" t="str">
        <f t="shared" si="3"/>
        <v/>
      </c>
      <c r="D68" s="51" t="str">
        <f t="shared" si="0"/>
        <v/>
      </c>
      <c r="E68" s="51" t="str">
        <f t="shared" si="4"/>
        <v/>
      </c>
      <c r="F68" s="51" t="str">
        <f>IFERROR(IF(E68&lt;&gt;"",SUM(E$8:E68),""),"")</f>
        <v/>
      </c>
      <c r="G68" s="52" t="str">
        <f t="shared" si="8"/>
        <v/>
      </c>
      <c r="H68" s="52" t="str">
        <f t="shared" si="5"/>
        <v/>
      </c>
      <c r="I68" s="53" t="str">
        <f t="shared" si="9"/>
        <v/>
      </c>
      <c r="S68" s="66"/>
      <c r="T68" s="69"/>
      <c r="U68" s="69"/>
      <c r="V68" s="69"/>
      <c r="W68" s="69"/>
      <c r="X68" s="69"/>
      <c r="Y68" s="69"/>
      <c r="Z68" s="69"/>
      <c r="AA68" s="69"/>
      <c r="AB68" s="69"/>
      <c r="AC68" s="69"/>
      <c r="AD68" s="69"/>
      <c r="AE68" s="69"/>
      <c r="AF68" s="69"/>
      <c r="AG68" s="69"/>
      <c r="AH68" s="69"/>
      <c r="AI68" s="69"/>
      <c r="AJ68" s="69"/>
      <c r="AK68" s="69"/>
      <c r="AL68" s="69"/>
      <c r="AM68" s="69"/>
      <c r="AN68" s="69"/>
      <c r="AO68" s="69"/>
      <c r="AP68" s="69"/>
      <c r="AQ68" s="69"/>
      <c r="AR68" s="69"/>
      <c r="AS68" s="69"/>
      <c r="AT68" s="69"/>
      <c r="AU68" s="69"/>
      <c r="AV68" s="69"/>
      <c r="AW68" s="69"/>
      <c r="AX68" s="70"/>
      <c r="AY68" s="70"/>
      <c r="AZ68" s="70"/>
      <c r="BA68" s="70"/>
      <c r="BB68" s="70"/>
      <c r="BC68" s="70"/>
      <c r="BD68" s="70"/>
      <c r="BE68" s="70"/>
      <c r="BF68" s="70"/>
      <c r="BG68" s="70"/>
      <c r="BH68" s="70"/>
      <c r="BI68" s="70"/>
      <c r="BJ68" s="70"/>
      <c r="BK68" s="70"/>
      <c r="BL68" s="70"/>
      <c r="BM68" s="70"/>
      <c r="BN68" s="70"/>
      <c r="BO68" s="70"/>
      <c r="BP68" s="70"/>
      <c r="BQ68" s="70"/>
      <c r="BR68" s="70"/>
      <c r="BS68" s="70"/>
      <c r="BT68" s="70"/>
      <c r="BU68" s="70"/>
      <c r="BV68" s="70"/>
      <c r="BW68" s="70"/>
      <c r="BX68" s="70"/>
      <c r="BY68" s="70"/>
      <c r="BZ68" s="70"/>
      <c r="CA68" s="70"/>
      <c r="CB68" s="70"/>
      <c r="CC68" s="70"/>
      <c r="CD68" s="66"/>
      <c r="CE68" s="66"/>
      <c r="CF68" s="66"/>
      <c r="CG68" s="66"/>
      <c r="CH68" s="66"/>
      <c r="CI68" s="66"/>
    </row>
    <row r="69" spans="1:87" x14ac:dyDescent="0.2">
      <c r="A69"/>
      <c r="B69"/>
      <c r="C69" s="51" t="str">
        <f t="shared" si="3"/>
        <v/>
      </c>
      <c r="D69" s="51" t="str">
        <f t="shared" si="0"/>
        <v/>
      </c>
      <c r="E69" s="51" t="str">
        <f t="shared" si="4"/>
        <v/>
      </c>
      <c r="F69" s="51" t="str">
        <f>IFERROR(IF(E69&lt;&gt;"",SUM(E$8:E69),""),"")</f>
        <v/>
      </c>
      <c r="G69" s="52" t="str">
        <f t="shared" si="8"/>
        <v/>
      </c>
      <c r="H69" s="52" t="str">
        <f t="shared" si="5"/>
        <v/>
      </c>
      <c r="I69" s="53" t="str">
        <f t="shared" si="9"/>
        <v/>
      </c>
      <c r="S69" s="66"/>
      <c r="T69" s="69"/>
      <c r="U69" s="69"/>
      <c r="V69" s="69"/>
      <c r="W69" s="69"/>
      <c r="X69" s="69"/>
      <c r="Y69" s="69"/>
      <c r="Z69" s="69"/>
      <c r="AA69" s="69"/>
      <c r="AB69" s="69"/>
      <c r="AC69" s="69"/>
      <c r="AD69" s="69"/>
      <c r="AE69" s="69"/>
      <c r="AF69" s="69"/>
      <c r="AG69" s="69"/>
      <c r="AH69" s="69"/>
      <c r="AI69" s="69"/>
      <c r="AJ69" s="69"/>
      <c r="AK69" s="69"/>
      <c r="AL69" s="69"/>
      <c r="AM69" s="69"/>
      <c r="AN69" s="69"/>
      <c r="AO69" s="69"/>
      <c r="AP69" s="69"/>
      <c r="AQ69" s="69"/>
      <c r="AR69" s="69"/>
      <c r="AS69" s="69"/>
      <c r="AT69" s="69"/>
      <c r="AU69" s="69"/>
      <c r="AV69" s="69"/>
      <c r="AW69" s="69"/>
      <c r="AX69" s="70"/>
      <c r="AY69" s="70"/>
      <c r="AZ69" s="70"/>
      <c r="BA69" s="70"/>
      <c r="BB69" s="70"/>
      <c r="BC69" s="70"/>
      <c r="BD69" s="70"/>
      <c r="BE69" s="70"/>
      <c r="BF69" s="70"/>
      <c r="BG69" s="70"/>
      <c r="BH69" s="70"/>
      <c r="BI69" s="70"/>
      <c r="BJ69" s="70"/>
      <c r="BK69" s="70"/>
      <c r="BL69" s="70"/>
      <c r="BM69" s="70"/>
      <c r="BN69" s="70"/>
      <c r="BO69" s="70"/>
      <c r="BP69" s="70"/>
      <c r="BQ69" s="70"/>
      <c r="BR69" s="70"/>
      <c r="BS69" s="70"/>
      <c r="BT69" s="70"/>
      <c r="BU69" s="70"/>
      <c r="BV69" s="70"/>
      <c r="BW69" s="70"/>
      <c r="BX69" s="70"/>
      <c r="BY69" s="70"/>
      <c r="BZ69" s="70"/>
      <c r="CA69" s="70"/>
      <c r="CB69" s="70"/>
      <c r="CC69" s="70"/>
      <c r="CD69" s="66"/>
      <c r="CE69" s="66"/>
      <c r="CF69" s="66"/>
      <c r="CG69" s="66"/>
      <c r="CH69" s="66"/>
      <c r="CI69" s="66"/>
    </row>
    <row r="70" spans="1:87" x14ac:dyDescent="0.2">
      <c r="A70"/>
      <c r="B70"/>
      <c r="C70" s="51" t="str">
        <f t="shared" si="3"/>
        <v/>
      </c>
      <c r="D70" s="51" t="str">
        <f t="shared" si="0"/>
        <v/>
      </c>
      <c r="E70" s="51" t="str">
        <f t="shared" si="4"/>
        <v/>
      </c>
      <c r="F70" s="51" t="str">
        <f>IFERROR(IF(E70&lt;&gt;"",SUM(E$8:E70),""),"")</f>
        <v/>
      </c>
      <c r="G70" s="52" t="str">
        <f t="shared" si="8"/>
        <v/>
      </c>
      <c r="H70" s="52" t="str">
        <f t="shared" si="5"/>
        <v/>
      </c>
      <c r="I70" s="53" t="str">
        <f t="shared" si="9"/>
        <v/>
      </c>
      <c r="S70" s="66"/>
      <c r="T70" s="69"/>
      <c r="U70" s="69"/>
      <c r="V70" s="69"/>
      <c r="W70" s="69"/>
      <c r="X70" s="69"/>
      <c r="Y70" s="69"/>
      <c r="Z70" s="69"/>
      <c r="AA70" s="69"/>
      <c r="AB70" s="69"/>
      <c r="AC70" s="69"/>
      <c r="AD70" s="69"/>
      <c r="AE70" s="69"/>
      <c r="AF70" s="69"/>
      <c r="AG70" s="69"/>
      <c r="AH70" s="69"/>
      <c r="AI70" s="69"/>
      <c r="AJ70" s="69"/>
      <c r="AK70" s="69"/>
      <c r="AL70" s="69"/>
      <c r="AM70" s="69"/>
      <c r="AN70" s="69"/>
      <c r="AO70" s="69"/>
      <c r="AP70" s="69"/>
      <c r="AQ70" s="69"/>
      <c r="AR70" s="69"/>
      <c r="AS70" s="69"/>
      <c r="AT70" s="69"/>
      <c r="AU70" s="69"/>
      <c r="AV70" s="69"/>
      <c r="AW70" s="69"/>
      <c r="AX70" s="70"/>
      <c r="AY70" s="70"/>
      <c r="AZ70" s="70"/>
      <c r="BA70" s="70"/>
      <c r="BB70" s="70"/>
      <c r="BC70" s="70"/>
      <c r="BD70" s="70"/>
      <c r="BE70" s="70"/>
      <c r="BF70" s="70"/>
      <c r="BG70" s="70"/>
      <c r="BH70" s="70"/>
      <c r="BI70" s="70"/>
      <c r="BJ70" s="70"/>
      <c r="BK70" s="70"/>
      <c r="BL70" s="70"/>
      <c r="BM70" s="70"/>
      <c r="BN70" s="70"/>
      <c r="BO70" s="70"/>
      <c r="BP70" s="70"/>
      <c r="BQ70" s="70"/>
      <c r="BR70" s="70"/>
      <c r="BS70" s="70"/>
      <c r="BT70" s="70"/>
      <c r="BU70" s="70"/>
      <c r="BV70" s="70"/>
      <c r="BW70" s="70"/>
      <c r="BX70" s="70"/>
      <c r="BY70" s="70"/>
      <c r="BZ70" s="70"/>
      <c r="CA70" s="70"/>
      <c r="CB70" s="70"/>
      <c r="CC70" s="70"/>
      <c r="CD70" s="66"/>
      <c r="CE70" s="66"/>
      <c r="CF70" s="66"/>
      <c r="CG70" s="66"/>
      <c r="CH70" s="66"/>
      <c r="CI70" s="66"/>
    </row>
    <row r="71" spans="1:87" x14ac:dyDescent="0.2">
      <c r="A71"/>
      <c r="B71"/>
      <c r="C71" s="51" t="str">
        <f t="shared" si="3"/>
        <v/>
      </c>
      <c r="D71" s="51" t="str">
        <f t="shared" si="0"/>
        <v/>
      </c>
      <c r="E71" s="51" t="str">
        <f t="shared" si="4"/>
        <v/>
      </c>
      <c r="F71" s="51" t="str">
        <f>IFERROR(IF(E71&lt;&gt;"",SUM(E$8:E71),""),"")</f>
        <v/>
      </c>
      <c r="G71" s="52" t="str">
        <f t="shared" si="8"/>
        <v/>
      </c>
      <c r="H71" s="52" t="str">
        <f t="shared" si="5"/>
        <v/>
      </c>
      <c r="I71" s="53" t="str">
        <f t="shared" si="9"/>
        <v/>
      </c>
      <c r="BC71" s="58"/>
      <c r="BD71" s="58"/>
      <c r="BE71" s="58"/>
      <c r="BF71" s="58"/>
      <c r="BG71" s="58"/>
      <c r="BH71" s="58"/>
      <c r="BI71" s="58"/>
      <c r="BJ71" s="58"/>
      <c r="BK71" s="58"/>
      <c r="BL71" s="58"/>
      <c r="BM71" s="58"/>
      <c r="BN71" s="58"/>
      <c r="BO71" s="58"/>
      <c r="BP71" s="58"/>
      <c r="BQ71" s="58"/>
      <c r="BR71" s="58"/>
      <c r="BS71" s="58"/>
      <c r="BT71" s="58"/>
      <c r="BU71" s="58"/>
      <c r="BV71" s="58"/>
      <c r="BW71" s="58"/>
      <c r="BX71" s="58"/>
      <c r="BY71" s="58"/>
      <c r="BZ71" s="58"/>
      <c r="CA71" s="58"/>
      <c r="CB71" s="58"/>
      <c r="CC71" s="58"/>
    </row>
    <row r="72" spans="1:87" x14ac:dyDescent="0.2">
      <c r="A72"/>
      <c r="B72"/>
      <c r="C72" s="51" t="str">
        <f t="shared" si="3"/>
        <v/>
      </c>
      <c r="D72" s="51" t="str">
        <f t="shared" ref="D72:D101" si="69">IFERROR(TRIM(MID(SUBSTITUTE($A$2," ",REPT(" ",LEN($A$2))), (C72-1)*LEN($A$2)+1, LEN($A$2))),"")</f>
        <v/>
      </c>
      <c r="E72" s="51" t="str">
        <f t="shared" si="4"/>
        <v/>
      </c>
      <c r="F72" s="51" t="str">
        <f>IFERROR(IF(E72&lt;&gt;"",SUM(E$8:E72),""),"")</f>
        <v/>
      </c>
      <c r="G72" s="52" t="str">
        <f t="shared" si="8"/>
        <v/>
      </c>
      <c r="H72" s="52" t="str">
        <f t="shared" si="5"/>
        <v/>
      </c>
      <c r="I72" s="53" t="str">
        <f t="shared" si="9"/>
        <v/>
      </c>
      <c r="BC72" s="58"/>
      <c r="BD72" s="58"/>
      <c r="BE72" s="58"/>
      <c r="BF72" s="58"/>
      <c r="BG72" s="58"/>
      <c r="BH72" s="58"/>
      <c r="BI72" s="58"/>
      <c r="BJ72" s="58"/>
      <c r="BK72" s="58"/>
      <c r="BL72" s="58"/>
      <c r="BM72" s="58"/>
      <c r="BN72" s="58"/>
      <c r="BO72" s="58"/>
      <c r="BP72" s="58"/>
      <c r="BQ72" s="58"/>
      <c r="BR72" s="58"/>
      <c r="BS72" s="58"/>
      <c r="BT72" s="58"/>
      <c r="BU72" s="58"/>
      <c r="BV72" s="58"/>
      <c r="BW72" s="58"/>
      <c r="BX72" s="58"/>
      <c r="BY72" s="58"/>
      <c r="BZ72" s="58"/>
      <c r="CA72" s="58"/>
      <c r="CB72" s="58"/>
      <c r="CC72" s="58"/>
    </row>
    <row r="73" spans="1:87" x14ac:dyDescent="0.2">
      <c r="A73"/>
      <c r="B73"/>
      <c r="C73" s="51" t="str">
        <f t="shared" ref="C73:C101" si="70">IFERROR(IF(C72+1&gt;$C$5,"",C72+1),"")</f>
        <v/>
      </c>
      <c r="D73" s="51" t="str">
        <f t="shared" si="69"/>
        <v/>
      </c>
      <c r="E73" s="51" t="str">
        <f t="shared" ref="E73:E101" si="71">IF(D73&lt;&gt;"",LEN(D73)+1,"")</f>
        <v/>
      </c>
      <c r="F73" s="51" t="str">
        <f>IFERROR(IF(E73&lt;&gt;"",SUM(E$8:E73),""),"")</f>
        <v/>
      </c>
      <c r="G73" s="52" t="str">
        <f t="shared" si="8"/>
        <v/>
      </c>
      <c r="H73" s="52" t="str">
        <f t="shared" ref="H73:H101" si="72">IF(G74=G73,"",F73)</f>
        <v/>
      </c>
      <c r="I73" s="53" t="str">
        <f t="shared" si="9"/>
        <v/>
      </c>
      <c r="BC73" s="58"/>
      <c r="BD73" s="58"/>
      <c r="BE73" s="58"/>
      <c r="BF73" s="58"/>
      <c r="BG73" s="58"/>
      <c r="BH73" s="58"/>
      <c r="BI73" s="58"/>
      <c r="BJ73" s="58"/>
      <c r="BK73" s="58"/>
      <c r="BL73" s="58"/>
      <c r="BM73" s="58"/>
      <c r="BN73" s="58"/>
      <c r="BO73" s="58"/>
      <c r="BP73" s="58"/>
      <c r="BQ73" s="58"/>
      <c r="BR73" s="58"/>
      <c r="BS73" s="58"/>
      <c r="BT73" s="58"/>
      <c r="BU73" s="58"/>
      <c r="BV73" s="58"/>
      <c r="BW73" s="58"/>
      <c r="BX73" s="58"/>
      <c r="BY73" s="58"/>
      <c r="BZ73" s="58"/>
      <c r="CA73" s="58"/>
      <c r="CB73" s="58"/>
      <c r="CC73" s="58"/>
    </row>
    <row r="74" spans="1:87" x14ac:dyDescent="0.2">
      <c r="A74"/>
      <c r="B74"/>
      <c r="C74" s="51" t="str">
        <f t="shared" si="70"/>
        <v/>
      </c>
      <c r="D74" s="51" t="str">
        <f t="shared" si="69"/>
        <v/>
      </c>
      <c r="E74" s="51" t="str">
        <f t="shared" si="71"/>
        <v/>
      </c>
      <c r="F74" s="51" t="str">
        <f>IFERROR(IF(E74&lt;&gt;"",SUM(E$8:E74),""),"")</f>
        <v/>
      </c>
      <c r="G74" s="52" t="str">
        <f t="shared" ref="G74:G101" si="73">IF(E74&lt;&gt;"",IF(I74&lt;I73,G73+1,G73),"")</f>
        <v/>
      </c>
      <c r="H74" s="52" t="str">
        <f t="shared" si="72"/>
        <v/>
      </c>
      <c r="I74" s="53" t="str">
        <f t="shared" ref="I74:I101" si="74">IFERROR(IF(I73+E74&gt;$C$4,E74,I73+E74),"")</f>
        <v/>
      </c>
      <c r="BC74" s="58"/>
      <c r="BD74" s="58"/>
      <c r="BE74" s="58"/>
      <c r="BF74" s="58"/>
      <c r="BG74" s="58"/>
      <c r="BH74" s="58"/>
      <c r="BI74" s="58"/>
      <c r="BJ74" s="58"/>
      <c r="BK74" s="58"/>
      <c r="BL74" s="58"/>
      <c r="BM74" s="58"/>
      <c r="BN74" s="58"/>
      <c r="BO74" s="58"/>
      <c r="BP74" s="58"/>
      <c r="BQ74" s="58"/>
      <c r="BR74" s="58"/>
      <c r="BS74" s="58"/>
      <c r="BT74" s="58"/>
      <c r="BU74" s="58"/>
      <c r="BV74" s="58"/>
      <c r="BW74" s="58"/>
      <c r="BX74" s="58"/>
      <c r="BY74" s="58"/>
      <c r="BZ74" s="58"/>
      <c r="CA74" s="58"/>
      <c r="CB74" s="58"/>
      <c r="CC74" s="58"/>
    </row>
    <row r="75" spans="1:87" x14ac:dyDescent="0.2">
      <c r="A75"/>
      <c r="B75"/>
      <c r="C75" s="51" t="str">
        <f t="shared" si="70"/>
        <v/>
      </c>
      <c r="D75" s="51" t="str">
        <f t="shared" si="69"/>
        <v/>
      </c>
      <c r="E75" s="51" t="str">
        <f t="shared" si="71"/>
        <v/>
      </c>
      <c r="F75" s="51" t="str">
        <f>IFERROR(IF(E75&lt;&gt;"",SUM(E$8:E75),""),"")</f>
        <v/>
      </c>
      <c r="G75" s="52" t="str">
        <f t="shared" si="73"/>
        <v/>
      </c>
      <c r="H75" s="52" t="str">
        <f t="shared" si="72"/>
        <v/>
      </c>
      <c r="I75" s="53" t="str">
        <f t="shared" si="74"/>
        <v/>
      </c>
      <c r="BC75" s="58"/>
      <c r="BD75" s="58"/>
      <c r="BE75" s="58"/>
      <c r="BF75" s="58"/>
      <c r="BG75" s="58"/>
      <c r="BH75" s="58"/>
      <c r="BI75" s="58"/>
      <c r="BJ75" s="58"/>
      <c r="BK75" s="58"/>
      <c r="BL75" s="58"/>
      <c r="BM75" s="58"/>
      <c r="BN75" s="58"/>
      <c r="BO75" s="58"/>
      <c r="BP75" s="58"/>
      <c r="BQ75" s="58"/>
      <c r="BR75" s="58"/>
      <c r="BS75" s="58"/>
      <c r="BT75" s="58"/>
      <c r="BU75" s="58"/>
      <c r="BV75" s="58"/>
      <c r="BW75" s="58"/>
      <c r="BX75" s="58"/>
      <c r="BY75" s="58"/>
      <c r="BZ75" s="58"/>
      <c r="CA75" s="58"/>
      <c r="CB75" s="58"/>
      <c r="CC75" s="58"/>
    </row>
    <row r="76" spans="1:87" x14ac:dyDescent="0.2">
      <c r="A76"/>
      <c r="B76"/>
      <c r="C76" s="51" t="str">
        <f t="shared" si="70"/>
        <v/>
      </c>
      <c r="D76" s="51" t="str">
        <f t="shared" si="69"/>
        <v/>
      </c>
      <c r="E76" s="51" t="str">
        <f t="shared" si="71"/>
        <v/>
      </c>
      <c r="F76" s="51" t="str">
        <f>IFERROR(IF(E76&lt;&gt;"",SUM(E$8:E76),""),"")</f>
        <v/>
      </c>
      <c r="G76" s="52" t="str">
        <f t="shared" si="73"/>
        <v/>
      </c>
      <c r="H76" s="52" t="str">
        <f t="shared" si="72"/>
        <v/>
      </c>
      <c r="I76" s="53" t="str">
        <f t="shared" si="74"/>
        <v/>
      </c>
      <c r="BC76" s="58"/>
      <c r="BD76" s="58"/>
      <c r="BE76" s="58"/>
      <c r="BF76" s="58"/>
      <c r="BG76" s="58"/>
      <c r="BH76" s="58"/>
      <c r="BI76" s="58"/>
      <c r="BJ76" s="58"/>
      <c r="BK76" s="58"/>
      <c r="BL76" s="58"/>
      <c r="BM76" s="58"/>
      <c r="BN76" s="58"/>
      <c r="BO76" s="58"/>
      <c r="BP76" s="58"/>
      <c r="BQ76" s="58"/>
      <c r="BR76" s="58"/>
      <c r="BS76" s="58"/>
      <c r="BT76" s="58"/>
      <c r="BU76" s="58"/>
      <c r="BV76" s="58"/>
      <c r="BW76" s="58"/>
      <c r="BX76" s="58"/>
      <c r="BY76" s="58"/>
      <c r="BZ76" s="58"/>
      <c r="CA76" s="58"/>
      <c r="CB76" s="58"/>
      <c r="CC76" s="58"/>
    </row>
    <row r="77" spans="1:87" x14ac:dyDescent="0.2">
      <c r="A77"/>
      <c r="B77"/>
      <c r="C77" s="51" t="str">
        <f t="shared" si="70"/>
        <v/>
      </c>
      <c r="D77" s="51" t="str">
        <f t="shared" si="69"/>
        <v/>
      </c>
      <c r="E77" s="51" t="str">
        <f t="shared" si="71"/>
        <v/>
      </c>
      <c r="F77" s="51" t="str">
        <f>IFERROR(IF(E77&lt;&gt;"",SUM(E$8:E77),""),"")</f>
        <v/>
      </c>
      <c r="G77" s="52" t="str">
        <f t="shared" si="73"/>
        <v/>
      </c>
      <c r="H77" s="52" t="str">
        <f t="shared" si="72"/>
        <v/>
      </c>
      <c r="I77" s="53" t="str">
        <f t="shared" si="74"/>
        <v/>
      </c>
      <c r="BC77" s="58"/>
      <c r="BD77" s="58"/>
      <c r="BE77" s="58"/>
      <c r="BF77" s="58"/>
      <c r="BG77" s="58"/>
      <c r="BH77" s="58"/>
      <c r="BI77" s="58"/>
      <c r="BJ77" s="58"/>
      <c r="BK77" s="58"/>
      <c r="BL77" s="58"/>
      <c r="BM77" s="58"/>
      <c r="BN77" s="58"/>
      <c r="BO77" s="58"/>
      <c r="BP77" s="58"/>
      <c r="BQ77" s="58"/>
      <c r="BR77" s="58"/>
      <c r="BS77" s="58"/>
      <c r="BT77" s="58"/>
      <c r="BU77" s="58"/>
      <c r="BV77" s="58"/>
      <c r="BW77" s="58"/>
      <c r="BX77" s="58"/>
      <c r="BY77" s="58"/>
      <c r="BZ77" s="58"/>
      <c r="CA77" s="58"/>
      <c r="CB77" s="58"/>
      <c r="CC77" s="58"/>
    </row>
    <row r="78" spans="1:87" x14ac:dyDescent="0.2">
      <c r="A78"/>
      <c r="B78"/>
      <c r="C78" s="51" t="str">
        <f t="shared" si="70"/>
        <v/>
      </c>
      <c r="D78" s="51" t="str">
        <f t="shared" si="69"/>
        <v/>
      </c>
      <c r="E78" s="51" t="str">
        <f t="shared" si="71"/>
        <v/>
      </c>
      <c r="F78" s="51" t="str">
        <f>IFERROR(IF(E78&lt;&gt;"",SUM(E$8:E78),""),"")</f>
        <v/>
      </c>
      <c r="G78" s="52" t="str">
        <f t="shared" si="73"/>
        <v/>
      </c>
      <c r="H78" s="52" t="str">
        <f t="shared" si="72"/>
        <v/>
      </c>
      <c r="I78" s="53" t="str">
        <f t="shared" si="74"/>
        <v/>
      </c>
      <c r="BC78" s="58"/>
      <c r="BD78" s="58"/>
      <c r="BE78" s="58"/>
      <c r="BF78" s="58"/>
      <c r="BG78" s="58"/>
      <c r="BH78" s="58"/>
      <c r="BI78" s="58"/>
      <c r="BJ78" s="58"/>
      <c r="BK78" s="58"/>
      <c r="BL78" s="58"/>
      <c r="BM78" s="58"/>
      <c r="BN78" s="58"/>
      <c r="BO78" s="58"/>
      <c r="BP78" s="58"/>
      <c r="BQ78" s="58"/>
      <c r="BR78" s="58"/>
      <c r="BS78" s="58"/>
      <c r="BT78" s="58"/>
      <c r="BU78" s="58"/>
      <c r="BV78" s="58"/>
      <c r="BW78" s="58"/>
      <c r="BX78" s="58"/>
      <c r="BY78" s="58"/>
      <c r="BZ78" s="58"/>
      <c r="CA78" s="58"/>
      <c r="CB78" s="58"/>
      <c r="CC78" s="58"/>
    </row>
    <row r="79" spans="1:87" x14ac:dyDescent="0.2">
      <c r="A79"/>
      <c r="B79"/>
      <c r="C79" s="51" t="str">
        <f t="shared" si="70"/>
        <v/>
      </c>
      <c r="D79" s="51" t="str">
        <f t="shared" si="69"/>
        <v/>
      </c>
      <c r="E79" s="51" t="str">
        <f t="shared" si="71"/>
        <v/>
      </c>
      <c r="F79" s="51" t="str">
        <f>IFERROR(IF(E79&lt;&gt;"",SUM(E$8:E79),""),"")</f>
        <v/>
      </c>
      <c r="G79" s="52" t="str">
        <f t="shared" si="73"/>
        <v/>
      </c>
      <c r="H79" s="52" t="str">
        <f t="shared" si="72"/>
        <v/>
      </c>
      <c r="I79" s="53" t="str">
        <f t="shared" si="74"/>
        <v/>
      </c>
      <c r="BC79" s="58"/>
      <c r="BD79" s="58"/>
      <c r="BE79" s="58"/>
      <c r="BF79" s="58"/>
      <c r="BG79" s="58"/>
      <c r="BH79" s="58"/>
      <c r="BI79" s="58"/>
      <c r="BJ79" s="58"/>
      <c r="BK79" s="58"/>
      <c r="BL79" s="58"/>
      <c r="BM79" s="58"/>
      <c r="BN79" s="58"/>
      <c r="BO79" s="58"/>
      <c r="BP79" s="58"/>
      <c r="BQ79" s="58"/>
      <c r="BR79" s="58"/>
      <c r="BS79" s="58"/>
      <c r="BT79" s="58"/>
      <c r="BU79" s="58"/>
      <c r="BV79" s="58"/>
      <c r="BW79" s="58"/>
      <c r="BX79" s="58"/>
      <c r="BY79" s="58"/>
      <c r="BZ79" s="58"/>
      <c r="CA79" s="58"/>
      <c r="CB79" s="58"/>
      <c r="CC79" s="58"/>
    </row>
    <row r="80" spans="1:87" x14ac:dyDescent="0.2">
      <c r="A80"/>
      <c r="B80"/>
      <c r="C80" s="51" t="str">
        <f t="shared" si="70"/>
        <v/>
      </c>
      <c r="D80" s="51" t="str">
        <f t="shared" si="69"/>
        <v/>
      </c>
      <c r="E80" s="51" t="str">
        <f t="shared" si="71"/>
        <v/>
      </c>
      <c r="F80" s="51" t="str">
        <f>IFERROR(IF(E80&lt;&gt;"",SUM(E$8:E80),""),"")</f>
        <v/>
      </c>
      <c r="G80" s="52" t="str">
        <f t="shared" si="73"/>
        <v/>
      </c>
      <c r="H80" s="52" t="str">
        <f t="shared" si="72"/>
        <v/>
      </c>
      <c r="I80" s="53" t="str">
        <f t="shared" si="74"/>
        <v/>
      </c>
      <c r="BC80" s="58"/>
      <c r="BD80" s="58"/>
      <c r="BE80" s="58"/>
      <c r="BF80" s="58"/>
      <c r="BG80" s="58"/>
      <c r="BH80" s="58"/>
      <c r="BI80" s="58"/>
      <c r="BJ80" s="58"/>
      <c r="BK80" s="58"/>
      <c r="BL80" s="58"/>
      <c r="BM80" s="58"/>
      <c r="BN80" s="58"/>
      <c r="BO80" s="58"/>
      <c r="BP80" s="58"/>
      <c r="BQ80" s="58"/>
      <c r="BR80" s="58"/>
      <c r="BS80" s="58"/>
      <c r="BT80" s="58"/>
      <c r="BU80" s="58"/>
      <c r="BV80" s="58"/>
      <c r="BW80" s="58"/>
      <c r="BX80" s="58"/>
      <c r="BY80" s="58"/>
      <c r="BZ80" s="58"/>
      <c r="CA80" s="58"/>
      <c r="CB80" s="58"/>
      <c r="CC80" s="58"/>
    </row>
    <row r="81" spans="1:81" x14ac:dyDescent="0.2">
      <c r="A81"/>
      <c r="B81"/>
      <c r="C81" s="51" t="str">
        <f t="shared" si="70"/>
        <v/>
      </c>
      <c r="D81" s="51" t="str">
        <f t="shared" si="69"/>
        <v/>
      </c>
      <c r="E81" s="51" t="str">
        <f t="shared" si="71"/>
        <v/>
      </c>
      <c r="F81" s="51" t="str">
        <f>IFERROR(IF(E81&lt;&gt;"",SUM(E$8:E81),""),"")</f>
        <v/>
      </c>
      <c r="G81" s="52" t="str">
        <f t="shared" si="73"/>
        <v/>
      </c>
      <c r="H81" s="52" t="str">
        <f t="shared" si="72"/>
        <v/>
      </c>
      <c r="I81" s="53" t="str">
        <f t="shared" si="74"/>
        <v/>
      </c>
      <c r="BC81" s="58"/>
      <c r="BD81" s="58"/>
      <c r="BE81" s="58"/>
      <c r="BF81" s="58"/>
      <c r="BG81" s="58"/>
      <c r="BH81" s="58"/>
      <c r="BI81" s="58"/>
      <c r="BJ81" s="58"/>
      <c r="BK81" s="58"/>
      <c r="BL81" s="58"/>
      <c r="BM81" s="58"/>
      <c r="BN81" s="58"/>
      <c r="BO81" s="58"/>
      <c r="BP81" s="58"/>
      <c r="BQ81" s="58"/>
      <c r="BR81" s="58"/>
      <c r="BS81" s="58"/>
      <c r="BT81" s="58"/>
      <c r="BU81" s="58"/>
      <c r="BV81" s="58"/>
      <c r="BW81" s="58"/>
      <c r="BX81" s="58"/>
      <c r="BY81" s="58"/>
      <c r="BZ81" s="58"/>
      <c r="CA81" s="58"/>
      <c r="CB81" s="58"/>
      <c r="CC81" s="58"/>
    </row>
    <row r="82" spans="1:81" x14ac:dyDescent="0.2">
      <c r="A82"/>
      <c r="B82"/>
      <c r="C82" s="51" t="str">
        <f t="shared" si="70"/>
        <v/>
      </c>
      <c r="D82" s="51" t="str">
        <f t="shared" si="69"/>
        <v/>
      </c>
      <c r="E82" s="51" t="str">
        <f t="shared" si="71"/>
        <v/>
      </c>
      <c r="F82" s="51" t="str">
        <f>IFERROR(IF(E82&lt;&gt;"",SUM(E$8:E82),""),"")</f>
        <v/>
      </c>
      <c r="G82" s="52" t="str">
        <f t="shared" si="73"/>
        <v/>
      </c>
      <c r="H82" s="52" t="str">
        <f t="shared" si="72"/>
        <v/>
      </c>
      <c r="I82" s="53" t="str">
        <f t="shared" si="74"/>
        <v/>
      </c>
      <c r="BC82" s="58"/>
      <c r="BD82" s="58"/>
      <c r="BE82" s="58"/>
      <c r="BF82" s="58"/>
      <c r="BG82" s="58"/>
      <c r="BH82" s="58"/>
      <c r="BI82" s="58"/>
      <c r="BJ82" s="58"/>
      <c r="BK82" s="58"/>
      <c r="BL82" s="58"/>
      <c r="BM82" s="58"/>
      <c r="BN82" s="58"/>
      <c r="BO82" s="58"/>
      <c r="BP82" s="58"/>
      <c r="BQ82" s="58"/>
      <c r="BR82" s="58"/>
      <c r="BS82" s="58"/>
      <c r="BT82" s="58"/>
      <c r="BU82" s="58"/>
      <c r="BV82" s="58"/>
      <c r="BW82" s="58"/>
      <c r="BX82" s="58"/>
      <c r="BY82" s="58"/>
      <c r="BZ82" s="58"/>
      <c r="CA82" s="58"/>
      <c r="CB82" s="58"/>
      <c r="CC82" s="58"/>
    </row>
    <row r="83" spans="1:81" x14ac:dyDescent="0.2">
      <c r="A83"/>
      <c r="B83"/>
      <c r="C83" s="51" t="str">
        <f t="shared" si="70"/>
        <v/>
      </c>
      <c r="D83" s="51" t="str">
        <f t="shared" si="69"/>
        <v/>
      </c>
      <c r="E83" s="51" t="str">
        <f t="shared" si="71"/>
        <v/>
      </c>
      <c r="F83" s="51" t="str">
        <f>IFERROR(IF(E83&lt;&gt;"",SUM(E$8:E83),""),"")</f>
        <v/>
      </c>
      <c r="G83" s="52" t="str">
        <f t="shared" si="73"/>
        <v/>
      </c>
      <c r="H83" s="52" t="str">
        <f t="shared" si="72"/>
        <v/>
      </c>
      <c r="I83" s="53" t="str">
        <f t="shared" si="74"/>
        <v/>
      </c>
      <c r="BC83" s="58"/>
      <c r="BD83" s="58"/>
      <c r="BE83" s="58"/>
      <c r="BF83" s="58"/>
      <c r="BG83" s="58"/>
      <c r="BH83" s="58"/>
      <c r="BI83" s="58"/>
      <c r="BJ83" s="58"/>
      <c r="BK83" s="58"/>
      <c r="BL83" s="58"/>
      <c r="BM83" s="58"/>
      <c r="BN83" s="58"/>
      <c r="BO83" s="58"/>
      <c r="BP83" s="58"/>
      <c r="BQ83" s="58"/>
      <c r="BR83" s="58"/>
      <c r="BS83" s="58"/>
      <c r="BT83" s="58"/>
      <c r="BU83" s="58"/>
      <c r="BV83" s="58"/>
      <c r="BW83" s="58"/>
      <c r="BX83" s="58"/>
      <c r="BY83" s="58"/>
      <c r="BZ83" s="58"/>
      <c r="CA83" s="58"/>
      <c r="CB83" s="58"/>
      <c r="CC83" s="58"/>
    </row>
    <row r="84" spans="1:81" x14ac:dyDescent="0.2">
      <c r="A84"/>
      <c r="B84"/>
      <c r="C84" s="51" t="str">
        <f t="shared" si="70"/>
        <v/>
      </c>
      <c r="D84" s="51" t="str">
        <f t="shared" si="69"/>
        <v/>
      </c>
      <c r="E84" s="51" t="str">
        <f t="shared" si="71"/>
        <v/>
      </c>
      <c r="F84" s="51" t="str">
        <f>IFERROR(IF(E84&lt;&gt;"",SUM(E$8:E84),""),"")</f>
        <v/>
      </c>
      <c r="G84" s="52" t="str">
        <f t="shared" si="73"/>
        <v/>
      </c>
      <c r="H84" s="52" t="str">
        <f t="shared" si="72"/>
        <v/>
      </c>
      <c r="I84" s="53" t="str">
        <f t="shared" si="74"/>
        <v/>
      </c>
      <c r="BC84" s="58"/>
      <c r="BD84" s="58"/>
      <c r="BE84" s="58"/>
      <c r="BF84" s="58"/>
      <c r="BG84" s="58"/>
      <c r="BH84" s="58"/>
      <c r="BI84" s="58"/>
      <c r="BJ84" s="58"/>
      <c r="BK84" s="58"/>
      <c r="BL84" s="58"/>
      <c r="BM84" s="58"/>
      <c r="BN84" s="58"/>
      <c r="BO84" s="58"/>
      <c r="BP84" s="58"/>
      <c r="BQ84" s="58"/>
      <c r="BR84" s="58"/>
      <c r="BS84" s="58"/>
      <c r="BT84" s="58"/>
      <c r="BU84" s="58"/>
      <c r="BV84" s="58"/>
      <c r="BW84" s="58"/>
      <c r="BX84" s="58"/>
      <c r="BY84" s="58"/>
      <c r="BZ84" s="58"/>
      <c r="CA84" s="58"/>
      <c r="CB84" s="58"/>
      <c r="CC84" s="58"/>
    </row>
    <row r="85" spans="1:81" x14ac:dyDescent="0.2">
      <c r="A85"/>
      <c r="B85"/>
      <c r="C85" s="51" t="str">
        <f t="shared" si="70"/>
        <v/>
      </c>
      <c r="D85" s="51" t="str">
        <f t="shared" si="69"/>
        <v/>
      </c>
      <c r="E85" s="51" t="str">
        <f t="shared" si="71"/>
        <v/>
      </c>
      <c r="F85" s="51" t="str">
        <f>IFERROR(IF(E85&lt;&gt;"",SUM(E$8:E85),""),"")</f>
        <v/>
      </c>
      <c r="G85" s="52" t="str">
        <f t="shared" si="73"/>
        <v/>
      </c>
      <c r="H85" s="52" t="str">
        <f t="shared" si="72"/>
        <v/>
      </c>
      <c r="I85" s="53" t="str">
        <f t="shared" si="74"/>
        <v/>
      </c>
      <c r="BC85" s="58"/>
      <c r="BD85" s="58"/>
      <c r="BE85" s="58"/>
      <c r="BF85" s="58"/>
      <c r="BG85" s="58"/>
      <c r="BH85" s="58"/>
      <c r="BI85" s="58"/>
      <c r="BJ85" s="58"/>
      <c r="BK85" s="58"/>
      <c r="BL85" s="58"/>
      <c r="BM85" s="58"/>
      <c r="BN85" s="58"/>
      <c r="BO85" s="58"/>
      <c r="BP85" s="58"/>
      <c r="BQ85" s="58"/>
      <c r="BR85" s="58"/>
      <c r="BS85" s="58"/>
      <c r="BT85" s="58"/>
      <c r="BU85" s="58"/>
      <c r="BV85" s="58"/>
      <c r="BW85" s="58"/>
      <c r="BX85" s="58"/>
      <c r="BY85" s="58"/>
      <c r="BZ85" s="58"/>
      <c r="CA85" s="58"/>
      <c r="CB85" s="58"/>
      <c r="CC85" s="58"/>
    </row>
    <row r="86" spans="1:81" x14ac:dyDescent="0.2">
      <c r="A86"/>
      <c r="B86"/>
      <c r="C86" s="51" t="str">
        <f t="shared" si="70"/>
        <v/>
      </c>
      <c r="D86" s="51" t="str">
        <f t="shared" si="69"/>
        <v/>
      </c>
      <c r="E86" s="51" t="str">
        <f t="shared" si="71"/>
        <v/>
      </c>
      <c r="F86" s="51" t="str">
        <f>IFERROR(IF(E86&lt;&gt;"",SUM(E$8:E86),""),"")</f>
        <v/>
      </c>
      <c r="G86" s="52" t="str">
        <f t="shared" si="73"/>
        <v/>
      </c>
      <c r="H86" s="52" t="str">
        <f t="shared" si="72"/>
        <v/>
      </c>
      <c r="I86" s="53" t="str">
        <f t="shared" si="74"/>
        <v/>
      </c>
      <c r="BC86" s="58"/>
      <c r="BD86" s="58"/>
      <c r="BE86" s="58"/>
      <c r="BF86" s="58"/>
      <c r="BG86" s="58"/>
      <c r="BH86" s="58"/>
      <c r="BI86" s="58"/>
      <c r="BJ86" s="58"/>
      <c r="BK86" s="58"/>
      <c r="BL86" s="58"/>
      <c r="BM86" s="58"/>
      <c r="BN86" s="58"/>
      <c r="BO86" s="58"/>
      <c r="BP86" s="58"/>
      <c r="BQ86" s="58"/>
      <c r="BR86" s="58"/>
      <c r="BS86" s="58"/>
      <c r="BT86" s="58"/>
      <c r="BU86" s="58"/>
      <c r="BV86" s="58"/>
      <c r="BW86" s="58"/>
      <c r="BX86" s="58"/>
      <c r="BY86" s="58"/>
      <c r="BZ86" s="58"/>
      <c r="CA86" s="58"/>
      <c r="CB86" s="58"/>
      <c r="CC86" s="58"/>
    </row>
    <row r="87" spans="1:81" x14ac:dyDescent="0.2">
      <c r="A87"/>
      <c r="B87"/>
      <c r="C87" s="51" t="str">
        <f t="shared" si="70"/>
        <v/>
      </c>
      <c r="D87" s="51" t="str">
        <f t="shared" si="69"/>
        <v/>
      </c>
      <c r="E87" s="51" t="str">
        <f t="shared" si="71"/>
        <v/>
      </c>
      <c r="F87" s="51" t="str">
        <f>IFERROR(IF(E87&lt;&gt;"",SUM(E$8:E87),""),"")</f>
        <v/>
      </c>
      <c r="G87" s="52" t="str">
        <f t="shared" si="73"/>
        <v/>
      </c>
      <c r="H87" s="52" t="str">
        <f t="shared" si="72"/>
        <v/>
      </c>
      <c r="I87" s="53" t="str">
        <f t="shared" si="74"/>
        <v/>
      </c>
      <c r="BC87" s="58"/>
      <c r="BD87" s="58"/>
      <c r="BE87" s="58"/>
      <c r="BF87" s="58"/>
      <c r="BG87" s="58"/>
      <c r="BH87" s="58"/>
      <c r="BI87" s="58"/>
      <c r="BJ87" s="58"/>
      <c r="BK87" s="58"/>
      <c r="BL87" s="58"/>
      <c r="BM87" s="58"/>
      <c r="BN87" s="58"/>
      <c r="BO87" s="58"/>
      <c r="BP87" s="58"/>
      <c r="BQ87" s="58"/>
      <c r="BR87" s="58"/>
      <c r="BS87" s="58"/>
      <c r="BT87" s="58"/>
      <c r="BU87" s="58"/>
      <c r="BV87" s="58"/>
      <c r="BW87" s="58"/>
      <c r="BX87" s="58"/>
      <c r="BY87" s="58"/>
      <c r="BZ87" s="58"/>
      <c r="CA87" s="58"/>
      <c r="CB87" s="58"/>
      <c r="CC87" s="58"/>
    </row>
    <row r="88" spans="1:81" x14ac:dyDescent="0.2">
      <c r="A88"/>
      <c r="B88"/>
      <c r="C88" s="51" t="str">
        <f t="shared" si="70"/>
        <v/>
      </c>
      <c r="D88" s="51" t="str">
        <f t="shared" si="69"/>
        <v/>
      </c>
      <c r="E88" s="51" t="str">
        <f t="shared" si="71"/>
        <v/>
      </c>
      <c r="F88" s="51" t="str">
        <f>IFERROR(IF(E88&lt;&gt;"",SUM(E$8:E88),""),"")</f>
        <v/>
      </c>
      <c r="G88" s="52" t="str">
        <f t="shared" si="73"/>
        <v/>
      </c>
      <c r="H88" s="52" t="str">
        <f t="shared" si="72"/>
        <v/>
      </c>
      <c r="I88" s="53" t="str">
        <f t="shared" si="74"/>
        <v/>
      </c>
      <c r="BC88" s="58"/>
      <c r="BD88" s="58"/>
      <c r="BE88" s="58"/>
      <c r="BF88" s="58"/>
      <c r="BG88" s="58"/>
      <c r="BH88" s="58"/>
      <c r="BI88" s="58"/>
      <c r="BJ88" s="58"/>
      <c r="BK88" s="58"/>
      <c r="BL88" s="58"/>
      <c r="BM88" s="58"/>
      <c r="BN88" s="58"/>
      <c r="BO88" s="58"/>
      <c r="BP88" s="58"/>
      <c r="BQ88" s="58"/>
      <c r="BR88" s="58"/>
      <c r="BS88" s="58"/>
      <c r="BT88" s="58"/>
      <c r="BU88" s="58"/>
      <c r="BV88" s="58"/>
      <c r="BW88" s="58"/>
      <c r="BX88" s="58"/>
      <c r="BY88" s="58"/>
      <c r="BZ88" s="58"/>
      <c r="CA88" s="58"/>
      <c r="CB88" s="58"/>
      <c r="CC88" s="58"/>
    </row>
    <row r="89" spans="1:81" x14ac:dyDescent="0.2">
      <c r="A89"/>
      <c r="B89"/>
      <c r="C89" s="51" t="str">
        <f t="shared" si="70"/>
        <v/>
      </c>
      <c r="D89" s="51" t="str">
        <f t="shared" si="69"/>
        <v/>
      </c>
      <c r="E89" s="51" t="str">
        <f t="shared" si="71"/>
        <v/>
      </c>
      <c r="F89" s="51" t="str">
        <f>IFERROR(IF(E89&lt;&gt;"",SUM(E$8:E89),""),"")</f>
        <v/>
      </c>
      <c r="G89" s="52" t="str">
        <f t="shared" si="73"/>
        <v/>
      </c>
      <c r="H89" s="52" t="str">
        <f t="shared" si="72"/>
        <v/>
      </c>
      <c r="I89" s="53" t="str">
        <f t="shared" si="74"/>
        <v/>
      </c>
      <c r="BC89" s="58"/>
      <c r="BD89" s="58"/>
      <c r="BE89" s="58"/>
      <c r="BF89" s="58"/>
      <c r="BG89" s="58"/>
      <c r="BH89" s="58"/>
      <c r="BI89" s="58"/>
      <c r="BJ89" s="58"/>
      <c r="BK89" s="58"/>
      <c r="BL89" s="58"/>
      <c r="BM89" s="58"/>
      <c r="BN89" s="58"/>
      <c r="BO89" s="58"/>
      <c r="BP89" s="58"/>
      <c r="BQ89" s="58"/>
      <c r="BR89" s="58"/>
      <c r="BS89" s="58"/>
      <c r="BT89" s="58"/>
      <c r="BU89" s="58"/>
      <c r="BV89" s="58"/>
      <c r="BW89" s="58"/>
      <c r="BX89" s="58"/>
      <c r="BY89" s="58"/>
      <c r="BZ89" s="58"/>
      <c r="CA89" s="58"/>
      <c r="CB89" s="58"/>
      <c r="CC89" s="58"/>
    </row>
    <row r="90" spans="1:81" x14ac:dyDescent="0.2">
      <c r="A90"/>
      <c r="B90"/>
      <c r="C90" s="51" t="str">
        <f t="shared" si="70"/>
        <v/>
      </c>
      <c r="D90" s="51" t="str">
        <f t="shared" si="69"/>
        <v/>
      </c>
      <c r="E90" s="51" t="str">
        <f t="shared" si="71"/>
        <v/>
      </c>
      <c r="F90" s="51" t="str">
        <f>IFERROR(IF(E90&lt;&gt;"",SUM(E$8:E90),""),"")</f>
        <v/>
      </c>
      <c r="G90" s="52" t="str">
        <f t="shared" si="73"/>
        <v/>
      </c>
      <c r="H90" s="52" t="str">
        <f t="shared" si="72"/>
        <v/>
      </c>
      <c r="I90" s="53" t="str">
        <f t="shared" si="74"/>
        <v/>
      </c>
      <c r="BC90" s="58"/>
      <c r="BD90" s="58"/>
      <c r="BE90" s="58"/>
      <c r="BF90" s="58"/>
      <c r="BG90" s="58"/>
      <c r="BH90" s="58"/>
      <c r="BI90" s="58"/>
      <c r="BJ90" s="58"/>
      <c r="BK90" s="58"/>
      <c r="BL90" s="58"/>
      <c r="BM90" s="58"/>
      <c r="BN90" s="58"/>
      <c r="BO90" s="58"/>
      <c r="BP90" s="58"/>
      <c r="BQ90" s="58"/>
      <c r="BR90" s="58"/>
      <c r="BS90" s="58"/>
      <c r="BT90" s="58"/>
      <c r="BU90" s="58"/>
      <c r="BV90" s="58"/>
      <c r="BW90" s="58"/>
      <c r="BX90" s="58"/>
      <c r="BY90" s="58"/>
      <c r="BZ90" s="58"/>
      <c r="CA90" s="58"/>
      <c r="CB90" s="58"/>
      <c r="CC90" s="58"/>
    </row>
    <row r="91" spans="1:81" x14ac:dyDescent="0.2">
      <c r="A91"/>
      <c r="B91"/>
      <c r="C91" s="51" t="str">
        <f t="shared" si="70"/>
        <v/>
      </c>
      <c r="D91" s="51" t="str">
        <f t="shared" si="69"/>
        <v/>
      </c>
      <c r="E91" s="51" t="str">
        <f t="shared" si="71"/>
        <v/>
      </c>
      <c r="F91" s="51" t="str">
        <f>IFERROR(IF(E91&lt;&gt;"",SUM(E$8:E91),""),"")</f>
        <v/>
      </c>
      <c r="G91" s="52" t="str">
        <f t="shared" si="73"/>
        <v/>
      </c>
      <c r="H91" s="52" t="str">
        <f t="shared" si="72"/>
        <v/>
      </c>
      <c r="I91" s="53" t="str">
        <f t="shared" si="74"/>
        <v/>
      </c>
      <c r="BC91" s="58"/>
      <c r="BD91" s="58"/>
      <c r="BE91" s="58"/>
      <c r="BF91" s="58"/>
      <c r="BG91" s="58"/>
      <c r="BH91" s="58"/>
      <c r="BI91" s="58"/>
      <c r="BJ91" s="58"/>
      <c r="BK91" s="58"/>
      <c r="BL91" s="58"/>
      <c r="BM91" s="58"/>
      <c r="BN91" s="58"/>
      <c r="BO91" s="58"/>
      <c r="BP91" s="58"/>
      <c r="BQ91" s="58"/>
      <c r="BR91" s="58"/>
      <c r="BS91" s="58"/>
      <c r="BT91" s="58"/>
      <c r="BU91" s="58"/>
      <c r="BV91" s="58"/>
      <c r="BW91" s="58"/>
      <c r="BX91" s="58"/>
      <c r="BY91" s="58"/>
      <c r="BZ91" s="58"/>
      <c r="CA91" s="58"/>
      <c r="CB91" s="58"/>
      <c r="CC91" s="58"/>
    </row>
    <row r="92" spans="1:81" x14ac:dyDescent="0.2">
      <c r="A92"/>
      <c r="B92"/>
      <c r="C92" s="51" t="str">
        <f t="shared" si="70"/>
        <v/>
      </c>
      <c r="D92" s="51" t="str">
        <f t="shared" si="69"/>
        <v/>
      </c>
      <c r="E92" s="51" t="str">
        <f t="shared" si="71"/>
        <v/>
      </c>
      <c r="F92" s="51" t="str">
        <f>IFERROR(IF(E92&lt;&gt;"",SUM(E$8:E92),""),"")</f>
        <v/>
      </c>
      <c r="G92" s="52" t="str">
        <f t="shared" si="73"/>
        <v/>
      </c>
      <c r="H92" s="52" t="str">
        <f t="shared" si="72"/>
        <v/>
      </c>
      <c r="I92" s="53" t="str">
        <f t="shared" si="74"/>
        <v/>
      </c>
      <c r="BC92" s="58"/>
      <c r="BD92" s="58"/>
      <c r="BE92" s="58"/>
      <c r="BF92" s="58"/>
      <c r="BG92" s="58"/>
      <c r="BH92" s="58"/>
      <c r="BI92" s="58"/>
      <c r="BJ92" s="58"/>
      <c r="BK92" s="58"/>
      <c r="BL92" s="58"/>
      <c r="BM92" s="58"/>
      <c r="BN92" s="58"/>
      <c r="BO92" s="58"/>
      <c r="BP92" s="58"/>
      <c r="BQ92" s="58"/>
      <c r="BR92" s="58"/>
      <c r="BS92" s="58"/>
      <c r="BT92" s="58"/>
      <c r="BU92" s="58"/>
      <c r="BV92" s="58"/>
      <c r="BW92" s="58"/>
      <c r="BX92" s="58"/>
      <c r="BY92" s="58"/>
      <c r="BZ92" s="58"/>
      <c r="CA92" s="58"/>
      <c r="CB92" s="58"/>
      <c r="CC92" s="58"/>
    </row>
    <row r="93" spans="1:81" x14ac:dyDescent="0.2">
      <c r="A93"/>
      <c r="B93"/>
      <c r="C93" s="51" t="str">
        <f t="shared" si="70"/>
        <v/>
      </c>
      <c r="D93" s="51" t="str">
        <f t="shared" si="69"/>
        <v/>
      </c>
      <c r="E93" s="51" t="str">
        <f t="shared" si="71"/>
        <v/>
      </c>
      <c r="F93" s="51" t="str">
        <f>IFERROR(IF(E93&lt;&gt;"",SUM(E$8:E93),""),"")</f>
        <v/>
      </c>
      <c r="G93" s="52" t="str">
        <f t="shared" si="73"/>
        <v/>
      </c>
      <c r="H93" s="52" t="str">
        <f t="shared" si="72"/>
        <v/>
      </c>
      <c r="I93" s="53" t="str">
        <f t="shared" si="74"/>
        <v/>
      </c>
      <c r="BC93" s="58"/>
      <c r="BD93" s="58"/>
      <c r="BE93" s="58"/>
      <c r="BF93" s="58"/>
      <c r="BG93" s="58"/>
      <c r="BH93" s="58"/>
      <c r="BI93" s="58"/>
      <c r="BJ93" s="58"/>
      <c r="BK93" s="58"/>
      <c r="BL93" s="58"/>
      <c r="BM93" s="58"/>
      <c r="BN93" s="58"/>
      <c r="BO93" s="58"/>
      <c r="BP93" s="58"/>
      <c r="BQ93" s="58"/>
      <c r="BR93" s="58"/>
      <c r="BS93" s="58"/>
      <c r="BT93" s="58"/>
      <c r="BU93" s="58"/>
      <c r="BV93" s="58"/>
      <c r="BW93" s="58"/>
      <c r="BX93" s="58"/>
      <c r="BY93" s="58"/>
      <c r="BZ93" s="58"/>
      <c r="CA93" s="58"/>
      <c r="CB93" s="58"/>
      <c r="CC93" s="58"/>
    </row>
    <row r="94" spans="1:81" x14ac:dyDescent="0.2">
      <c r="A94"/>
      <c r="B94"/>
      <c r="C94" s="51" t="str">
        <f t="shared" si="70"/>
        <v/>
      </c>
      <c r="D94" s="51" t="str">
        <f t="shared" si="69"/>
        <v/>
      </c>
      <c r="E94" s="51" t="str">
        <f t="shared" si="71"/>
        <v/>
      </c>
      <c r="F94" s="51" t="str">
        <f>IFERROR(IF(E94&lt;&gt;"",SUM(E$8:E94),""),"")</f>
        <v/>
      </c>
      <c r="G94" s="52" t="str">
        <f t="shared" si="73"/>
        <v/>
      </c>
      <c r="H94" s="52" t="str">
        <f t="shared" si="72"/>
        <v/>
      </c>
      <c r="I94" s="53" t="str">
        <f t="shared" si="74"/>
        <v/>
      </c>
      <c r="BC94" s="58"/>
      <c r="BD94" s="58"/>
      <c r="BE94" s="58"/>
      <c r="BF94" s="58"/>
      <c r="BG94" s="58"/>
      <c r="BH94" s="58"/>
      <c r="BI94" s="58"/>
      <c r="BJ94" s="58"/>
      <c r="BK94" s="58"/>
      <c r="BL94" s="58"/>
      <c r="BM94" s="58"/>
      <c r="BN94" s="58"/>
      <c r="BO94" s="58"/>
      <c r="BP94" s="58"/>
      <c r="BQ94" s="58"/>
      <c r="BR94" s="58"/>
      <c r="BS94" s="58"/>
      <c r="BT94" s="58"/>
      <c r="BU94" s="58"/>
      <c r="BV94" s="58"/>
      <c r="BW94" s="58"/>
      <c r="BX94" s="58"/>
      <c r="BY94" s="58"/>
      <c r="BZ94" s="58"/>
      <c r="CA94" s="58"/>
      <c r="CB94" s="58"/>
      <c r="CC94" s="58"/>
    </row>
    <row r="95" spans="1:81" x14ac:dyDescent="0.2">
      <c r="A95"/>
      <c r="B95"/>
      <c r="C95" s="51" t="str">
        <f t="shared" si="70"/>
        <v/>
      </c>
      <c r="D95" s="51" t="str">
        <f t="shared" si="69"/>
        <v/>
      </c>
      <c r="E95" s="51" t="str">
        <f t="shared" si="71"/>
        <v/>
      </c>
      <c r="F95" s="51" t="str">
        <f>IFERROR(IF(E95&lt;&gt;"",SUM(E$8:E95),""),"")</f>
        <v/>
      </c>
      <c r="G95" s="52" t="str">
        <f t="shared" si="73"/>
        <v/>
      </c>
      <c r="H95" s="52" t="str">
        <f t="shared" si="72"/>
        <v/>
      </c>
      <c r="I95" s="53" t="str">
        <f t="shared" si="74"/>
        <v/>
      </c>
      <c r="BC95" s="58"/>
      <c r="BD95" s="58"/>
      <c r="BE95" s="58"/>
      <c r="BF95" s="58"/>
      <c r="BG95" s="58"/>
      <c r="BH95" s="58"/>
      <c r="BI95" s="58"/>
      <c r="BJ95" s="58"/>
      <c r="BK95" s="58"/>
      <c r="BL95" s="58"/>
      <c r="BM95" s="58"/>
      <c r="BN95" s="58"/>
      <c r="BO95" s="58"/>
      <c r="BP95" s="58"/>
      <c r="BQ95" s="58"/>
      <c r="BR95" s="58"/>
      <c r="BS95" s="58"/>
      <c r="BT95" s="58"/>
      <c r="BU95" s="58"/>
      <c r="BV95" s="58"/>
      <c r="BW95" s="58"/>
      <c r="BX95" s="58"/>
      <c r="BY95" s="58"/>
      <c r="BZ95" s="58"/>
      <c r="CA95" s="58"/>
      <c r="CB95" s="58"/>
      <c r="CC95" s="58"/>
    </row>
    <row r="96" spans="1:81" x14ac:dyDescent="0.2">
      <c r="A96"/>
      <c r="B96"/>
      <c r="C96" s="51" t="str">
        <f t="shared" si="70"/>
        <v/>
      </c>
      <c r="D96" s="51" t="str">
        <f t="shared" si="69"/>
        <v/>
      </c>
      <c r="E96" s="51" t="str">
        <f t="shared" si="71"/>
        <v/>
      </c>
      <c r="F96" s="51" t="str">
        <f>IFERROR(IF(E96&lt;&gt;"",SUM(E$8:E96),""),"")</f>
        <v/>
      </c>
      <c r="G96" s="52" t="str">
        <f t="shared" si="73"/>
        <v/>
      </c>
      <c r="H96" s="52" t="str">
        <f t="shared" si="72"/>
        <v/>
      </c>
      <c r="I96" s="53" t="str">
        <f t="shared" si="74"/>
        <v/>
      </c>
      <c r="BC96" s="58"/>
      <c r="BD96" s="58"/>
      <c r="BE96" s="58"/>
      <c r="BF96" s="58"/>
      <c r="BG96" s="58"/>
      <c r="BH96" s="58"/>
      <c r="BI96" s="58"/>
      <c r="BJ96" s="58"/>
      <c r="BK96" s="58"/>
      <c r="BL96" s="58"/>
      <c r="BM96" s="58"/>
      <c r="BN96" s="58"/>
      <c r="BO96" s="58"/>
      <c r="BP96" s="58"/>
      <c r="BQ96" s="58"/>
      <c r="BR96" s="58"/>
      <c r="BS96" s="58"/>
      <c r="BT96" s="58"/>
      <c r="BU96" s="58"/>
      <c r="BV96" s="58"/>
      <c r="BW96" s="58"/>
      <c r="BX96" s="58"/>
      <c r="BY96" s="58"/>
      <c r="BZ96" s="58"/>
      <c r="CA96" s="58"/>
      <c r="CB96" s="58"/>
      <c r="CC96" s="58"/>
    </row>
    <row r="97" spans="1:81" x14ac:dyDescent="0.2">
      <c r="A97"/>
      <c r="B97"/>
      <c r="C97" s="51" t="str">
        <f t="shared" si="70"/>
        <v/>
      </c>
      <c r="D97" s="51" t="str">
        <f t="shared" si="69"/>
        <v/>
      </c>
      <c r="E97" s="51" t="str">
        <f t="shared" si="71"/>
        <v/>
      </c>
      <c r="F97" s="51" t="str">
        <f>IFERROR(IF(E97&lt;&gt;"",SUM(E$8:E97),""),"")</f>
        <v/>
      </c>
      <c r="G97" s="52" t="str">
        <f t="shared" si="73"/>
        <v/>
      </c>
      <c r="H97" s="52" t="str">
        <f t="shared" si="72"/>
        <v/>
      </c>
      <c r="I97" s="53" t="str">
        <f t="shared" si="74"/>
        <v/>
      </c>
      <c r="BC97" s="58"/>
      <c r="BD97" s="58"/>
      <c r="BE97" s="58"/>
      <c r="BF97" s="58"/>
      <c r="BG97" s="58"/>
      <c r="BH97" s="58"/>
      <c r="BI97" s="58"/>
      <c r="BJ97" s="58"/>
      <c r="BK97" s="58"/>
      <c r="BL97" s="58"/>
      <c r="BM97" s="58"/>
      <c r="BN97" s="58"/>
      <c r="BO97" s="58"/>
      <c r="BP97" s="58"/>
      <c r="BQ97" s="58"/>
      <c r="BR97" s="58"/>
      <c r="BS97" s="58"/>
      <c r="BT97" s="58"/>
      <c r="BU97" s="58"/>
      <c r="BV97" s="58"/>
      <c r="BW97" s="58"/>
      <c r="BX97" s="58"/>
      <c r="BY97" s="58"/>
      <c r="BZ97" s="58"/>
      <c r="CA97" s="58"/>
      <c r="CB97" s="58"/>
      <c r="CC97" s="58"/>
    </row>
    <row r="98" spans="1:81" x14ac:dyDescent="0.2">
      <c r="A98"/>
      <c r="B98"/>
      <c r="C98" s="51" t="str">
        <f t="shared" si="70"/>
        <v/>
      </c>
      <c r="D98" s="51" t="str">
        <f t="shared" si="69"/>
        <v/>
      </c>
      <c r="E98" s="51" t="str">
        <f t="shared" si="71"/>
        <v/>
      </c>
      <c r="F98" s="51" t="str">
        <f>IFERROR(IF(E98&lt;&gt;"",SUM(E$8:E98),""),"")</f>
        <v/>
      </c>
      <c r="G98" s="52" t="str">
        <f t="shared" si="73"/>
        <v/>
      </c>
      <c r="H98" s="52" t="str">
        <f t="shared" si="72"/>
        <v/>
      </c>
      <c r="I98" s="53" t="str">
        <f t="shared" si="74"/>
        <v/>
      </c>
      <c r="BC98" s="58"/>
      <c r="BD98" s="58"/>
      <c r="BE98" s="58"/>
      <c r="BF98" s="58"/>
      <c r="BG98" s="58"/>
      <c r="BH98" s="58"/>
      <c r="BI98" s="58"/>
      <c r="BJ98" s="58"/>
      <c r="BK98" s="58"/>
      <c r="BL98" s="58"/>
      <c r="BM98" s="58"/>
      <c r="BN98" s="58"/>
      <c r="BO98" s="58"/>
      <c r="BP98" s="58"/>
      <c r="BQ98" s="58"/>
      <c r="BR98" s="58"/>
      <c r="BS98" s="58"/>
      <c r="BT98" s="58"/>
      <c r="BU98" s="58"/>
      <c r="BV98" s="58"/>
      <c r="BW98" s="58"/>
      <c r="BX98" s="58"/>
      <c r="BY98" s="58"/>
      <c r="BZ98" s="58"/>
      <c r="CA98" s="58"/>
      <c r="CB98" s="58"/>
      <c r="CC98" s="58"/>
    </row>
    <row r="99" spans="1:81" x14ac:dyDescent="0.2">
      <c r="A99"/>
      <c r="B99"/>
      <c r="C99" s="51" t="str">
        <f t="shared" si="70"/>
        <v/>
      </c>
      <c r="D99" s="51" t="str">
        <f t="shared" si="69"/>
        <v/>
      </c>
      <c r="E99" s="51" t="str">
        <f t="shared" si="71"/>
        <v/>
      </c>
      <c r="F99" s="51" t="str">
        <f>IFERROR(IF(E99&lt;&gt;"",SUM(E$8:E99),""),"")</f>
        <v/>
      </c>
      <c r="G99" s="52" t="str">
        <f t="shared" si="73"/>
        <v/>
      </c>
      <c r="H99" s="52" t="str">
        <f t="shared" si="72"/>
        <v/>
      </c>
      <c r="I99" s="53" t="str">
        <f t="shared" si="74"/>
        <v/>
      </c>
      <c r="BC99" s="58"/>
      <c r="BD99" s="58"/>
      <c r="BE99" s="58"/>
      <c r="BF99" s="58"/>
      <c r="BG99" s="58"/>
      <c r="BH99" s="58"/>
      <c r="BI99" s="58"/>
      <c r="BJ99" s="58"/>
      <c r="BK99" s="58"/>
      <c r="BL99" s="58"/>
      <c r="BM99" s="58"/>
      <c r="BN99" s="58"/>
      <c r="BO99" s="58"/>
      <c r="BP99" s="58"/>
      <c r="BQ99" s="58"/>
      <c r="BR99" s="58"/>
      <c r="BS99" s="58"/>
      <c r="BT99" s="58"/>
      <c r="BU99" s="58"/>
      <c r="BV99" s="58"/>
      <c r="BW99" s="58"/>
      <c r="BX99" s="58"/>
      <c r="BY99" s="58"/>
      <c r="BZ99" s="58"/>
      <c r="CA99" s="58"/>
      <c r="CB99" s="58"/>
      <c r="CC99" s="58"/>
    </row>
    <row r="100" spans="1:81" x14ac:dyDescent="0.2">
      <c r="A100"/>
      <c r="B100"/>
      <c r="C100" s="51" t="str">
        <f t="shared" si="70"/>
        <v/>
      </c>
      <c r="D100" s="51" t="str">
        <f t="shared" si="69"/>
        <v/>
      </c>
      <c r="E100" s="51" t="str">
        <f t="shared" si="71"/>
        <v/>
      </c>
      <c r="F100" s="51" t="str">
        <f>IFERROR(IF(E100&lt;&gt;"",SUM(E$8:E100),""),"")</f>
        <v/>
      </c>
      <c r="G100" s="52" t="str">
        <f t="shared" si="73"/>
        <v/>
      </c>
      <c r="H100" s="52" t="str">
        <f t="shared" si="72"/>
        <v/>
      </c>
      <c r="I100" s="53" t="str">
        <f t="shared" si="74"/>
        <v/>
      </c>
      <c r="BC100" s="58"/>
      <c r="BD100" s="58"/>
      <c r="BE100" s="58"/>
      <c r="BF100" s="58"/>
      <c r="BG100" s="58"/>
      <c r="BH100" s="58"/>
      <c r="BI100" s="58"/>
      <c r="BJ100" s="58"/>
      <c r="BK100" s="58"/>
      <c r="BL100" s="58"/>
      <c r="BM100" s="58"/>
      <c r="BN100" s="58"/>
      <c r="BO100" s="58"/>
      <c r="BP100" s="58"/>
      <c r="BQ100" s="58"/>
      <c r="BR100" s="58"/>
      <c r="BS100" s="58"/>
      <c r="BT100" s="58"/>
      <c r="BU100" s="58"/>
      <c r="BV100" s="58"/>
      <c r="BW100" s="58"/>
      <c r="BX100" s="58"/>
      <c r="BY100" s="58"/>
      <c r="BZ100" s="58"/>
      <c r="CA100" s="58"/>
      <c r="CB100" s="58"/>
      <c r="CC100" s="58"/>
    </row>
    <row r="101" spans="1:81" x14ac:dyDescent="0.2">
      <c r="A101"/>
      <c r="B101"/>
      <c r="C101" s="51" t="str">
        <f t="shared" si="70"/>
        <v/>
      </c>
      <c r="D101" s="51" t="str">
        <f t="shared" si="69"/>
        <v/>
      </c>
      <c r="E101" s="51" t="str">
        <f t="shared" si="71"/>
        <v/>
      </c>
      <c r="F101" s="51" t="str">
        <f>IFERROR(IF(E101&lt;&gt;"",SUM(E$8:E101),""),"")</f>
        <v/>
      </c>
      <c r="G101" s="52" t="str">
        <f t="shared" si="73"/>
        <v/>
      </c>
      <c r="H101" s="52" t="str">
        <f t="shared" si="72"/>
        <v/>
      </c>
      <c r="I101" s="53" t="str">
        <f t="shared" si="74"/>
        <v/>
      </c>
      <c r="BC101" s="58"/>
      <c r="BD101" s="58"/>
      <c r="BE101" s="58"/>
      <c r="BF101" s="58"/>
      <c r="BG101" s="58"/>
      <c r="BH101" s="58"/>
      <c r="BI101" s="58"/>
      <c r="BJ101" s="58"/>
      <c r="BK101" s="58"/>
      <c r="BL101" s="58"/>
      <c r="BM101" s="58"/>
      <c r="BN101" s="58"/>
      <c r="BO101" s="58"/>
      <c r="BP101" s="58"/>
      <c r="BQ101" s="58"/>
      <c r="BR101" s="58"/>
      <c r="BS101" s="58"/>
      <c r="BT101" s="58"/>
      <c r="BU101" s="58"/>
      <c r="BV101" s="58"/>
      <c r="BW101" s="58"/>
      <c r="BX101" s="58"/>
      <c r="BY101" s="58"/>
      <c r="BZ101" s="58"/>
      <c r="CA101" s="58"/>
      <c r="CB101" s="58"/>
      <c r="CC101" s="58"/>
    </row>
    <row r="102" spans="1:81" x14ac:dyDescent="0.2">
      <c r="A102"/>
      <c r="B102"/>
      <c r="BC102" s="58"/>
      <c r="BD102" s="58"/>
      <c r="BE102" s="58"/>
      <c r="BF102" s="58"/>
      <c r="BG102" s="58"/>
      <c r="BH102" s="58"/>
      <c r="BI102" s="58"/>
      <c r="BJ102" s="58"/>
      <c r="BK102" s="58"/>
      <c r="BL102" s="58"/>
      <c r="BM102" s="58"/>
      <c r="BN102" s="58"/>
      <c r="BO102" s="58"/>
      <c r="BP102" s="58"/>
      <c r="BQ102" s="58"/>
      <c r="BR102" s="58"/>
      <c r="BS102" s="58"/>
      <c r="BT102" s="58"/>
      <c r="BU102" s="58"/>
      <c r="BV102" s="58"/>
      <c r="BW102" s="58"/>
      <c r="BX102" s="58"/>
      <c r="BY102" s="58"/>
      <c r="BZ102" s="58"/>
      <c r="CA102" s="58"/>
      <c r="CB102" s="58"/>
      <c r="CC102" s="58"/>
    </row>
    <row r="103" spans="1:81" x14ac:dyDescent="0.2">
      <c r="A103"/>
      <c r="B103"/>
      <c r="BC103" s="58"/>
      <c r="BD103" s="58"/>
      <c r="BE103" s="58"/>
      <c r="BF103" s="58"/>
      <c r="BG103" s="58"/>
      <c r="BH103" s="58"/>
      <c r="BI103" s="58"/>
      <c r="BJ103" s="58"/>
      <c r="BK103" s="58"/>
      <c r="BL103" s="58"/>
      <c r="BM103" s="58"/>
      <c r="BN103" s="58"/>
      <c r="BO103" s="58"/>
      <c r="BP103" s="58"/>
      <c r="BQ103" s="58"/>
      <c r="BR103" s="58"/>
      <c r="BS103" s="58"/>
      <c r="BT103" s="58"/>
      <c r="BU103" s="58"/>
      <c r="BV103" s="58"/>
      <c r="BW103" s="58"/>
      <c r="BX103" s="58"/>
      <c r="BY103" s="58"/>
      <c r="BZ103" s="58"/>
      <c r="CA103" s="58"/>
      <c r="CB103" s="58"/>
      <c r="CC103" s="58"/>
    </row>
    <row r="104" spans="1:81" x14ac:dyDescent="0.2">
      <c r="A104"/>
      <c r="B104"/>
      <c r="BC104" s="58"/>
      <c r="BD104" s="58"/>
      <c r="BE104" s="58"/>
      <c r="BF104" s="58"/>
      <c r="BG104" s="58"/>
      <c r="BH104" s="58"/>
      <c r="BI104" s="58"/>
      <c r="BJ104" s="58"/>
      <c r="BK104" s="58"/>
      <c r="BL104" s="58"/>
      <c r="BM104" s="58"/>
      <c r="BN104" s="58"/>
      <c r="BO104" s="58"/>
      <c r="BP104" s="58"/>
      <c r="BQ104" s="58"/>
      <c r="BR104" s="58"/>
      <c r="BS104" s="58"/>
      <c r="BT104" s="58"/>
      <c r="BU104" s="58"/>
      <c r="BV104" s="58"/>
      <c r="BW104" s="58"/>
      <c r="BX104" s="58"/>
      <c r="BY104" s="58"/>
      <c r="BZ104" s="58"/>
      <c r="CA104" s="58"/>
      <c r="CB104" s="58"/>
      <c r="CC104" s="58"/>
    </row>
    <row r="105" spans="1:81" x14ac:dyDescent="0.2">
      <c r="A105"/>
      <c r="B105"/>
      <c r="BC105" s="58"/>
      <c r="BD105" s="58"/>
      <c r="BE105" s="58"/>
      <c r="BF105" s="58"/>
      <c r="BG105" s="58"/>
      <c r="BH105" s="58"/>
      <c r="BI105" s="58"/>
      <c r="BJ105" s="58"/>
      <c r="BK105" s="58"/>
      <c r="BL105" s="58"/>
      <c r="BM105" s="58"/>
      <c r="BN105" s="58"/>
      <c r="BO105" s="58"/>
      <c r="BP105" s="58"/>
      <c r="BQ105" s="58"/>
      <c r="BR105" s="58"/>
      <c r="BS105" s="58"/>
      <c r="BT105" s="58"/>
      <c r="BU105" s="58"/>
      <c r="BV105" s="58"/>
      <c r="BW105" s="58"/>
      <c r="BX105" s="58"/>
      <c r="BY105" s="58"/>
      <c r="BZ105" s="58"/>
      <c r="CA105" s="58"/>
      <c r="CB105" s="58"/>
      <c r="CC105" s="58"/>
    </row>
    <row r="106" spans="1:81" x14ac:dyDescent="0.2">
      <c r="A106"/>
      <c r="B106"/>
      <c r="BC106" s="58"/>
      <c r="BD106" s="58"/>
      <c r="BE106" s="58"/>
      <c r="BF106" s="58"/>
      <c r="BG106" s="58"/>
      <c r="BH106" s="58"/>
      <c r="BI106" s="58"/>
      <c r="BJ106" s="58"/>
      <c r="BK106" s="58"/>
      <c r="BL106" s="58"/>
      <c r="BM106" s="58"/>
      <c r="BN106" s="58"/>
      <c r="BO106" s="58"/>
      <c r="BP106" s="58"/>
      <c r="BQ106" s="58"/>
      <c r="BR106" s="58"/>
      <c r="BS106" s="58"/>
      <c r="BT106" s="58"/>
      <c r="BU106" s="58"/>
      <c r="BV106" s="58"/>
      <c r="BW106" s="58"/>
      <c r="BX106" s="58"/>
      <c r="BY106" s="58"/>
      <c r="BZ106" s="58"/>
      <c r="CA106" s="58"/>
      <c r="CB106" s="58"/>
      <c r="CC106" s="58"/>
    </row>
    <row r="107" spans="1:81" x14ac:dyDescent="0.2">
      <c r="A107"/>
      <c r="B107"/>
      <c r="BC107" s="58"/>
      <c r="BD107" s="58"/>
      <c r="BE107" s="58"/>
      <c r="BF107" s="58"/>
      <c r="BG107" s="58"/>
      <c r="BH107" s="58"/>
      <c r="BI107" s="58"/>
      <c r="BJ107" s="58"/>
      <c r="BK107" s="58"/>
      <c r="BL107" s="58"/>
      <c r="BM107" s="58"/>
      <c r="BN107" s="58"/>
      <c r="BO107" s="58"/>
      <c r="BP107" s="58"/>
      <c r="BQ107" s="58"/>
      <c r="BR107" s="58"/>
      <c r="BS107" s="58"/>
      <c r="BT107" s="58"/>
      <c r="BU107" s="58"/>
      <c r="BV107" s="58"/>
      <c r="BW107" s="58"/>
      <c r="BX107" s="58"/>
      <c r="BY107" s="58"/>
      <c r="BZ107" s="58"/>
      <c r="CA107" s="58"/>
      <c r="CB107" s="58"/>
      <c r="CC107" s="58"/>
    </row>
    <row r="108" spans="1:81" x14ac:dyDescent="0.2">
      <c r="A108"/>
      <c r="B108"/>
      <c r="BC108" s="58"/>
      <c r="BD108" s="58"/>
      <c r="BE108" s="58"/>
      <c r="BF108" s="58"/>
      <c r="BG108" s="58"/>
      <c r="BH108" s="58"/>
      <c r="BI108" s="58"/>
      <c r="BJ108" s="58"/>
      <c r="BK108" s="58"/>
      <c r="BL108" s="58"/>
      <c r="BM108" s="58"/>
      <c r="BN108" s="58"/>
      <c r="BO108" s="58"/>
      <c r="BP108" s="58"/>
      <c r="BQ108" s="58"/>
      <c r="BR108" s="58"/>
      <c r="BS108" s="58"/>
      <c r="BT108" s="58"/>
      <c r="BU108" s="58"/>
      <c r="BV108" s="58"/>
      <c r="BW108" s="58"/>
      <c r="BX108" s="58"/>
      <c r="BY108" s="58"/>
      <c r="BZ108" s="58"/>
      <c r="CA108" s="58"/>
      <c r="CB108" s="58"/>
      <c r="CC108" s="58"/>
    </row>
    <row r="109" spans="1:81" x14ac:dyDescent="0.2">
      <c r="A109"/>
      <c r="B109"/>
      <c r="BC109" s="58"/>
      <c r="BD109" s="58"/>
      <c r="BE109" s="58"/>
      <c r="BF109" s="58"/>
      <c r="BG109" s="58"/>
      <c r="BH109" s="58"/>
      <c r="BI109" s="58"/>
      <c r="BJ109" s="58"/>
      <c r="BK109" s="58"/>
      <c r="BL109" s="58"/>
      <c r="BM109" s="58"/>
      <c r="BN109" s="58"/>
      <c r="BO109" s="58"/>
      <c r="BP109" s="58"/>
      <c r="BQ109" s="58"/>
      <c r="BR109" s="58"/>
      <c r="BS109" s="58"/>
      <c r="BT109" s="58"/>
      <c r="BU109" s="58"/>
      <c r="BV109" s="58"/>
      <c r="BW109" s="58"/>
      <c r="BX109" s="58"/>
      <c r="BY109" s="58"/>
      <c r="BZ109" s="58"/>
      <c r="CA109" s="58"/>
      <c r="CB109" s="58"/>
      <c r="CC109" s="58"/>
    </row>
    <row r="110" spans="1:81" x14ac:dyDescent="0.2">
      <c r="A110"/>
      <c r="B110"/>
      <c r="BC110" s="58"/>
      <c r="BD110" s="58"/>
      <c r="BE110" s="58"/>
      <c r="BF110" s="58"/>
      <c r="BG110" s="58"/>
      <c r="BH110" s="58"/>
      <c r="BI110" s="58"/>
      <c r="BJ110" s="58"/>
      <c r="BK110" s="58"/>
      <c r="BL110" s="58"/>
      <c r="BM110" s="58"/>
      <c r="BN110" s="58"/>
      <c r="BO110" s="58"/>
      <c r="BP110" s="58"/>
      <c r="BQ110" s="58"/>
      <c r="BR110" s="58"/>
      <c r="BS110" s="58"/>
      <c r="BT110" s="58"/>
      <c r="BU110" s="58"/>
      <c r="BV110" s="58"/>
      <c r="BW110" s="58"/>
      <c r="BX110" s="58"/>
      <c r="BY110" s="58"/>
      <c r="BZ110" s="58"/>
      <c r="CA110" s="58"/>
      <c r="CB110" s="58"/>
      <c r="CC110" s="58"/>
    </row>
    <row r="111" spans="1:81" x14ac:dyDescent="0.2">
      <c r="A111"/>
      <c r="B111"/>
      <c r="BC111" s="58"/>
      <c r="BD111" s="58"/>
      <c r="BE111" s="58"/>
      <c r="BF111" s="58"/>
      <c r="BG111" s="58"/>
      <c r="BH111" s="58"/>
      <c r="BI111" s="58"/>
      <c r="BJ111" s="58"/>
      <c r="BK111" s="58"/>
      <c r="BL111" s="58"/>
      <c r="BM111" s="58"/>
      <c r="BN111" s="58"/>
      <c r="BO111" s="58"/>
      <c r="BP111" s="58"/>
      <c r="BQ111" s="58"/>
      <c r="BR111" s="58"/>
      <c r="BS111" s="58"/>
      <c r="BT111" s="58"/>
      <c r="BU111" s="58"/>
      <c r="BV111" s="58"/>
      <c r="BW111" s="58"/>
      <c r="BX111" s="58"/>
      <c r="BY111" s="58"/>
      <c r="BZ111" s="58"/>
      <c r="CA111" s="58"/>
      <c r="CB111" s="58"/>
      <c r="CC111" s="58"/>
    </row>
    <row r="112" spans="1:81" x14ac:dyDescent="0.2">
      <c r="A112"/>
      <c r="B112"/>
      <c r="BC112" s="58"/>
      <c r="BD112" s="58"/>
      <c r="BE112" s="58"/>
      <c r="BF112" s="58"/>
      <c r="BG112" s="58"/>
      <c r="BH112" s="58"/>
      <c r="BI112" s="58"/>
      <c r="BJ112" s="58"/>
      <c r="BK112" s="58"/>
      <c r="BL112" s="58"/>
      <c r="BM112" s="58"/>
      <c r="BN112" s="58"/>
      <c r="BO112" s="58"/>
      <c r="BP112" s="58"/>
      <c r="BQ112" s="58"/>
      <c r="BR112" s="58"/>
      <c r="BS112" s="58"/>
      <c r="BT112" s="58"/>
      <c r="BU112" s="58"/>
      <c r="BV112" s="58"/>
      <c r="BW112" s="58"/>
      <c r="BX112" s="58"/>
      <c r="BY112" s="58"/>
      <c r="BZ112" s="58"/>
      <c r="CA112" s="58"/>
      <c r="CB112" s="58"/>
      <c r="CC112" s="58"/>
    </row>
    <row r="113" spans="1:81" x14ac:dyDescent="0.2">
      <c r="A113"/>
      <c r="B113"/>
      <c r="BC113" s="58"/>
      <c r="BD113" s="58"/>
      <c r="BE113" s="58"/>
      <c r="BF113" s="58"/>
      <c r="BG113" s="58"/>
      <c r="BH113" s="58"/>
      <c r="BI113" s="58"/>
      <c r="BJ113" s="58"/>
      <c r="BK113" s="58"/>
      <c r="BL113" s="58"/>
      <c r="BM113" s="58"/>
      <c r="BN113" s="58"/>
      <c r="BO113" s="58"/>
      <c r="BP113" s="58"/>
      <c r="BQ113" s="58"/>
      <c r="BR113" s="58"/>
      <c r="BS113" s="58"/>
      <c r="BT113" s="58"/>
      <c r="BU113" s="58"/>
      <c r="BV113" s="58"/>
      <c r="BW113" s="58"/>
      <c r="BX113" s="58"/>
      <c r="BY113" s="58"/>
      <c r="BZ113" s="58"/>
      <c r="CA113" s="58"/>
      <c r="CB113" s="58"/>
      <c r="CC113" s="58"/>
    </row>
    <row r="114" spans="1:81" x14ac:dyDescent="0.2">
      <c r="A114"/>
      <c r="B114"/>
      <c r="BC114" s="58"/>
      <c r="BD114" s="58"/>
      <c r="BE114" s="58"/>
      <c r="BF114" s="58"/>
      <c r="BG114" s="58"/>
      <c r="BH114" s="58"/>
      <c r="BI114" s="58"/>
      <c r="BJ114" s="58"/>
      <c r="BK114" s="58"/>
      <c r="BL114" s="58"/>
      <c r="BM114" s="58"/>
      <c r="BN114" s="58"/>
      <c r="BO114" s="58"/>
      <c r="BP114" s="58"/>
      <c r="BQ114" s="58"/>
      <c r="BR114" s="58"/>
      <c r="BS114" s="58"/>
      <c r="BT114" s="58"/>
      <c r="BU114" s="58"/>
      <c r="BV114" s="58"/>
      <c r="BW114" s="58"/>
      <c r="BX114" s="58"/>
      <c r="BY114" s="58"/>
      <c r="BZ114" s="58"/>
      <c r="CA114" s="58"/>
      <c r="CB114" s="58"/>
      <c r="CC114" s="58"/>
    </row>
    <row r="115" spans="1:81" x14ac:dyDescent="0.2">
      <c r="A115"/>
      <c r="B115"/>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58"/>
      <c r="BZ115" s="58"/>
      <c r="CA115" s="58"/>
      <c r="CB115" s="58"/>
      <c r="CC115" s="58"/>
    </row>
    <row r="116" spans="1:81" x14ac:dyDescent="0.2">
      <c r="A116"/>
      <c r="B116"/>
      <c r="BC116" s="58"/>
      <c r="BD116" s="58"/>
      <c r="BE116" s="58"/>
      <c r="BF116" s="58"/>
      <c r="BG116" s="58"/>
      <c r="BH116" s="58"/>
      <c r="BI116" s="58"/>
      <c r="BJ116" s="58"/>
      <c r="BK116" s="58"/>
      <c r="BL116" s="58"/>
      <c r="BM116" s="58"/>
      <c r="BN116" s="58"/>
      <c r="BO116" s="58"/>
      <c r="BP116" s="58"/>
      <c r="BQ116" s="58"/>
      <c r="BR116" s="58"/>
      <c r="BS116" s="58"/>
      <c r="BT116" s="58"/>
      <c r="BU116" s="58"/>
      <c r="BV116" s="58"/>
      <c r="BW116" s="58"/>
      <c r="BX116" s="58"/>
      <c r="BY116" s="58"/>
      <c r="BZ116" s="58"/>
      <c r="CA116" s="58"/>
      <c r="CB116" s="58"/>
      <c r="CC116" s="58"/>
    </row>
    <row r="117" spans="1:81" x14ac:dyDescent="0.2">
      <c r="A117"/>
      <c r="B117"/>
      <c r="BC117" s="58"/>
      <c r="BD117" s="58"/>
      <c r="BE117" s="58"/>
      <c r="BF117" s="58"/>
      <c r="BG117" s="58"/>
      <c r="BH117" s="58"/>
      <c r="BI117" s="58"/>
      <c r="BJ117" s="58"/>
      <c r="BK117" s="58"/>
      <c r="BL117" s="58"/>
      <c r="BM117" s="58"/>
      <c r="BN117" s="58"/>
      <c r="BO117" s="58"/>
      <c r="BP117" s="58"/>
      <c r="BQ117" s="58"/>
      <c r="BR117" s="58"/>
      <c r="BS117" s="58"/>
      <c r="BT117" s="58"/>
      <c r="BU117" s="58"/>
      <c r="BV117" s="58"/>
      <c r="BW117" s="58"/>
      <c r="BX117" s="58"/>
      <c r="BY117" s="58"/>
      <c r="BZ117" s="58"/>
      <c r="CA117" s="58"/>
      <c r="CB117" s="58"/>
      <c r="CC117" s="58"/>
    </row>
    <row r="118" spans="1:81" x14ac:dyDescent="0.2">
      <c r="A118"/>
      <c r="B118"/>
      <c r="BC118" s="58"/>
      <c r="BD118" s="58"/>
      <c r="BE118" s="58"/>
      <c r="BF118" s="58"/>
      <c r="BG118" s="58"/>
      <c r="BH118" s="58"/>
      <c r="BI118" s="58"/>
      <c r="BJ118" s="58"/>
      <c r="BK118" s="58"/>
      <c r="BL118" s="58"/>
      <c r="BM118" s="58"/>
      <c r="BN118" s="58"/>
      <c r="BO118" s="58"/>
      <c r="BP118" s="58"/>
      <c r="BQ118" s="58"/>
      <c r="BR118" s="58"/>
      <c r="BS118" s="58"/>
      <c r="BT118" s="58"/>
      <c r="BU118" s="58"/>
      <c r="BV118" s="58"/>
      <c r="BW118" s="58"/>
      <c r="BX118" s="58"/>
      <c r="BY118" s="58"/>
      <c r="BZ118" s="58"/>
      <c r="CA118" s="58"/>
      <c r="CB118" s="58"/>
      <c r="CC118" s="58"/>
    </row>
    <row r="119" spans="1:81" x14ac:dyDescent="0.2">
      <c r="A119"/>
      <c r="B119"/>
      <c r="BC119" s="58"/>
      <c r="BD119" s="58"/>
      <c r="BE119" s="58"/>
      <c r="BF119" s="58"/>
      <c r="BG119" s="58"/>
      <c r="BH119" s="58"/>
      <c r="BI119" s="58"/>
      <c r="BJ119" s="58"/>
      <c r="BK119" s="58"/>
      <c r="BL119" s="58"/>
      <c r="BM119" s="58"/>
      <c r="BN119" s="58"/>
      <c r="BO119" s="58"/>
      <c r="BP119" s="58"/>
      <c r="BQ119" s="58"/>
      <c r="BR119" s="58"/>
      <c r="BS119" s="58"/>
      <c r="BT119" s="58"/>
      <c r="BU119" s="58"/>
      <c r="BV119" s="58"/>
      <c r="BW119" s="58"/>
      <c r="BX119" s="58"/>
      <c r="BY119" s="58"/>
      <c r="BZ119" s="58"/>
      <c r="CA119" s="58"/>
      <c r="CB119" s="58"/>
      <c r="CC119" s="58"/>
    </row>
    <row r="120" spans="1:81" x14ac:dyDescent="0.2">
      <c r="A120"/>
      <c r="B120"/>
      <c r="BC120" s="58"/>
      <c r="BD120" s="58"/>
      <c r="BE120" s="58"/>
      <c r="BF120" s="58"/>
      <c r="BG120" s="58"/>
      <c r="BH120" s="58"/>
      <c r="BI120" s="58"/>
      <c r="BJ120" s="58"/>
      <c r="BK120" s="58"/>
      <c r="BL120" s="58"/>
      <c r="BM120" s="58"/>
      <c r="BN120" s="58"/>
      <c r="BO120" s="58"/>
      <c r="BP120" s="58"/>
      <c r="BQ120" s="58"/>
      <c r="BR120" s="58"/>
      <c r="BS120" s="58"/>
      <c r="BT120" s="58"/>
      <c r="BU120" s="58"/>
      <c r="BV120" s="58"/>
      <c r="BW120" s="58"/>
      <c r="BX120" s="58"/>
      <c r="BY120" s="58"/>
      <c r="BZ120" s="58"/>
      <c r="CA120" s="58"/>
      <c r="CB120" s="58"/>
      <c r="CC120" s="58"/>
    </row>
    <row r="121" spans="1:81" x14ac:dyDescent="0.2">
      <c r="A121"/>
      <c r="B121"/>
      <c r="BC121" s="58"/>
      <c r="BD121" s="58"/>
      <c r="BE121" s="58"/>
      <c r="BF121" s="58"/>
      <c r="BG121" s="58"/>
      <c r="BH121" s="58"/>
      <c r="BI121" s="58"/>
      <c r="BJ121" s="58"/>
      <c r="BK121" s="58"/>
      <c r="BL121" s="58"/>
      <c r="BM121" s="58"/>
      <c r="BN121" s="58"/>
      <c r="BO121" s="58"/>
      <c r="BP121" s="58"/>
      <c r="BQ121" s="58"/>
      <c r="BR121" s="58"/>
      <c r="BS121" s="58"/>
      <c r="BT121" s="58"/>
      <c r="BU121" s="58"/>
      <c r="BV121" s="58"/>
      <c r="BW121" s="58"/>
      <c r="BX121" s="58"/>
      <c r="BY121" s="58"/>
      <c r="BZ121" s="58"/>
      <c r="CA121" s="58"/>
      <c r="CB121" s="58"/>
      <c r="CC121" s="58"/>
    </row>
    <row r="122" spans="1:81" x14ac:dyDescent="0.2">
      <c r="A122"/>
      <c r="B122"/>
      <c r="BC122" s="58"/>
      <c r="BD122" s="58"/>
      <c r="BE122" s="58"/>
      <c r="BF122" s="58"/>
      <c r="BG122" s="58"/>
      <c r="BH122" s="58"/>
      <c r="BI122" s="58"/>
      <c r="BJ122" s="58"/>
      <c r="BK122" s="58"/>
      <c r="BL122" s="58"/>
      <c r="BM122" s="58"/>
      <c r="BN122" s="58"/>
      <c r="BO122" s="58"/>
      <c r="BP122" s="58"/>
      <c r="BQ122" s="58"/>
      <c r="BR122" s="58"/>
      <c r="BS122" s="58"/>
      <c r="BT122" s="58"/>
      <c r="BU122" s="58"/>
      <c r="BV122" s="58"/>
      <c r="BW122" s="58"/>
      <c r="BX122" s="58"/>
      <c r="BY122" s="58"/>
      <c r="BZ122" s="58"/>
      <c r="CA122" s="58"/>
      <c r="CB122" s="58"/>
      <c r="CC122" s="58"/>
    </row>
    <row r="123" spans="1:81" x14ac:dyDescent="0.2">
      <c r="A123"/>
      <c r="B123"/>
      <c r="BC123" s="58"/>
      <c r="BD123" s="58"/>
      <c r="BE123" s="58"/>
      <c r="BF123" s="58"/>
      <c r="BG123" s="58"/>
      <c r="BH123" s="58"/>
      <c r="BI123" s="58"/>
      <c r="BJ123" s="58"/>
      <c r="BK123" s="58"/>
      <c r="BL123" s="58"/>
      <c r="BM123" s="58"/>
      <c r="BN123" s="58"/>
      <c r="BO123" s="58"/>
      <c r="BP123" s="58"/>
      <c r="BQ123" s="58"/>
      <c r="BR123" s="58"/>
      <c r="BS123" s="58"/>
      <c r="BT123" s="58"/>
      <c r="BU123" s="58"/>
      <c r="BV123" s="58"/>
      <c r="BW123" s="58"/>
      <c r="BX123" s="58"/>
      <c r="BY123" s="58"/>
      <c r="BZ123" s="58"/>
      <c r="CA123" s="58"/>
      <c r="CB123" s="58"/>
      <c r="CC123" s="58"/>
    </row>
    <row r="124" spans="1:81" x14ac:dyDescent="0.2">
      <c r="A124"/>
      <c r="B124"/>
      <c r="BC124" s="58"/>
      <c r="BD124" s="58"/>
      <c r="BE124" s="58"/>
      <c r="BF124" s="58"/>
      <c r="BG124" s="58"/>
      <c r="BH124" s="58"/>
      <c r="BI124" s="58"/>
      <c r="BJ124" s="58"/>
      <c r="BK124" s="58"/>
      <c r="BL124" s="58"/>
      <c r="BM124" s="58"/>
      <c r="BN124" s="58"/>
      <c r="BO124" s="58"/>
      <c r="BP124" s="58"/>
      <c r="BQ124" s="58"/>
      <c r="BR124" s="58"/>
      <c r="BS124" s="58"/>
      <c r="BT124" s="58"/>
      <c r="BU124" s="58"/>
      <c r="BV124" s="58"/>
      <c r="BW124" s="58"/>
      <c r="BX124" s="58"/>
      <c r="BY124" s="58"/>
      <c r="BZ124" s="58"/>
      <c r="CA124" s="58"/>
      <c r="CB124" s="58"/>
      <c r="CC124" s="58"/>
    </row>
    <row r="125" spans="1:81" x14ac:dyDescent="0.2">
      <c r="A125"/>
      <c r="B125"/>
      <c r="BC125" s="58"/>
      <c r="BD125" s="58"/>
      <c r="BE125" s="58"/>
      <c r="BF125" s="58"/>
      <c r="BG125" s="58"/>
      <c r="BH125" s="58"/>
      <c r="BI125" s="58"/>
      <c r="BJ125" s="58"/>
      <c r="BK125" s="58"/>
      <c r="BL125" s="58"/>
      <c r="BM125" s="58"/>
      <c r="BN125" s="58"/>
      <c r="BO125" s="58"/>
      <c r="BP125" s="58"/>
      <c r="BQ125" s="58"/>
      <c r="BR125" s="58"/>
      <c r="BS125" s="58"/>
      <c r="BT125" s="58"/>
      <c r="BU125" s="58"/>
      <c r="BV125" s="58"/>
      <c r="BW125" s="58"/>
      <c r="BX125" s="58"/>
      <c r="BY125" s="58"/>
      <c r="BZ125" s="58"/>
      <c r="CA125" s="58"/>
      <c r="CB125" s="58"/>
      <c r="CC125" s="58"/>
    </row>
    <row r="126" spans="1:81" x14ac:dyDescent="0.2">
      <c r="A126"/>
      <c r="B126"/>
      <c r="BC126" s="58"/>
      <c r="BD126" s="58"/>
      <c r="BE126" s="58"/>
      <c r="BF126" s="58"/>
      <c r="BG126" s="58"/>
      <c r="BH126" s="58"/>
      <c r="BI126" s="58"/>
      <c r="BJ126" s="58"/>
      <c r="BK126" s="58"/>
      <c r="BL126" s="58"/>
      <c r="BM126" s="58"/>
      <c r="BN126" s="58"/>
      <c r="BO126" s="58"/>
      <c r="BP126" s="58"/>
      <c r="BQ126" s="58"/>
      <c r="BR126" s="58"/>
      <c r="BS126" s="58"/>
      <c r="BT126" s="58"/>
      <c r="BU126" s="58"/>
      <c r="BV126" s="58"/>
      <c r="BW126" s="58"/>
      <c r="BX126" s="58"/>
      <c r="BY126" s="58"/>
      <c r="BZ126" s="58"/>
      <c r="CA126" s="58"/>
      <c r="CB126" s="58"/>
      <c r="CC126" s="58"/>
    </row>
    <row r="127" spans="1:81" x14ac:dyDescent="0.2">
      <c r="A127"/>
      <c r="B127"/>
      <c r="BC127" s="58"/>
      <c r="BD127" s="58"/>
      <c r="BE127" s="58"/>
      <c r="BF127" s="58"/>
      <c r="BG127" s="58"/>
      <c r="BH127" s="58"/>
      <c r="BI127" s="58"/>
      <c r="BJ127" s="58"/>
      <c r="BK127" s="58"/>
      <c r="BL127" s="58"/>
      <c r="BM127" s="58"/>
      <c r="BN127" s="58"/>
      <c r="BO127" s="58"/>
      <c r="BP127" s="58"/>
      <c r="BQ127" s="58"/>
      <c r="BR127" s="58"/>
      <c r="BS127" s="58"/>
      <c r="BT127" s="58"/>
      <c r="BU127" s="58"/>
      <c r="BV127" s="58"/>
      <c r="BW127" s="58"/>
      <c r="BX127" s="58"/>
      <c r="BY127" s="58"/>
      <c r="BZ127" s="58"/>
      <c r="CA127" s="58"/>
      <c r="CB127" s="58"/>
      <c r="CC127" s="58"/>
    </row>
    <row r="128" spans="1:81" x14ac:dyDescent="0.2">
      <c r="A128"/>
      <c r="B128"/>
      <c r="BC128" s="58"/>
      <c r="BD128" s="58"/>
      <c r="BE128" s="58"/>
      <c r="BF128" s="58"/>
      <c r="BG128" s="58"/>
      <c r="BH128" s="58"/>
      <c r="BI128" s="58"/>
      <c r="BJ128" s="58"/>
      <c r="BK128" s="58"/>
      <c r="BL128" s="58"/>
      <c r="BM128" s="58"/>
      <c r="BN128" s="58"/>
      <c r="BO128" s="58"/>
      <c r="BP128" s="58"/>
      <c r="BQ128" s="58"/>
      <c r="BR128" s="58"/>
      <c r="BS128" s="58"/>
      <c r="BT128" s="58"/>
      <c r="BU128" s="58"/>
      <c r="BV128" s="58"/>
      <c r="BW128" s="58"/>
      <c r="BX128" s="58"/>
      <c r="BY128" s="58"/>
      <c r="BZ128" s="58"/>
      <c r="CA128" s="58"/>
      <c r="CB128" s="58"/>
      <c r="CC128" s="58"/>
    </row>
    <row r="129" spans="1:81" x14ac:dyDescent="0.2">
      <c r="A129"/>
      <c r="B129"/>
      <c r="BC129" s="58"/>
      <c r="BD129" s="58"/>
      <c r="BE129" s="58"/>
      <c r="BF129" s="58"/>
      <c r="BG129" s="58"/>
      <c r="BH129" s="58"/>
      <c r="BI129" s="58"/>
      <c r="BJ129" s="58"/>
      <c r="BK129" s="58"/>
      <c r="BL129" s="58"/>
      <c r="BM129" s="58"/>
      <c r="BN129" s="58"/>
      <c r="BO129" s="58"/>
      <c r="BP129" s="58"/>
      <c r="BQ129" s="58"/>
      <c r="BR129" s="58"/>
      <c r="BS129" s="58"/>
      <c r="BT129" s="58"/>
      <c r="BU129" s="58"/>
      <c r="BV129" s="58"/>
      <c r="BW129" s="58"/>
      <c r="BX129" s="58"/>
      <c r="BY129" s="58"/>
      <c r="BZ129" s="58"/>
      <c r="CA129" s="58"/>
      <c r="CB129" s="58"/>
      <c r="CC129" s="58"/>
    </row>
    <row r="130" spans="1:81" x14ac:dyDescent="0.2">
      <c r="A130"/>
      <c r="B130"/>
      <c r="BC130" s="58"/>
      <c r="BD130" s="58"/>
      <c r="BE130" s="58"/>
      <c r="BF130" s="58"/>
      <c r="BG130" s="58"/>
      <c r="BH130" s="58"/>
      <c r="BI130" s="58"/>
      <c r="BJ130" s="58"/>
      <c r="BK130" s="58"/>
      <c r="BL130" s="58"/>
      <c r="BM130" s="58"/>
      <c r="BN130" s="58"/>
      <c r="BO130" s="58"/>
      <c r="BP130" s="58"/>
      <c r="BQ130" s="58"/>
      <c r="BR130" s="58"/>
      <c r="BS130" s="58"/>
      <c r="BT130" s="58"/>
      <c r="BU130" s="58"/>
      <c r="BV130" s="58"/>
      <c r="BW130" s="58"/>
      <c r="BX130" s="58"/>
      <c r="BY130" s="58"/>
      <c r="BZ130" s="58"/>
      <c r="CA130" s="58"/>
      <c r="CB130" s="58"/>
      <c r="CC130" s="58"/>
    </row>
    <row r="131" spans="1:81" x14ac:dyDescent="0.2">
      <c r="A131"/>
      <c r="B131"/>
      <c r="BC131" s="58"/>
      <c r="BD131" s="58"/>
      <c r="BE131" s="58"/>
      <c r="BF131" s="58"/>
      <c r="BG131" s="58"/>
      <c r="BH131" s="58"/>
      <c r="BI131" s="58"/>
      <c r="BJ131" s="58"/>
      <c r="BK131" s="58"/>
      <c r="BL131" s="58"/>
      <c r="BM131" s="58"/>
      <c r="BN131" s="58"/>
      <c r="BO131" s="58"/>
      <c r="BP131" s="58"/>
      <c r="BQ131" s="58"/>
      <c r="BR131" s="58"/>
      <c r="BS131" s="58"/>
      <c r="BT131" s="58"/>
      <c r="BU131" s="58"/>
      <c r="BV131" s="58"/>
      <c r="BW131" s="58"/>
      <c r="BX131" s="58"/>
      <c r="BY131" s="58"/>
      <c r="BZ131" s="58"/>
      <c r="CA131" s="58"/>
      <c r="CB131" s="58"/>
      <c r="CC131" s="58"/>
    </row>
    <row r="132" spans="1:81" x14ac:dyDescent="0.2">
      <c r="A132"/>
      <c r="B132"/>
      <c r="BC132" s="58"/>
      <c r="BD132" s="58"/>
      <c r="BE132" s="58"/>
      <c r="BF132" s="58"/>
      <c r="BG132" s="58"/>
      <c r="BH132" s="58"/>
      <c r="BI132" s="58"/>
      <c r="BJ132" s="58"/>
      <c r="BK132" s="58"/>
      <c r="BL132" s="58"/>
      <c r="BM132" s="58"/>
      <c r="BN132" s="58"/>
      <c r="BO132" s="58"/>
      <c r="BP132" s="58"/>
      <c r="BQ132" s="58"/>
      <c r="BR132" s="58"/>
      <c r="BS132" s="58"/>
      <c r="BT132" s="58"/>
      <c r="BU132" s="58"/>
      <c r="BV132" s="58"/>
      <c r="BW132" s="58"/>
      <c r="BX132" s="58"/>
      <c r="BY132" s="58"/>
      <c r="BZ132" s="58"/>
      <c r="CA132" s="58"/>
      <c r="CB132" s="58"/>
      <c r="CC132" s="58"/>
    </row>
    <row r="133" spans="1:81" x14ac:dyDescent="0.2">
      <c r="A133"/>
      <c r="B133"/>
      <c r="BC133" s="58"/>
      <c r="BD133" s="58"/>
      <c r="BE133" s="58"/>
      <c r="BF133" s="58"/>
      <c r="BG133" s="58"/>
      <c r="BH133" s="58"/>
      <c r="BI133" s="58"/>
      <c r="BJ133" s="58"/>
      <c r="BK133" s="58"/>
      <c r="BL133" s="58"/>
      <c r="BM133" s="58"/>
      <c r="BN133" s="58"/>
      <c r="BO133" s="58"/>
      <c r="BP133" s="58"/>
      <c r="BQ133" s="58"/>
      <c r="BR133" s="58"/>
      <c r="BS133" s="58"/>
      <c r="BT133" s="58"/>
      <c r="BU133" s="58"/>
      <c r="BV133" s="58"/>
      <c r="BW133" s="58"/>
      <c r="BX133" s="58"/>
      <c r="BY133" s="58"/>
      <c r="BZ133" s="58"/>
      <c r="CA133" s="58"/>
      <c r="CB133" s="58"/>
      <c r="CC133" s="58"/>
    </row>
    <row r="134" spans="1:81" x14ac:dyDescent="0.2">
      <c r="A134"/>
      <c r="B134"/>
      <c r="BC134" s="58"/>
      <c r="BD134" s="58"/>
      <c r="BE134" s="58"/>
      <c r="BF134" s="58"/>
      <c r="BG134" s="58"/>
      <c r="BH134" s="58"/>
      <c r="BI134" s="58"/>
      <c r="BJ134" s="58"/>
      <c r="BK134" s="58"/>
      <c r="BL134" s="58"/>
      <c r="BM134" s="58"/>
      <c r="BN134" s="58"/>
      <c r="BO134" s="58"/>
      <c r="BP134" s="58"/>
      <c r="BQ134" s="58"/>
      <c r="BR134" s="58"/>
      <c r="BS134" s="58"/>
      <c r="BT134" s="58"/>
      <c r="BU134" s="58"/>
      <c r="BV134" s="58"/>
      <c r="BW134" s="58"/>
      <c r="BX134" s="58"/>
      <c r="BY134" s="58"/>
      <c r="BZ134" s="58"/>
      <c r="CA134" s="58"/>
      <c r="CB134" s="58"/>
      <c r="CC134" s="58"/>
    </row>
    <row r="135" spans="1:81" x14ac:dyDescent="0.2">
      <c r="A135"/>
      <c r="B135"/>
      <c r="BC135" s="58"/>
      <c r="BD135" s="58"/>
      <c r="BE135" s="58"/>
      <c r="BF135" s="58"/>
      <c r="BG135" s="58"/>
      <c r="BH135" s="58"/>
      <c r="BI135" s="58"/>
      <c r="BJ135" s="58"/>
      <c r="BK135" s="58"/>
      <c r="BL135" s="58"/>
      <c r="BM135" s="58"/>
      <c r="BN135" s="58"/>
      <c r="BO135" s="58"/>
      <c r="BP135" s="58"/>
      <c r="BQ135" s="58"/>
      <c r="BR135" s="58"/>
      <c r="BS135" s="58"/>
      <c r="BT135" s="58"/>
      <c r="BU135" s="58"/>
      <c r="BV135" s="58"/>
      <c r="BW135" s="58"/>
      <c r="BX135" s="58"/>
      <c r="BY135" s="58"/>
      <c r="BZ135" s="58"/>
      <c r="CA135" s="58"/>
      <c r="CB135" s="58"/>
      <c r="CC135" s="58"/>
    </row>
    <row r="136" spans="1:81" x14ac:dyDescent="0.2">
      <c r="A136"/>
      <c r="B136"/>
      <c r="BC136" s="58"/>
      <c r="BD136" s="58"/>
      <c r="BE136" s="58"/>
      <c r="BF136" s="58"/>
      <c r="BG136" s="58"/>
      <c r="BH136" s="58"/>
      <c r="BI136" s="58"/>
      <c r="BJ136" s="58"/>
      <c r="BK136" s="58"/>
      <c r="BL136" s="58"/>
      <c r="BM136" s="58"/>
      <c r="BN136" s="58"/>
      <c r="BO136" s="58"/>
      <c r="BP136" s="58"/>
      <c r="BQ136" s="58"/>
      <c r="BR136" s="58"/>
      <c r="BS136" s="58"/>
      <c r="BT136" s="58"/>
      <c r="BU136" s="58"/>
      <c r="BV136" s="58"/>
      <c r="BW136" s="58"/>
      <c r="BX136" s="58"/>
      <c r="BY136" s="58"/>
      <c r="BZ136" s="58"/>
      <c r="CA136" s="58"/>
      <c r="CB136" s="58"/>
      <c r="CC136" s="58"/>
    </row>
    <row r="137" spans="1:81" x14ac:dyDescent="0.2">
      <c r="A137"/>
      <c r="B137"/>
      <c r="BC137" s="58"/>
      <c r="BD137" s="58"/>
      <c r="BE137" s="58"/>
      <c r="BF137" s="58"/>
      <c r="BG137" s="58"/>
      <c r="BH137" s="58"/>
      <c r="BI137" s="58"/>
      <c r="BJ137" s="58"/>
      <c r="BK137" s="58"/>
      <c r="BL137" s="58"/>
      <c r="BM137" s="58"/>
      <c r="BN137" s="58"/>
      <c r="BO137" s="58"/>
      <c r="BP137" s="58"/>
      <c r="BQ137" s="58"/>
      <c r="BR137" s="58"/>
      <c r="BS137" s="58"/>
      <c r="BT137" s="58"/>
      <c r="BU137" s="58"/>
      <c r="BV137" s="58"/>
      <c r="BW137" s="58"/>
      <c r="BX137" s="58"/>
      <c r="BY137" s="58"/>
      <c r="BZ137" s="58"/>
      <c r="CA137" s="58"/>
      <c r="CB137" s="58"/>
      <c r="CC137" s="58"/>
    </row>
    <row r="138" spans="1:81" x14ac:dyDescent="0.2">
      <c r="A138"/>
      <c r="B138"/>
      <c r="BC138" s="58"/>
      <c r="BD138" s="58"/>
      <c r="BE138" s="58"/>
      <c r="BF138" s="58"/>
      <c r="BG138" s="58"/>
      <c r="BH138" s="58"/>
      <c r="BI138" s="58"/>
      <c r="BJ138" s="58"/>
      <c r="BK138" s="58"/>
      <c r="BL138" s="58"/>
      <c r="BM138" s="58"/>
      <c r="BN138" s="58"/>
      <c r="BO138" s="58"/>
      <c r="BP138" s="58"/>
      <c r="BQ138" s="58"/>
      <c r="BR138" s="58"/>
      <c r="BS138" s="58"/>
      <c r="BT138" s="58"/>
      <c r="BU138" s="58"/>
      <c r="BV138" s="58"/>
      <c r="BW138" s="58"/>
      <c r="BX138" s="58"/>
      <c r="BY138" s="58"/>
      <c r="BZ138" s="58"/>
      <c r="CA138" s="58"/>
      <c r="CB138" s="58"/>
      <c r="CC138" s="58"/>
    </row>
    <row r="139" spans="1:81" x14ac:dyDescent="0.2">
      <c r="A139"/>
      <c r="B139"/>
      <c r="BC139" s="58"/>
      <c r="BD139" s="58"/>
      <c r="BE139" s="58"/>
      <c r="BF139" s="58"/>
      <c r="BG139" s="58"/>
      <c r="BH139" s="58"/>
      <c r="BI139" s="58"/>
      <c r="BJ139" s="58"/>
      <c r="BK139" s="58"/>
      <c r="BL139" s="58"/>
      <c r="BM139" s="58"/>
      <c r="BN139" s="58"/>
      <c r="BO139" s="58"/>
      <c r="BP139" s="58"/>
      <c r="BQ139" s="58"/>
      <c r="BR139" s="58"/>
      <c r="BS139" s="58"/>
      <c r="BT139" s="58"/>
      <c r="BU139" s="58"/>
      <c r="BV139" s="58"/>
      <c r="BW139" s="58"/>
      <c r="BX139" s="58"/>
      <c r="BY139" s="58"/>
      <c r="BZ139" s="58"/>
      <c r="CA139" s="58"/>
      <c r="CB139" s="58"/>
      <c r="CC139" s="58"/>
    </row>
    <row r="140" spans="1:81" x14ac:dyDescent="0.2">
      <c r="A140"/>
      <c r="B140"/>
      <c r="BC140" s="58"/>
      <c r="BD140" s="58"/>
      <c r="BE140" s="58"/>
      <c r="BF140" s="58"/>
      <c r="BG140" s="58"/>
      <c r="BH140" s="58"/>
      <c r="BI140" s="58"/>
      <c r="BJ140" s="58"/>
      <c r="BK140" s="58"/>
      <c r="BL140" s="58"/>
      <c r="BM140" s="58"/>
      <c r="BN140" s="58"/>
      <c r="BO140" s="58"/>
      <c r="BP140" s="58"/>
      <c r="BQ140" s="58"/>
      <c r="BR140" s="58"/>
      <c r="BS140" s="58"/>
      <c r="BT140" s="58"/>
      <c r="BU140" s="58"/>
      <c r="BV140" s="58"/>
      <c r="BW140" s="58"/>
      <c r="BX140" s="58"/>
      <c r="BY140" s="58"/>
      <c r="BZ140" s="58"/>
      <c r="CA140" s="58"/>
      <c r="CB140" s="58"/>
      <c r="CC140" s="58"/>
    </row>
    <row r="141" spans="1:81" x14ac:dyDescent="0.2">
      <c r="A141"/>
      <c r="B141"/>
      <c r="BC141" s="58"/>
      <c r="BD141" s="58"/>
      <c r="BE141" s="58"/>
      <c r="BF141" s="58"/>
      <c r="BG141" s="58"/>
      <c r="BH141" s="58"/>
      <c r="BI141" s="58"/>
      <c r="BJ141" s="58"/>
      <c r="BK141" s="58"/>
      <c r="BL141" s="58"/>
      <c r="BM141" s="58"/>
      <c r="BN141" s="58"/>
      <c r="BO141" s="58"/>
      <c r="BP141" s="58"/>
      <c r="BQ141" s="58"/>
      <c r="BR141" s="58"/>
      <c r="BS141" s="58"/>
      <c r="BT141" s="58"/>
      <c r="BU141" s="58"/>
      <c r="BV141" s="58"/>
      <c r="BW141" s="58"/>
      <c r="BX141" s="58"/>
      <c r="BY141" s="58"/>
      <c r="BZ141" s="58"/>
      <c r="CA141" s="58"/>
      <c r="CB141" s="58"/>
      <c r="CC141" s="58"/>
    </row>
    <row r="142" spans="1:81" x14ac:dyDescent="0.2">
      <c r="A142"/>
      <c r="B142"/>
      <c r="BC142" s="58"/>
      <c r="BD142" s="58"/>
      <c r="BE142" s="58"/>
      <c r="BF142" s="58"/>
      <c r="BG142" s="58"/>
      <c r="BH142" s="58"/>
      <c r="BI142" s="58"/>
      <c r="BJ142" s="58"/>
      <c r="BK142" s="58"/>
      <c r="BL142" s="58"/>
      <c r="BM142" s="58"/>
      <c r="BN142" s="58"/>
      <c r="BO142" s="58"/>
      <c r="BP142" s="58"/>
      <c r="BQ142" s="58"/>
      <c r="BR142" s="58"/>
      <c r="BS142" s="58"/>
      <c r="BT142" s="58"/>
      <c r="BU142" s="58"/>
      <c r="BV142" s="58"/>
      <c r="BW142" s="58"/>
      <c r="BX142" s="58"/>
      <c r="BY142" s="58"/>
      <c r="BZ142" s="58"/>
      <c r="CA142" s="58"/>
      <c r="CB142" s="58"/>
      <c r="CC142" s="58"/>
    </row>
    <row r="143" spans="1:81" x14ac:dyDescent="0.2">
      <c r="A143"/>
      <c r="B143"/>
      <c r="BC143" s="58"/>
      <c r="BD143" s="58"/>
      <c r="BE143" s="58"/>
      <c r="BF143" s="58"/>
      <c r="BG143" s="58"/>
      <c r="BH143" s="58"/>
      <c r="BI143" s="58"/>
      <c r="BJ143" s="58"/>
      <c r="BK143" s="58"/>
      <c r="BL143" s="58"/>
      <c r="BM143" s="58"/>
      <c r="BN143" s="58"/>
      <c r="BO143" s="58"/>
      <c r="BP143" s="58"/>
      <c r="BQ143" s="58"/>
      <c r="BR143" s="58"/>
      <c r="BS143" s="58"/>
      <c r="BT143" s="58"/>
      <c r="BU143" s="58"/>
      <c r="BV143" s="58"/>
      <c r="BW143" s="58"/>
      <c r="BX143" s="58"/>
      <c r="BY143" s="58"/>
      <c r="BZ143" s="58"/>
      <c r="CA143" s="58"/>
      <c r="CB143" s="58"/>
      <c r="CC143" s="58"/>
    </row>
    <row r="144" spans="1:81" x14ac:dyDescent="0.2">
      <c r="A144"/>
      <c r="B144"/>
      <c r="BC144" s="58"/>
      <c r="BD144" s="58"/>
      <c r="BE144" s="58"/>
      <c r="BF144" s="58"/>
      <c r="BG144" s="58"/>
      <c r="BH144" s="58"/>
      <c r="BI144" s="58"/>
      <c r="BJ144" s="58"/>
      <c r="BK144" s="58"/>
      <c r="BL144" s="58"/>
      <c r="BM144" s="58"/>
      <c r="BN144" s="58"/>
      <c r="BO144" s="58"/>
      <c r="BP144" s="58"/>
      <c r="BQ144" s="58"/>
      <c r="BR144" s="58"/>
      <c r="BS144" s="58"/>
      <c r="BT144" s="58"/>
      <c r="BU144" s="58"/>
      <c r="BV144" s="58"/>
      <c r="BW144" s="58"/>
      <c r="BX144" s="58"/>
      <c r="BY144" s="58"/>
      <c r="BZ144" s="58"/>
      <c r="CA144" s="58"/>
      <c r="CB144" s="58"/>
      <c r="CC144" s="58"/>
    </row>
    <row r="145" spans="1:81" x14ac:dyDescent="0.2">
      <c r="A145"/>
      <c r="B145"/>
      <c r="BC145" s="58"/>
      <c r="BD145" s="58"/>
      <c r="BE145" s="58"/>
      <c r="BF145" s="58"/>
      <c r="BG145" s="58"/>
      <c r="BH145" s="58"/>
      <c r="BI145" s="58"/>
      <c r="BJ145" s="58"/>
      <c r="BK145" s="58"/>
      <c r="BL145" s="58"/>
      <c r="BM145" s="58"/>
      <c r="BN145" s="58"/>
      <c r="BO145" s="58"/>
      <c r="BP145" s="58"/>
      <c r="BQ145" s="58"/>
      <c r="BR145" s="58"/>
      <c r="BS145" s="58"/>
      <c r="BT145" s="58"/>
      <c r="BU145" s="58"/>
      <c r="BV145" s="58"/>
      <c r="BW145" s="58"/>
      <c r="BX145" s="58"/>
      <c r="BY145" s="58"/>
      <c r="BZ145" s="58"/>
      <c r="CA145" s="58"/>
      <c r="CB145" s="58"/>
      <c r="CC145" s="58"/>
    </row>
    <row r="146" spans="1:81" x14ac:dyDescent="0.2">
      <c r="A146"/>
      <c r="B146"/>
      <c r="BC146" s="58"/>
      <c r="BD146" s="58"/>
      <c r="BE146" s="58"/>
      <c r="BF146" s="58"/>
      <c r="BG146" s="58"/>
      <c r="BH146" s="58"/>
      <c r="BI146" s="58"/>
      <c r="BJ146" s="58"/>
      <c r="BK146" s="58"/>
      <c r="BL146" s="58"/>
      <c r="BM146" s="58"/>
      <c r="BN146" s="58"/>
      <c r="BO146" s="58"/>
      <c r="BP146" s="58"/>
      <c r="BQ146" s="58"/>
      <c r="BR146" s="58"/>
      <c r="BS146" s="58"/>
      <c r="BT146" s="58"/>
      <c r="BU146" s="58"/>
      <c r="BV146" s="58"/>
      <c r="BW146" s="58"/>
      <c r="BX146" s="58"/>
      <c r="BY146" s="58"/>
      <c r="BZ146" s="58"/>
      <c r="CA146" s="58"/>
      <c r="CB146" s="58"/>
      <c r="CC146" s="58"/>
    </row>
    <row r="147" spans="1:81" x14ac:dyDescent="0.2">
      <c r="A147"/>
      <c r="B147"/>
      <c r="BC147" s="58"/>
      <c r="BD147" s="58"/>
      <c r="BE147" s="58"/>
      <c r="BF147" s="58"/>
      <c r="BG147" s="58"/>
      <c r="BH147" s="58"/>
      <c r="BI147" s="58"/>
      <c r="BJ147" s="58"/>
      <c r="BK147" s="58"/>
      <c r="BL147" s="58"/>
      <c r="BM147" s="58"/>
      <c r="BN147" s="58"/>
      <c r="BO147" s="58"/>
      <c r="BP147" s="58"/>
      <c r="BQ147" s="58"/>
      <c r="BR147" s="58"/>
      <c r="BS147" s="58"/>
      <c r="BT147" s="58"/>
      <c r="BU147" s="58"/>
      <c r="BV147" s="58"/>
      <c r="BW147" s="58"/>
      <c r="BX147" s="58"/>
      <c r="BY147" s="58"/>
      <c r="BZ147" s="58"/>
      <c r="CA147" s="58"/>
      <c r="CB147" s="58"/>
      <c r="CC147" s="58"/>
    </row>
    <row r="148" spans="1:81" x14ac:dyDescent="0.2">
      <c r="A148"/>
      <c r="B148"/>
      <c r="BC148" s="58"/>
      <c r="BD148" s="58"/>
      <c r="BE148" s="58"/>
      <c r="BF148" s="58"/>
      <c r="BG148" s="58"/>
      <c r="BH148" s="58"/>
      <c r="BI148" s="58"/>
      <c r="BJ148" s="58"/>
      <c r="BK148" s="58"/>
      <c r="BL148" s="58"/>
      <c r="BM148" s="58"/>
      <c r="BN148" s="58"/>
      <c r="BO148" s="58"/>
      <c r="BP148" s="58"/>
      <c r="BQ148" s="58"/>
      <c r="BR148" s="58"/>
      <c r="BS148" s="58"/>
      <c r="BT148" s="58"/>
      <c r="BU148" s="58"/>
      <c r="BV148" s="58"/>
      <c r="BW148" s="58"/>
      <c r="BX148" s="58"/>
      <c r="BY148" s="58"/>
      <c r="BZ148" s="58"/>
      <c r="CA148" s="58"/>
      <c r="CB148" s="58"/>
      <c r="CC148" s="58"/>
    </row>
    <row r="149" spans="1:81" x14ac:dyDescent="0.2">
      <c r="A149"/>
      <c r="B149"/>
      <c r="BC149" s="58"/>
      <c r="BD149" s="58"/>
      <c r="BE149" s="58"/>
      <c r="BF149" s="58"/>
      <c r="BG149" s="58"/>
      <c r="BH149" s="58"/>
      <c r="BI149" s="58"/>
      <c r="BJ149" s="58"/>
      <c r="BK149" s="58"/>
      <c r="BL149" s="58"/>
      <c r="BM149" s="58"/>
      <c r="BN149" s="58"/>
      <c r="BO149" s="58"/>
      <c r="BP149" s="58"/>
      <c r="BQ149" s="58"/>
      <c r="BR149" s="58"/>
      <c r="BS149" s="58"/>
      <c r="BT149" s="58"/>
      <c r="BU149" s="58"/>
      <c r="BV149" s="58"/>
      <c r="BW149" s="58"/>
      <c r="BX149" s="58"/>
      <c r="BY149" s="58"/>
      <c r="BZ149" s="58"/>
      <c r="CA149" s="58"/>
      <c r="CB149" s="58"/>
      <c r="CC149" s="58"/>
    </row>
    <row r="150" spans="1:81" x14ac:dyDescent="0.2">
      <c r="A150"/>
      <c r="B150"/>
      <c r="BC150" s="58"/>
      <c r="BD150" s="58"/>
      <c r="BE150" s="58"/>
      <c r="BF150" s="58"/>
      <c r="BG150" s="58"/>
      <c r="BH150" s="58"/>
      <c r="BI150" s="58"/>
      <c r="BJ150" s="58"/>
      <c r="BK150" s="58"/>
      <c r="BL150" s="58"/>
      <c r="BM150" s="58"/>
      <c r="BN150" s="58"/>
      <c r="BO150" s="58"/>
      <c r="BP150" s="58"/>
      <c r="BQ150" s="58"/>
      <c r="BR150" s="58"/>
      <c r="BS150" s="58"/>
      <c r="BT150" s="58"/>
      <c r="BU150" s="58"/>
      <c r="BV150" s="58"/>
      <c r="BW150" s="58"/>
      <c r="BX150" s="58"/>
      <c r="BY150" s="58"/>
      <c r="BZ150" s="58"/>
      <c r="CA150" s="58"/>
      <c r="CB150" s="58"/>
      <c r="CC150" s="58"/>
    </row>
    <row r="151" spans="1:81" x14ac:dyDescent="0.2">
      <c r="A151"/>
      <c r="B151"/>
      <c r="BC151" s="58"/>
      <c r="BD151" s="58"/>
      <c r="BE151" s="58"/>
      <c r="BF151" s="58"/>
      <c r="BG151" s="58"/>
      <c r="BH151" s="58"/>
      <c r="BI151" s="58"/>
      <c r="BJ151" s="58"/>
      <c r="BK151" s="58"/>
      <c r="BL151" s="58"/>
      <c r="BM151" s="58"/>
      <c r="BN151" s="58"/>
      <c r="BO151" s="58"/>
      <c r="BP151" s="58"/>
      <c r="BQ151" s="58"/>
      <c r="BR151" s="58"/>
      <c r="BS151" s="58"/>
      <c r="BT151" s="58"/>
      <c r="BU151" s="58"/>
      <c r="BV151" s="58"/>
      <c r="BW151" s="58"/>
      <c r="BX151" s="58"/>
      <c r="BY151" s="58"/>
      <c r="BZ151" s="58"/>
      <c r="CA151" s="58"/>
      <c r="CB151" s="58"/>
      <c r="CC151" s="58"/>
    </row>
    <row r="152" spans="1:81" x14ac:dyDescent="0.2">
      <c r="A152"/>
      <c r="B152"/>
      <c r="BC152" s="58"/>
      <c r="BD152" s="58"/>
      <c r="BE152" s="58"/>
      <c r="BF152" s="58"/>
      <c r="BG152" s="58"/>
      <c r="BH152" s="58"/>
      <c r="BI152" s="58"/>
      <c r="BJ152" s="58"/>
      <c r="BK152" s="58"/>
      <c r="BL152" s="58"/>
      <c r="BM152" s="58"/>
      <c r="BN152" s="58"/>
      <c r="BO152" s="58"/>
      <c r="BP152" s="58"/>
      <c r="BQ152" s="58"/>
      <c r="BR152" s="58"/>
      <c r="BS152" s="58"/>
      <c r="BT152" s="58"/>
      <c r="BU152" s="58"/>
      <c r="BV152" s="58"/>
      <c r="BW152" s="58"/>
      <c r="BX152" s="58"/>
      <c r="BY152" s="58"/>
      <c r="BZ152" s="58"/>
      <c r="CA152" s="58"/>
      <c r="CB152" s="58"/>
      <c r="CC152" s="58"/>
    </row>
    <row r="153" spans="1:81" x14ac:dyDescent="0.2">
      <c r="A153"/>
      <c r="B153"/>
      <c r="BC153" s="58"/>
      <c r="BD153" s="58"/>
      <c r="BE153" s="58"/>
      <c r="BF153" s="58"/>
      <c r="BG153" s="58"/>
      <c r="BH153" s="58"/>
      <c r="BI153" s="58"/>
      <c r="BJ153" s="58"/>
      <c r="BK153" s="58"/>
      <c r="BL153" s="58"/>
      <c r="BM153" s="58"/>
      <c r="BN153" s="58"/>
      <c r="BO153" s="58"/>
      <c r="BP153" s="58"/>
      <c r="BQ153" s="58"/>
      <c r="BR153" s="58"/>
      <c r="BS153" s="58"/>
      <c r="BT153" s="58"/>
      <c r="BU153" s="58"/>
      <c r="BV153" s="58"/>
      <c r="BW153" s="58"/>
      <c r="BX153" s="58"/>
      <c r="BY153" s="58"/>
      <c r="BZ153" s="58"/>
      <c r="CA153" s="58"/>
      <c r="CB153" s="58"/>
      <c r="CC153" s="58"/>
    </row>
    <row r="154" spans="1:81" x14ac:dyDescent="0.2">
      <c r="A154"/>
      <c r="B154"/>
      <c r="BC154" s="58"/>
      <c r="BD154" s="58"/>
      <c r="BE154" s="58"/>
      <c r="BF154" s="58"/>
      <c r="BG154" s="58"/>
      <c r="BH154" s="58"/>
      <c r="BI154" s="58"/>
      <c r="BJ154" s="58"/>
      <c r="BK154" s="58"/>
      <c r="BL154" s="58"/>
      <c r="BM154" s="58"/>
      <c r="BN154" s="58"/>
      <c r="BO154" s="58"/>
      <c r="BP154" s="58"/>
      <c r="BQ154" s="58"/>
      <c r="BR154" s="58"/>
      <c r="BS154" s="58"/>
      <c r="BT154" s="58"/>
      <c r="BU154" s="58"/>
      <c r="BV154" s="58"/>
      <c r="BW154" s="58"/>
      <c r="BX154" s="58"/>
      <c r="BY154" s="58"/>
      <c r="BZ154" s="58"/>
      <c r="CA154" s="58"/>
      <c r="CB154" s="58"/>
      <c r="CC154" s="58"/>
    </row>
    <row r="155" spans="1:81" x14ac:dyDescent="0.2">
      <c r="A155"/>
      <c r="B155"/>
      <c r="BC155" s="58"/>
      <c r="BD155" s="58"/>
      <c r="BE155" s="58"/>
      <c r="BF155" s="58"/>
      <c r="BG155" s="58"/>
      <c r="BH155" s="58"/>
      <c r="BI155" s="58"/>
      <c r="BJ155" s="58"/>
      <c r="BK155" s="58"/>
      <c r="BL155" s="58"/>
      <c r="BM155" s="58"/>
      <c r="BN155" s="58"/>
      <c r="BO155" s="58"/>
      <c r="BP155" s="58"/>
      <c r="BQ155" s="58"/>
      <c r="BR155" s="58"/>
      <c r="BS155" s="58"/>
      <c r="BT155" s="58"/>
      <c r="BU155" s="58"/>
      <c r="BV155" s="58"/>
      <c r="BW155" s="58"/>
      <c r="BX155" s="58"/>
      <c r="BY155" s="58"/>
      <c r="BZ155" s="58"/>
      <c r="CA155" s="58"/>
      <c r="CB155" s="58"/>
      <c r="CC155" s="58"/>
    </row>
    <row r="156" spans="1:81" x14ac:dyDescent="0.2">
      <c r="A156"/>
      <c r="B156"/>
      <c r="BC156" s="58"/>
      <c r="BD156" s="58"/>
      <c r="BE156" s="58"/>
      <c r="BF156" s="58"/>
      <c r="BG156" s="58"/>
      <c r="BH156" s="58"/>
      <c r="BI156" s="58"/>
      <c r="BJ156" s="58"/>
      <c r="BK156" s="58"/>
      <c r="BL156" s="58"/>
      <c r="BM156" s="58"/>
      <c r="BN156" s="58"/>
      <c r="BO156" s="58"/>
      <c r="BP156" s="58"/>
      <c r="BQ156" s="58"/>
      <c r="BR156" s="58"/>
      <c r="BS156" s="58"/>
      <c r="BT156" s="58"/>
      <c r="BU156" s="58"/>
      <c r="BV156" s="58"/>
      <c r="BW156" s="58"/>
      <c r="BX156" s="58"/>
      <c r="BY156" s="58"/>
      <c r="BZ156" s="58"/>
      <c r="CA156" s="58"/>
      <c r="CB156" s="58"/>
      <c r="CC156" s="58"/>
    </row>
    <row r="157" spans="1:81" x14ac:dyDescent="0.2">
      <c r="A157"/>
      <c r="B157"/>
      <c r="BC157" s="58"/>
      <c r="BD157" s="58"/>
      <c r="BE157" s="58"/>
      <c r="BF157" s="58"/>
      <c r="BG157" s="58"/>
      <c r="BH157" s="58"/>
      <c r="BI157" s="58"/>
      <c r="BJ157" s="58"/>
      <c r="BK157" s="58"/>
      <c r="BL157" s="58"/>
      <c r="BM157" s="58"/>
      <c r="BN157" s="58"/>
      <c r="BO157" s="58"/>
      <c r="BP157" s="58"/>
      <c r="BQ157" s="58"/>
      <c r="BR157" s="58"/>
      <c r="BS157" s="58"/>
      <c r="BT157" s="58"/>
      <c r="BU157" s="58"/>
      <c r="BV157" s="58"/>
      <c r="BW157" s="58"/>
      <c r="BX157" s="58"/>
      <c r="BY157" s="58"/>
      <c r="BZ157" s="58"/>
      <c r="CA157" s="58"/>
      <c r="CB157" s="58"/>
      <c r="CC157" s="58"/>
    </row>
    <row r="158" spans="1:81" x14ac:dyDescent="0.2">
      <c r="A158"/>
      <c r="B158"/>
      <c r="BC158" s="58"/>
      <c r="BD158" s="58"/>
      <c r="BE158" s="58"/>
      <c r="BF158" s="58"/>
      <c r="BG158" s="58"/>
      <c r="BH158" s="58"/>
      <c r="BI158" s="58"/>
      <c r="BJ158" s="58"/>
      <c r="BK158" s="58"/>
      <c r="BL158" s="58"/>
      <c r="BM158" s="58"/>
      <c r="BN158" s="58"/>
      <c r="BO158" s="58"/>
      <c r="BP158" s="58"/>
      <c r="BQ158" s="58"/>
      <c r="BR158" s="58"/>
      <c r="BS158" s="58"/>
      <c r="BT158" s="58"/>
      <c r="BU158" s="58"/>
      <c r="BV158" s="58"/>
      <c r="BW158" s="58"/>
      <c r="BX158" s="58"/>
      <c r="BY158" s="58"/>
      <c r="BZ158" s="58"/>
      <c r="CA158" s="58"/>
      <c r="CB158" s="58"/>
      <c r="CC158" s="58"/>
    </row>
    <row r="159" spans="1:81" x14ac:dyDescent="0.2">
      <c r="A159"/>
      <c r="B159"/>
      <c r="BC159" s="58"/>
      <c r="BD159" s="58"/>
      <c r="BE159" s="58"/>
      <c r="BF159" s="58"/>
      <c r="BG159" s="58"/>
      <c r="BH159" s="58"/>
      <c r="BI159" s="58"/>
      <c r="BJ159" s="58"/>
      <c r="BK159" s="58"/>
      <c r="BL159" s="58"/>
      <c r="BM159" s="58"/>
      <c r="BN159" s="58"/>
      <c r="BO159" s="58"/>
      <c r="BP159" s="58"/>
      <c r="BQ159" s="58"/>
      <c r="BR159" s="58"/>
      <c r="BS159" s="58"/>
      <c r="BT159" s="58"/>
      <c r="BU159" s="58"/>
      <c r="BV159" s="58"/>
      <c r="BW159" s="58"/>
      <c r="BX159" s="58"/>
      <c r="BY159" s="58"/>
      <c r="BZ159" s="58"/>
      <c r="CA159" s="58"/>
      <c r="CB159" s="58"/>
      <c r="CC159" s="58"/>
    </row>
    <row r="160" spans="1:81"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row r="1000" spans="1:2" x14ac:dyDescent="0.2">
      <c r="A1000"/>
      <c r="B1000"/>
    </row>
    <row r="1001" spans="1:2" x14ac:dyDescent="0.2">
      <c r="A1001"/>
      <c r="B1001"/>
    </row>
    <row r="1002" spans="1:2" x14ac:dyDescent="0.2">
      <c r="A1002"/>
      <c r="B1002"/>
    </row>
    <row r="1003" spans="1:2" x14ac:dyDescent="0.2">
      <c r="A1003"/>
      <c r="B1003"/>
    </row>
    <row r="1004" spans="1:2" x14ac:dyDescent="0.2">
      <c r="A1004"/>
      <c r="B1004"/>
    </row>
    <row r="1005" spans="1:2" x14ac:dyDescent="0.2">
      <c r="A1005"/>
      <c r="B1005"/>
    </row>
    <row r="1006" spans="1:2" x14ac:dyDescent="0.2">
      <c r="A1006"/>
      <c r="B1006"/>
    </row>
    <row r="1007" spans="1:2" x14ac:dyDescent="0.2">
      <c r="A1007"/>
      <c r="B1007"/>
    </row>
    <row r="1008" spans="1:2" x14ac:dyDescent="0.2">
      <c r="A1008"/>
      <c r="B1008"/>
    </row>
    <row r="1009" spans="1:2" x14ac:dyDescent="0.2">
      <c r="A1009"/>
      <c r="B1009"/>
    </row>
    <row r="1010" spans="1:2" x14ac:dyDescent="0.2">
      <c r="A1010"/>
      <c r="B1010"/>
    </row>
    <row r="1011" spans="1:2" x14ac:dyDescent="0.2">
      <c r="A1011"/>
      <c r="B1011"/>
    </row>
    <row r="1012" spans="1:2" x14ac:dyDescent="0.2">
      <c r="A1012"/>
      <c r="B1012"/>
    </row>
    <row r="1013" spans="1:2" x14ac:dyDescent="0.2">
      <c r="A1013"/>
      <c r="B1013"/>
    </row>
    <row r="1014" spans="1:2" x14ac:dyDescent="0.2">
      <c r="A1014"/>
      <c r="B1014"/>
    </row>
    <row r="1015" spans="1:2" x14ac:dyDescent="0.2">
      <c r="A1015"/>
      <c r="B1015"/>
    </row>
    <row r="1016" spans="1:2" x14ac:dyDescent="0.2">
      <c r="A1016"/>
      <c r="B1016"/>
    </row>
    <row r="1017" spans="1:2" x14ac:dyDescent="0.2">
      <c r="A1017"/>
      <c r="B1017"/>
    </row>
    <row r="1018" spans="1:2" x14ac:dyDescent="0.2">
      <c r="A1018"/>
      <c r="B1018"/>
    </row>
    <row r="1019" spans="1:2" x14ac:dyDescent="0.2">
      <c r="A1019"/>
      <c r="B1019"/>
    </row>
    <row r="1020" spans="1:2" x14ac:dyDescent="0.2">
      <c r="A1020"/>
      <c r="B1020"/>
    </row>
    <row r="1021" spans="1:2" x14ac:dyDescent="0.2">
      <c r="A1021"/>
      <c r="B1021"/>
    </row>
    <row r="1022" spans="1:2" x14ac:dyDescent="0.2">
      <c r="A1022"/>
      <c r="B1022"/>
    </row>
    <row r="1023" spans="1:2" x14ac:dyDescent="0.2">
      <c r="A1023"/>
      <c r="B1023"/>
    </row>
    <row r="1024" spans="1:2" x14ac:dyDescent="0.2">
      <c r="A1024"/>
      <c r="B1024"/>
    </row>
    <row r="1025" spans="1:2" x14ac:dyDescent="0.2">
      <c r="A1025"/>
      <c r="B1025"/>
    </row>
    <row r="1026" spans="1:2" x14ac:dyDescent="0.2">
      <c r="A1026"/>
      <c r="B1026"/>
    </row>
    <row r="1027" spans="1:2" x14ac:dyDescent="0.2">
      <c r="A1027"/>
      <c r="B1027"/>
    </row>
    <row r="1028" spans="1:2" x14ac:dyDescent="0.2">
      <c r="A1028"/>
      <c r="B1028"/>
    </row>
    <row r="1029" spans="1:2" x14ac:dyDescent="0.2">
      <c r="A1029"/>
      <c r="B1029"/>
    </row>
    <row r="1030" spans="1:2" x14ac:dyDescent="0.2">
      <c r="A1030"/>
      <c r="B1030"/>
    </row>
    <row r="1031" spans="1:2" x14ac:dyDescent="0.2">
      <c r="A1031"/>
      <c r="B1031"/>
    </row>
    <row r="1032" spans="1:2" x14ac:dyDescent="0.2">
      <c r="A1032"/>
      <c r="B1032"/>
    </row>
    <row r="1033" spans="1:2" x14ac:dyDescent="0.2">
      <c r="A1033"/>
      <c r="B1033"/>
    </row>
    <row r="1034" spans="1:2" x14ac:dyDescent="0.2">
      <c r="A1034"/>
      <c r="B1034"/>
    </row>
    <row r="1035" spans="1:2" x14ac:dyDescent="0.2">
      <c r="A1035"/>
      <c r="B1035"/>
    </row>
    <row r="1036" spans="1:2" x14ac:dyDescent="0.2">
      <c r="A1036"/>
      <c r="B1036"/>
    </row>
    <row r="1037" spans="1:2" x14ac:dyDescent="0.2">
      <c r="A1037"/>
      <c r="B1037"/>
    </row>
    <row r="1038" spans="1:2" x14ac:dyDescent="0.2">
      <c r="A1038"/>
      <c r="B1038"/>
    </row>
    <row r="1039" spans="1:2" x14ac:dyDescent="0.2">
      <c r="A1039"/>
      <c r="B1039"/>
    </row>
    <row r="1040" spans="1:2" x14ac:dyDescent="0.2">
      <c r="A1040"/>
      <c r="B1040"/>
    </row>
    <row r="1041" spans="1:2" x14ac:dyDescent="0.2">
      <c r="A1041"/>
      <c r="B1041"/>
    </row>
    <row r="1042" spans="1:2" x14ac:dyDescent="0.2">
      <c r="A1042"/>
      <c r="B1042"/>
    </row>
    <row r="1043" spans="1:2" x14ac:dyDescent="0.2">
      <c r="A1043"/>
      <c r="B1043"/>
    </row>
    <row r="1044" spans="1:2" x14ac:dyDescent="0.2">
      <c r="A1044"/>
      <c r="B1044"/>
    </row>
    <row r="1045" spans="1:2" x14ac:dyDescent="0.2">
      <c r="A1045"/>
      <c r="B1045"/>
    </row>
    <row r="1046" spans="1:2" x14ac:dyDescent="0.2">
      <c r="A1046"/>
      <c r="B1046"/>
    </row>
    <row r="1047" spans="1:2" x14ac:dyDescent="0.2">
      <c r="A1047"/>
      <c r="B1047"/>
    </row>
    <row r="1048" spans="1:2" x14ac:dyDescent="0.2">
      <c r="A1048"/>
      <c r="B1048"/>
    </row>
    <row r="1049" spans="1:2" x14ac:dyDescent="0.2">
      <c r="A1049"/>
      <c r="B1049"/>
    </row>
    <row r="1050" spans="1:2" x14ac:dyDescent="0.2">
      <c r="A1050"/>
      <c r="B1050"/>
    </row>
    <row r="1051" spans="1:2" x14ac:dyDescent="0.2">
      <c r="A1051"/>
      <c r="B1051"/>
    </row>
    <row r="1052" spans="1:2" x14ac:dyDescent="0.2">
      <c r="A1052"/>
      <c r="B1052"/>
    </row>
    <row r="1053" spans="1:2" x14ac:dyDescent="0.2">
      <c r="A1053"/>
      <c r="B1053"/>
    </row>
    <row r="1054" spans="1:2" x14ac:dyDescent="0.2">
      <c r="A1054"/>
      <c r="B1054"/>
    </row>
    <row r="1055" spans="1:2" x14ac:dyDescent="0.2">
      <c r="A1055"/>
      <c r="B1055"/>
    </row>
    <row r="1056" spans="1:2" x14ac:dyDescent="0.2">
      <c r="A1056"/>
      <c r="B1056"/>
    </row>
    <row r="1057" spans="1:2" x14ac:dyDescent="0.2">
      <c r="A1057"/>
      <c r="B1057"/>
    </row>
    <row r="1058" spans="1:2" x14ac:dyDescent="0.2">
      <c r="A1058"/>
      <c r="B1058"/>
    </row>
    <row r="1059" spans="1:2" x14ac:dyDescent="0.2">
      <c r="A1059"/>
      <c r="B1059"/>
    </row>
    <row r="1060" spans="1:2" x14ac:dyDescent="0.2">
      <c r="A1060"/>
      <c r="B1060"/>
    </row>
    <row r="1061" spans="1:2" x14ac:dyDescent="0.2">
      <c r="A1061"/>
      <c r="B1061"/>
    </row>
    <row r="1062" spans="1:2" x14ac:dyDescent="0.2">
      <c r="A1062"/>
      <c r="B1062"/>
    </row>
    <row r="1063" spans="1:2" x14ac:dyDescent="0.2">
      <c r="A1063"/>
      <c r="B1063"/>
    </row>
    <row r="1064" spans="1:2" x14ac:dyDescent="0.2">
      <c r="A1064"/>
      <c r="B1064"/>
    </row>
    <row r="1065" spans="1:2" x14ac:dyDescent="0.2">
      <c r="A1065"/>
      <c r="B1065"/>
    </row>
    <row r="1066" spans="1:2" x14ac:dyDescent="0.2">
      <c r="A1066"/>
      <c r="B1066"/>
    </row>
    <row r="1067" spans="1:2" x14ac:dyDescent="0.2">
      <c r="A1067"/>
      <c r="B1067"/>
    </row>
    <row r="1068" spans="1:2" x14ac:dyDescent="0.2">
      <c r="A1068"/>
      <c r="B1068"/>
    </row>
    <row r="1069" spans="1:2" x14ac:dyDescent="0.2">
      <c r="A1069"/>
      <c r="B1069"/>
    </row>
    <row r="1070" spans="1:2" x14ac:dyDescent="0.2">
      <c r="A1070"/>
      <c r="B1070"/>
    </row>
    <row r="1071" spans="1:2" x14ac:dyDescent="0.2">
      <c r="A1071"/>
      <c r="B1071"/>
    </row>
    <row r="1072" spans="1:2" x14ac:dyDescent="0.2">
      <c r="A1072"/>
      <c r="B1072"/>
    </row>
    <row r="1073" spans="1:2" x14ac:dyDescent="0.2">
      <c r="A1073"/>
      <c r="B1073"/>
    </row>
    <row r="1074" spans="1:2" x14ac:dyDescent="0.2">
      <c r="A1074"/>
      <c r="B1074"/>
    </row>
    <row r="1075" spans="1:2" x14ac:dyDescent="0.2">
      <c r="A1075"/>
      <c r="B1075"/>
    </row>
    <row r="1076" spans="1:2" x14ac:dyDescent="0.2">
      <c r="A1076"/>
      <c r="B1076"/>
    </row>
    <row r="1077" spans="1:2" x14ac:dyDescent="0.2">
      <c r="A1077"/>
      <c r="B1077"/>
    </row>
    <row r="1078" spans="1:2" x14ac:dyDescent="0.2">
      <c r="A1078"/>
      <c r="B1078"/>
    </row>
    <row r="1079" spans="1:2" x14ac:dyDescent="0.2">
      <c r="A1079"/>
      <c r="B1079"/>
    </row>
    <row r="1080" spans="1:2" x14ac:dyDescent="0.2">
      <c r="A1080"/>
      <c r="B1080"/>
    </row>
    <row r="1081" spans="1:2" x14ac:dyDescent="0.2">
      <c r="A1081"/>
      <c r="B1081"/>
    </row>
    <row r="1082" spans="1:2" x14ac:dyDescent="0.2">
      <c r="A1082"/>
      <c r="B1082"/>
    </row>
    <row r="1083" spans="1:2" x14ac:dyDescent="0.2">
      <c r="A1083"/>
      <c r="B1083"/>
    </row>
    <row r="1084" spans="1:2" x14ac:dyDescent="0.2">
      <c r="A1084"/>
      <c r="B1084"/>
    </row>
    <row r="1085" spans="1:2" x14ac:dyDescent="0.2">
      <c r="A1085"/>
      <c r="B1085"/>
    </row>
    <row r="1086" spans="1:2" x14ac:dyDescent="0.2">
      <c r="A1086"/>
      <c r="B1086"/>
    </row>
    <row r="1087" spans="1:2" x14ac:dyDescent="0.2">
      <c r="A1087"/>
      <c r="B1087"/>
    </row>
    <row r="1088" spans="1:2" x14ac:dyDescent="0.2">
      <c r="A1088"/>
      <c r="B1088"/>
    </row>
    <row r="1089" spans="1:2" x14ac:dyDescent="0.2">
      <c r="A1089"/>
      <c r="B1089"/>
    </row>
    <row r="1090" spans="1:2" x14ac:dyDescent="0.2">
      <c r="A1090"/>
      <c r="B1090"/>
    </row>
    <row r="1091" spans="1:2" x14ac:dyDescent="0.2">
      <c r="A1091"/>
      <c r="B1091"/>
    </row>
    <row r="1092" spans="1:2" x14ac:dyDescent="0.2">
      <c r="A1092"/>
      <c r="B1092"/>
    </row>
    <row r="1093" spans="1:2" x14ac:dyDescent="0.2">
      <c r="A1093"/>
      <c r="B1093"/>
    </row>
    <row r="1094" spans="1:2" x14ac:dyDescent="0.2">
      <c r="A1094"/>
      <c r="B1094"/>
    </row>
    <row r="1095" spans="1:2" x14ac:dyDescent="0.2">
      <c r="A1095"/>
      <c r="B1095"/>
    </row>
    <row r="1096" spans="1:2" x14ac:dyDescent="0.2">
      <c r="A1096"/>
      <c r="B1096"/>
    </row>
    <row r="1097" spans="1:2" x14ac:dyDescent="0.2">
      <c r="A1097"/>
      <c r="B1097"/>
    </row>
    <row r="1098" spans="1:2" x14ac:dyDescent="0.2">
      <c r="A1098"/>
      <c r="B1098"/>
    </row>
    <row r="1099" spans="1:2" x14ac:dyDescent="0.2">
      <c r="A1099"/>
      <c r="B1099"/>
    </row>
    <row r="1100" spans="1:2" x14ac:dyDescent="0.2">
      <c r="A1100"/>
      <c r="B1100"/>
    </row>
    <row r="1101" spans="1:2" x14ac:dyDescent="0.2">
      <c r="A1101"/>
      <c r="B1101"/>
    </row>
    <row r="1102" spans="1:2" x14ac:dyDescent="0.2">
      <c r="A1102"/>
      <c r="B1102"/>
    </row>
    <row r="1103" spans="1:2" x14ac:dyDescent="0.2">
      <c r="A1103"/>
      <c r="B1103"/>
    </row>
    <row r="1104" spans="1:2" x14ac:dyDescent="0.2">
      <c r="A1104"/>
      <c r="B1104"/>
    </row>
    <row r="1105" spans="1:2" x14ac:dyDescent="0.2">
      <c r="A1105"/>
      <c r="B1105"/>
    </row>
    <row r="1106" spans="1:2" x14ac:dyDescent="0.2">
      <c r="A1106"/>
      <c r="B1106"/>
    </row>
    <row r="1107" spans="1:2" x14ac:dyDescent="0.2">
      <c r="A1107"/>
      <c r="B1107"/>
    </row>
    <row r="1108" spans="1:2" x14ac:dyDescent="0.2">
      <c r="A1108"/>
      <c r="B1108"/>
    </row>
    <row r="1109" spans="1:2" x14ac:dyDescent="0.2">
      <c r="A1109"/>
      <c r="B1109"/>
    </row>
    <row r="1110" spans="1:2" x14ac:dyDescent="0.2">
      <c r="A1110"/>
      <c r="B1110"/>
    </row>
    <row r="1111" spans="1:2" x14ac:dyDescent="0.2">
      <c r="A1111"/>
      <c r="B1111"/>
    </row>
    <row r="1112" spans="1:2" x14ac:dyDescent="0.2">
      <c r="A1112"/>
      <c r="B1112"/>
    </row>
    <row r="1113" spans="1:2" x14ac:dyDescent="0.2">
      <c r="A1113"/>
      <c r="B1113"/>
    </row>
    <row r="1114" spans="1:2" x14ac:dyDescent="0.2">
      <c r="A1114"/>
      <c r="B1114"/>
    </row>
    <row r="1115" spans="1:2" x14ac:dyDescent="0.2">
      <c r="A1115"/>
      <c r="B1115"/>
    </row>
    <row r="1116" spans="1:2" x14ac:dyDescent="0.2">
      <c r="A1116"/>
      <c r="B1116"/>
    </row>
    <row r="1117" spans="1:2" x14ac:dyDescent="0.2">
      <c r="A1117"/>
      <c r="B1117"/>
    </row>
    <row r="1118" spans="1:2" x14ac:dyDescent="0.2">
      <c r="A1118"/>
      <c r="B1118"/>
    </row>
    <row r="1119" spans="1:2" x14ac:dyDescent="0.2">
      <c r="A1119"/>
      <c r="B1119"/>
    </row>
    <row r="1120" spans="1:2" x14ac:dyDescent="0.2">
      <c r="A1120"/>
      <c r="B1120"/>
    </row>
    <row r="1121" spans="1:2" x14ac:dyDescent="0.2">
      <c r="A1121"/>
      <c r="B1121"/>
    </row>
    <row r="1122" spans="1:2" x14ac:dyDescent="0.2">
      <c r="A1122"/>
      <c r="B1122"/>
    </row>
    <row r="1123" spans="1:2" x14ac:dyDescent="0.2">
      <c r="A1123"/>
      <c r="B1123"/>
    </row>
    <row r="1124" spans="1:2" x14ac:dyDescent="0.2">
      <c r="A1124"/>
      <c r="B1124"/>
    </row>
    <row r="1125" spans="1:2" x14ac:dyDescent="0.2">
      <c r="A1125"/>
      <c r="B1125"/>
    </row>
    <row r="1126" spans="1:2" x14ac:dyDescent="0.2">
      <c r="A1126"/>
      <c r="B1126"/>
    </row>
    <row r="1127" spans="1:2" x14ac:dyDescent="0.2">
      <c r="A1127"/>
      <c r="B1127"/>
    </row>
    <row r="1128" spans="1:2" x14ac:dyDescent="0.2">
      <c r="A1128"/>
      <c r="B1128"/>
    </row>
    <row r="1129" spans="1:2" x14ac:dyDescent="0.2">
      <c r="A1129"/>
      <c r="B1129"/>
    </row>
    <row r="1130" spans="1:2" x14ac:dyDescent="0.2">
      <c r="A1130"/>
      <c r="B1130"/>
    </row>
    <row r="1131" spans="1:2" x14ac:dyDescent="0.2">
      <c r="A1131"/>
      <c r="B1131"/>
    </row>
    <row r="1132" spans="1:2" x14ac:dyDescent="0.2">
      <c r="A1132"/>
      <c r="B1132"/>
    </row>
    <row r="1133" spans="1:2" x14ac:dyDescent="0.2">
      <c r="A1133"/>
      <c r="B1133"/>
    </row>
    <row r="1134" spans="1:2" x14ac:dyDescent="0.2">
      <c r="A1134"/>
      <c r="B1134"/>
    </row>
    <row r="1135" spans="1:2" x14ac:dyDescent="0.2">
      <c r="A1135"/>
      <c r="B1135"/>
    </row>
    <row r="1136" spans="1:2" x14ac:dyDescent="0.2">
      <c r="A1136"/>
      <c r="B1136"/>
    </row>
    <row r="1137" spans="1:2" x14ac:dyDescent="0.2">
      <c r="A1137"/>
      <c r="B1137"/>
    </row>
    <row r="1138" spans="1:2" x14ac:dyDescent="0.2">
      <c r="A1138"/>
      <c r="B1138"/>
    </row>
    <row r="1139" spans="1:2" x14ac:dyDescent="0.2">
      <c r="A1139"/>
      <c r="B1139"/>
    </row>
    <row r="1140" spans="1:2" x14ac:dyDescent="0.2">
      <c r="A1140"/>
      <c r="B1140"/>
    </row>
    <row r="1141" spans="1:2" x14ac:dyDescent="0.2">
      <c r="A1141"/>
      <c r="B1141"/>
    </row>
    <row r="1142" spans="1:2" x14ac:dyDescent="0.2">
      <c r="A1142"/>
      <c r="B1142"/>
    </row>
    <row r="1143" spans="1:2" x14ac:dyDescent="0.2">
      <c r="A1143"/>
      <c r="B1143"/>
    </row>
    <row r="1144" spans="1:2" x14ac:dyDescent="0.2">
      <c r="A1144"/>
      <c r="B1144"/>
    </row>
    <row r="1145" spans="1:2" x14ac:dyDescent="0.2">
      <c r="A1145"/>
      <c r="B1145"/>
    </row>
    <row r="1146" spans="1:2" x14ac:dyDescent="0.2">
      <c r="A1146"/>
      <c r="B1146"/>
    </row>
    <row r="1147" spans="1:2" x14ac:dyDescent="0.2">
      <c r="A1147"/>
      <c r="B1147"/>
    </row>
    <row r="1148" spans="1:2" x14ac:dyDescent="0.2">
      <c r="A1148"/>
      <c r="B1148"/>
    </row>
    <row r="1149" spans="1:2" x14ac:dyDescent="0.2">
      <c r="A1149"/>
      <c r="B1149"/>
    </row>
    <row r="1150" spans="1:2" x14ac:dyDescent="0.2">
      <c r="A1150"/>
      <c r="B1150"/>
    </row>
    <row r="1151" spans="1:2" x14ac:dyDescent="0.2">
      <c r="A1151"/>
      <c r="B1151"/>
    </row>
    <row r="1152" spans="1:2" x14ac:dyDescent="0.2">
      <c r="A1152"/>
      <c r="B1152"/>
    </row>
    <row r="1153" spans="1:2" x14ac:dyDescent="0.2">
      <c r="A1153"/>
      <c r="B1153"/>
    </row>
    <row r="1154" spans="1:2" x14ac:dyDescent="0.2">
      <c r="A1154"/>
      <c r="B1154"/>
    </row>
    <row r="1155" spans="1:2" x14ac:dyDescent="0.2">
      <c r="A1155"/>
      <c r="B1155"/>
    </row>
    <row r="1156" spans="1:2" x14ac:dyDescent="0.2">
      <c r="A1156"/>
      <c r="B1156"/>
    </row>
    <row r="1157" spans="1:2" x14ac:dyDescent="0.2">
      <c r="A1157"/>
      <c r="B1157"/>
    </row>
    <row r="1158" spans="1:2" x14ac:dyDescent="0.2">
      <c r="A1158"/>
      <c r="B1158"/>
    </row>
    <row r="1159" spans="1:2" x14ac:dyDescent="0.2">
      <c r="A1159"/>
      <c r="B1159"/>
    </row>
    <row r="1160" spans="1:2" x14ac:dyDescent="0.2">
      <c r="A1160"/>
      <c r="B1160"/>
    </row>
    <row r="1161" spans="1:2" x14ac:dyDescent="0.2">
      <c r="A1161"/>
      <c r="B1161"/>
    </row>
    <row r="1162" spans="1:2" x14ac:dyDescent="0.2">
      <c r="A1162"/>
      <c r="B1162"/>
    </row>
    <row r="1163" spans="1:2" x14ac:dyDescent="0.2">
      <c r="A1163"/>
      <c r="B1163"/>
    </row>
    <row r="1164" spans="1:2" x14ac:dyDescent="0.2">
      <c r="A1164"/>
      <c r="B1164"/>
    </row>
    <row r="1165" spans="1:2" x14ac:dyDescent="0.2">
      <c r="A1165"/>
      <c r="B1165"/>
    </row>
    <row r="1166" spans="1:2" x14ac:dyDescent="0.2">
      <c r="A1166"/>
      <c r="B1166"/>
    </row>
    <row r="1167" spans="1:2" x14ac:dyDescent="0.2">
      <c r="A1167"/>
      <c r="B1167"/>
    </row>
    <row r="1168" spans="1:2" x14ac:dyDescent="0.2">
      <c r="A1168"/>
      <c r="B1168"/>
    </row>
    <row r="1169" spans="1:2" x14ac:dyDescent="0.2">
      <c r="A1169"/>
      <c r="B1169"/>
    </row>
    <row r="1170" spans="1:2" x14ac:dyDescent="0.2">
      <c r="A1170"/>
      <c r="B1170"/>
    </row>
    <row r="1171" spans="1:2" x14ac:dyDescent="0.2">
      <c r="A1171"/>
      <c r="B1171"/>
    </row>
    <row r="1172" spans="1:2" x14ac:dyDescent="0.2">
      <c r="A1172"/>
      <c r="B1172"/>
    </row>
    <row r="1173" spans="1:2" x14ac:dyDescent="0.2">
      <c r="A1173"/>
      <c r="B1173"/>
    </row>
    <row r="1174" spans="1:2" x14ac:dyDescent="0.2">
      <c r="A1174"/>
      <c r="B1174"/>
    </row>
    <row r="1175" spans="1:2" x14ac:dyDescent="0.2">
      <c r="A1175"/>
      <c r="B1175"/>
    </row>
    <row r="1176" spans="1:2" x14ac:dyDescent="0.2">
      <c r="A1176"/>
      <c r="B1176"/>
    </row>
    <row r="1177" spans="1:2" x14ac:dyDescent="0.2">
      <c r="A1177"/>
      <c r="B1177"/>
    </row>
    <row r="1178" spans="1:2" x14ac:dyDescent="0.2">
      <c r="A1178"/>
      <c r="B1178"/>
    </row>
    <row r="1179" spans="1:2" x14ac:dyDescent="0.2">
      <c r="A1179"/>
      <c r="B1179"/>
    </row>
    <row r="1180" spans="1:2" x14ac:dyDescent="0.2">
      <c r="A1180"/>
      <c r="B1180"/>
    </row>
    <row r="1181" spans="1:2" x14ac:dyDescent="0.2">
      <c r="A1181"/>
      <c r="B1181"/>
    </row>
    <row r="1182" spans="1:2" x14ac:dyDescent="0.2">
      <c r="A1182"/>
      <c r="B1182"/>
    </row>
    <row r="1183" spans="1:2" x14ac:dyDescent="0.2">
      <c r="A1183"/>
      <c r="B1183"/>
    </row>
    <row r="1184" spans="1:2" x14ac:dyDescent="0.2">
      <c r="A1184"/>
      <c r="B1184"/>
    </row>
    <row r="1185" spans="1:2" x14ac:dyDescent="0.2">
      <c r="A1185"/>
      <c r="B1185"/>
    </row>
    <row r="1186" spans="1:2" x14ac:dyDescent="0.2">
      <c r="A1186"/>
      <c r="B1186"/>
    </row>
    <row r="1187" spans="1:2" x14ac:dyDescent="0.2">
      <c r="A1187"/>
      <c r="B1187"/>
    </row>
    <row r="1188" spans="1:2" x14ac:dyDescent="0.2">
      <c r="A1188"/>
      <c r="B1188"/>
    </row>
    <row r="1189" spans="1:2" x14ac:dyDescent="0.2">
      <c r="A1189"/>
      <c r="B1189"/>
    </row>
    <row r="1190" spans="1:2" x14ac:dyDescent="0.2">
      <c r="A1190"/>
      <c r="B1190"/>
    </row>
    <row r="1191" spans="1:2" x14ac:dyDescent="0.2">
      <c r="A1191"/>
      <c r="B1191"/>
    </row>
    <row r="1192" spans="1:2" x14ac:dyDescent="0.2">
      <c r="A1192"/>
      <c r="B1192"/>
    </row>
    <row r="1193" spans="1:2" x14ac:dyDescent="0.2">
      <c r="A1193"/>
      <c r="B1193"/>
    </row>
    <row r="1194" spans="1:2" x14ac:dyDescent="0.2">
      <c r="A1194"/>
      <c r="B1194"/>
    </row>
    <row r="1195" spans="1:2" x14ac:dyDescent="0.2">
      <c r="A1195"/>
      <c r="B1195"/>
    </row>
    <row r="1196" spans="1:2" x14ac:dyDescent="0.2">
      <c r="A1196"/>
      <c r="B1196"/>
    </row>
    <row r="1197" spans="1:2" x14ac:dyDescent="0.2">
      <c r="A1197"/>
      <c r="B1197"/>
    </row>
    <row r="1198" spans="1:2" x14ac:dyDescent="0.2">
      <c r="A1198"/>
      <c r="B1198"/>
    </row>
    <row r="1199" spans="1:2" x14ac:dyDescent="0.2">
      <c r="A1199"/>
      <c r="B1199"/>
    </row>
    <row r="1200" spans="1:2" x14ac:dyDescent="0.2">
      <c r="A1200"/>
      <c r="B1200"/>
    </row>
    <row r="1201" spans="1:2" x14ac:dyDescent="0.2">
      <c r="A1201"/>
      <c r="B1201"/>
    </row>
    <row r="1202" spans="1:2" x14ac:dyDescent="0.2">
      <c r="A1202"/>
      <c r="B1202"/>
    </row>
    <row r="1203" spans="1:2" x14ac:dyDescent="0.2">
      <c r="A1203"/>
      <c r="B1203"/>
    </row>
    <row r="1204" spans="1:2" x14ac:dyDescent="0.2">
      <c r="A1204"/>
      <c r="B1204"/>
    </row>
    <row r="1205" spans="1:2" x14ac:dyDescent="0.2">
      <c r="A1205"/>
      <c r="B1205"/>
    </row>
    <row r="1206" spans="1:2" x14ac:dyDescent="0.2">
      <c r="A1206"/>
      <c r="B1206"/>
    </row>
    <row r="1207" spans="1:2" x14ac:dyDescent="0.2">
      <c r="A1207"/>
      <c r="B1207"/>
    </row>
    <row r="1208" spans="1:2" x14ac:dyDescent="0.2">
      <c r="A1208"/>
      <c r="B1208"/>
    </row>
    <row r="1209" spans="1:2" x14ac:dyDescent="0.2">
      <c r="A1209"/>
      <c r="B1209"/>
    </row>
    <row r="1210" spans="1:2" x14ac:dyDescent="0.2">
      <c r="A1210"/>
      <c r="B1210"/>
    </row>
    <row r="1211" spans="1:2" x14ac:dyDescent="0.2">
      <c r="A1211"/>
      <c r="B1211"/>
    </row>
    <row r="1212" spans="1:2" x14ac:dyDescent="0.2">
      <c r="A1212"/>
      <c r="B1212"/>
    </row>
    <row r="1213" spans="1:2" x14ac:dyDescent="0.2">
      <c r="A1213"/>
      <c r="B1213"/>
    </row>
    <row r="1214" spans="1:2" x14ac:dyDescent="0.2">
      <c r="A1214"/>
      <c r="B1214"/>
    </row>
    <row r="1215" spans="1:2" x14ac:dyDescent="0.2">
      <c r="A1215"/>
      <c r="B1215"/>
    </row>
    <row r="1216" spans="1:2" x14ac:dyDescent="0.2">
      <c r="A1216"/>
      <c r="B1216"/>
    </row>
    <row r="1217" spans="1:2" x14ac:dyDescent="0.2">
      <c r="A1217"/>
      <c r="B1217"/>
    </row>
    <row r="1218" spans="1:2" x14ac:dyDescent="0.2">
      <c r="A1218"/>
      <c r="B1218"/>
    </row>
    <row r="1219" spans="1:2" x14ac:dyDescent="0.2">
      <c r="A1219"/>
      <c r="B1219"/>
    </row>
    <row r="1220" spans="1:2" x14ac:dyDescent="0.2">
      <c r="A1220"/>
      <c r="B1220"/>
    </row>
    <row r="1221" spans="1:2" x14ac:dyDescent="0.2">
      <c r="A1221"/>
      <c r="B1221"/>
    </row>
    <row r="1222" spans="1:2" x14ac:dyDescent="0.2">
      <c r="A1222"/>
      <c r="B1222"/>
    </row>
    <row r="1223" spans="1:2" x14ac:dyDescent="0.2">
      <c r="A1223"/>
      <c r="B1223"/>
    </row>
    <row r="1224" spans="1:2" x14ac:dyDescent="0.2">
      <c r="A1224"/>
      <c r="B1224"/>
    </row>
    <row r="1225" spans="1:2" x14ac:dyDescent="0.2">
      <c r="A1225"/>
      <c r="B1225"/>
    </row>
    <row r="1226" spans="1:2" x14ac:dyDescent="0.2">
      <c r="A1226"/>
      <c r="B1226"/>
    </row>
    <row r="1227" spans="1:2" x14ac:dyDescent="0.2">
      <c r="A1227"/>
      <c r="B1227"/>
    </row>
    <row r="1228" spans="1:2" x14ac:dyDescent="0.2">
      <c r="A1228"/>
      <c r="B1228"/>
    </row>
    <row r="1229" spans="1:2" x14ac:dyDescent="0.2">
      <c r="A1229"/>
      <c r="B1229"/>
    </row>
    <row r="1230" spans="1:2" x14ac:dyDescent="0.2">
      <c r="A1230"/>
      <c r="B1230"/>
    </row>
    <row r="1231" spans="1:2" x14ac:dyDescent="0.2">
      <c r="A1231"/>
      <c r="B1231"/>
    </row>
    <row r="1232" spans="1:2" x14ac:dyDescent="0.2">
      <c r="A1232"/>
      <c r="B1232"/>
    </row>
    <row r="1233" spans="1:2" x14ac:dyDescent="0.2">
      <c r="A1233"/>
      <c r="B1233"/>
    </row>
    <row r="1234" spans="1:2" x14ac:dyDescent="0.2">
      <c r="A1234"/>
      <c r="B1234"/>
    </row>
    <row r="1235" spans="1:2" x14ac:dyDescent="0.2">
      <c r="A1235"/>
      <c r="B1235"/>
    </row>
    <row r="1236" spans="1:2" x14ac:dyDescent="0.2">
      <c r="A1236"/>
      <c r="B1236"/>
    </row>
    <row r="1237" spans="1:2" x14ac:dyDescent="0.2">
      <c r="A1237"/>
      <c r="B1237"/>
    </row>
    <row r="1238" spans="1:2" x14ac:dyDescent="0.2">
      <c r="A1238"/>
      <c r="B1238"/>
    </row>
    <row r="1239" spans="1:2" x14ac:dyDescent="0.2">
      <c r="A1239"/>
      <c r="B1239"/>
    </row>
    <row r="1240" spans="1:2" x14ac:dyDescent="0.2">
      <c r="A1240"/>
      <c r="B1240"/>
    </row>
    <row r="1241" spans="1:2" x14ac:dyDescent="0.2">
      <c r="A1241"/>
      <c r="B1241"/>
    </row>
    <row r="1242" spans="1:2" x14ac:dyDescent="0.2">
      <c r="A1242"/>
      <c r="B1242"/>
    </row>
    <row r="1243" spans="1:2" x14ac:dyDescent="0.2">
      <c r="A1243"/>
      <c r="B1243"/>
    </row>
    <row r="1244" spans="1:2" x14ac:dyDescent="0.2">
      <c r="A1244"/>
      <c r="B1244"/>
    </row>
    <row r="1245" spans="1:2" x14ac:dyDescent="0.2">
      <c r="A1245"/>
      <c r="B1245"/>
    </row>
    <row r="1246" spans="1:2" x14ac:dyDescent="0.2">
      <c r="A1246"/>
      <c r="B1246"/>
    </row>
    <row r="1247" spans="1:2" x14ac:dyDescent="0.2">
      <c r="A1247"/>
      <c r="B1247"/>
    </row>
    <row r="1248" spans="1:2" x14ac:dyDescent="0.2">
      <c r="A1248"/>
      <c r="B1248"/>
    </row>
    <row r="1249" spans="1:2" x14ac:dyDescent="0.2">
      <c r="A1249"/>
      <c r="B1249"/>
    </row>
    <row r="1250" spans="1:2" x14ac:dyDescent="0.2">
      <c r="A1250"/>
      <c r="B1250"/>
    </row>
    <row r="1251" spans="1:2" x14ac:dyDescent="0.2">
      <c r="A1251"/>
      <c r="B1251"/>
    </row>
    <row r="1252" spans="1:2" x14ac:dyDescent="0.2">
      <c r="A1252"/>
      <c r="B1252"/>
    </row>
    <row r="1253" spans="1:2" x14ac:dyDescent="0.2">
      <c r="A1253"/>
      <c r="B1253"/>
    </row>
    <row r="1254" spans="1:2" x14ac:dyDescent="0.2">
      <c r="A1254"/>
      <c r="B1254"/>
    </row>
    <row r="1255" spans="1:2" x14ac:dyDescent="0.2">
      <c r="A1255"/>
      <c r="B1255"/>
    </row>
    <row r="1256" spans="1:2" x14ac:dyDescent="0.2">
      <c r="A1256"/>
      <c r="B1256"/>
    </row>
    <row r="1257" spans="1:2" x14ac:dyDescent="0.2">
      <c r="A1257"/>
      <c r="B1257"/>
    </row>
    <row r="1258" spans="1:2" x14ac:dyDescent="0.2">
      <c r="A1258"/>
      <c r="B1258"/>
    </row>
    <row r="1259" spans="1:2" x14ac:dyDescent="0.2">
      <c r="A1259"/>
      <c r="B1259"/>
    </row>
    <row r="1260" spans="1:2" x14ac:dyDescent="0.2">
      <c r="A1260"/>
      <c r="B1260"/>
    </row>
    <row r="1261" spans="1:2" x14ac:dyDescent="0.2">
      <c r="A1261"/>
      <c r="B1261"/>
    </row>
    <row r="1262" spans="1:2" x14ac:dyDescent="0.2">
      <c r="A1262"/>
      <c r="B1262"/>
    </row>
    <row r="1263" spans="1:2" x14ac:dyDescent="0.2">
      <c r="A1263"/>
      <c r="B1263"/>
    </row>
    <row r="1264" spans="1:2" x14ac:dyDescent="0.2">
      <c r="A1264"/>
      <c r="B1264"/>
    </row>
    <row r="1265" spans="1:2" x14ac:dyDescent="0.2">
      <c r="A1265"/>
      <c r="B1265"/>
    </row>
    <row r="1266" spans="1:2" x14ac:dyDescent="0.2">
      <c r="A1266"/>
      <c r="B1266"/>
    </row>
    <row r="1267" spans="1:2" x14ac:dyDescent="0.2">
      <c r="A1267"/>
      <c r="B1267"/>
    </row>
    <row r="1268" spans="1:2" x14ac:dyDescent="0.2">
      <c r="A1268"/>
      <c r="B1268"/>
    </row>
    <row r="1269" spans="1:2" x14ac:dyDescent="0.2">
      <c r="A1269"/>
      <c r="B1269"/>
    </row>
    <row r="1270" spans="1:2" x14ac:dyDescent="0.2">
      <c r="A1270"/>
      <c r="B1270"/>
    </row>
    <row r="1271" spans="1:2" x14ac:dyDescent="0.2">
      <c r="A1271"/>
      <c r="B1271"/>
    </row>
    <row r="1272" spans="1:2" x14ac:dyDescent="0.2">
      <c r="A1272"/>
      <c r="B1272"/>
    </row>
    <row r="1273" spans="1:2" x14ac:dyDescent="0.2">
      <c r="A1273"/>
      <c r="B1273"/>
    </row>
    <row r="1274" spans="1:2" x14ac:dyDescent="0.2">
      <c r="A1274"/>
      <c r="B1274"/>
    </row>
    <row r="1275" spans="1:2" x14ac:dyDescent="0.2">
      <c r="A1275"/>
      <c r="B1275"/>
    </row>
    <row r="1276" spans="1:2" x14ac:dyDescent="0.2">
      <c r="A1276"/>
      <c r="B1276"/>
    </row>
    <row r="1277" spans="1:2" x14ac:dyDescent="0.2">
      <c r="A1277"/>
      <c r="B1277"/>
    </row>
    <row r="1278" spans="1:2" x14ac:dyDescent="0.2">
      <c r="A1278"/>
      <c r="B1278"/>
    </row>
    <row r="1279" spans="1:2" x14ac:dyDescent="0.2">
      <c r="A1279"/>
      <c r="B1279"/>
    </row>
    <row r="1280" spans="1:2" x14ac:dyDescent="0.2">
      <c r="A1280"/>
      <c r="B1280"/>
    </row>
    <row r="1281" spans="1:2" x14ac:dyDescent="0.2">
      <c r="A1281"/>
      <c r="B1281"/>
    </row>
    <row r="1282" spans="1:2" x14ac:dyDescent="0.2">
      <c r="A1282"/>
      <c r="B1282"/>
    </row>
    <row r="1283" spans="1:2" x14ac:dyDescent="0.2">
      <c r="A1283"/>
      <c r="B1283"/>
    </row>
    <row r="1284" spans="1:2" x14ac:dyDescent="0.2">
      <c r="A1284"/>
      <c r="B1284"/>
    </row>
    <row r="1285" spans="1:2" x14ac:dyDescent="0.2">
      <c r="A1285"/>
      <c r="B1285"/>
    </row>
    <row r="1286" spans="1:2" x14ac:dyDescent="0.2">
      <c r="A1286"/>
      <c r="B1286"/>
    </row>
    <row r="1287" spans="1:2" x14ac:dyDescent="0.2">
      <c r="A1287"/>
      <c r="B1287"/>
    </row>
    <row r="1288" spans="1:2" x14ac:dyDescent="0.2">
      <c r="A1288"/>
      <c r="B1288"/>
    </row>
    <row r="1289" spans="1:2" x14ac:dyDescent="0.2">
      <c r="A1289"/>
      <c r="B1289"/>
    </row>
    <row r="1290" spans="1:2" x14ac:dyDescent="0.2">
      <c r="A1290"/>
      <c r="B1290"/>
    </row>
    <row r="1291" spans="1:2" x14ac:dyDescent="0.2">
      <c r="A1291"/>
      <c r="B1291"/>
    </row>
    <row r="1292" spans="1:2" x14ac:dyDescent="0.2">
      <c r="A1292"/>
      <c r="B1292"/>
    </row>
    <row r="1293" spans="1:2" x14ac:dyDescent="0.2">
      <c r="A1293"/>
      <c r="B1293"/>
    </row>
    <row r="1294" spans="1:2" x14ac:dyDescent="0.2">
      <c r="A1294"/>
      <c r="B1294"/>
    </row>
    <row r="1295" spans="1:2" x14ac:dyDescent="0.2">
      <c r="A1295"/>
      <c r="B1295"/>
    </row>
    <row r="1296" spans="1:2" x14ac:dyDescent="0.2">
      <c r="A1296"/>
      <c r="B1296"/>
    </row>
    <row r="1297" spans="1:2" x14ac:dyDescent="0.2">
      <c r="A1297"/>
      <c r="B1297"/>
    </row>
    <row r="1298" spans="1:2" x14ac:dyDescent="0.2">
      <c r="A1298"/>
      <c r="B1298"/>
    </row>
    <row r="1299" spans="1:2" x14ac:dyDescent="0.2">
      <c r="A1299"/>
      <c r="B1299"/>
    </row>
    <row r="1300" spans="1:2" x14ac:dyDescent="0.2">
      <c r="A1300"/>
      <c r="B1300"/>
    </row>
    <row r="1301" spans="1:2" x14ac:dyDescent="0.2">
      <c r="A1301"/>
      <c r="B1301"/>
    </row>
    <row r="1302" spans="1:2" x14ac:dyDescent="0.2">
      <c r="A1302"/>
      <c r="B1302"/>
    </row>
    <row r="1303" spans="1:2" x14ac:dyDescent="0.2">
      <c r="A1303"/>
      <c r="B1303"/>
    </row>
    <row r="1304" spans="1:2" x14ac:dyDescent="0.2">
      <c r="A1304"/>
      <c r="B1304"/>
    </row>
    <row r="1305" spans="1:2" x14ac:dyDescent="0.2">
      <c r="A1305"/>
      <c r="B1305"/>
    </row>
    <row r="1306" spans="1:2" x14ac:dyDescent="0.2">
      <c r="A1306"/>
      <c r="B1306"/>
    </row>
    <row r="1307" spans="1:2" x14ac:dyDescent="0.2">
      <c r="A1307"/>
      <c r="B1307"/>
    </row>
    <row r="1308" spans="1:2" x14ac:dyDescent="0.2">
      <c r="A1308"/>
      <c r="B1308"/>
    </row>
    <row r="1309" spans="1:2" x14ac:dyDescent="0.2">
      <c r="A1309"/>
      <c r="B1309"/>
    </row>
    <row r="1310" spans="1:2" x14ac:dyDescent="0.2">
      <c r="A1310"/>
      <c r="B1310"/>
    </row>
    <row r="1311" spans="1:2" x14ac:dyDescent="0.2">
      <c r="A1311"/>
      <c r="B1311"/>
    </row>
    <row r="1312" spans="1:2" x14ac:dyDescent="0.2">
      <c r="A1312"/>
      <c r="B1312"/>
    </row>
    <row r="1313" spans="1:2" x14ac:dyDescent="0.2">
      <c r="A1313"/>
      <c r="B1313"/>
    </row>
    <row r="1314" spans="1:2" x14ac:dyDescent="0.2">
      <c r="A1314"/>
      <c r="B1314"/>
    </row>
    <row r="1315" spans="1:2" x14ac:dyDescent="0.2">
      <c r="A1315"/>
      <c r="B1315"/>
    </row>
    <row r="1316" spans="1:2" x14ac:dyDescent="0.2">
      <c r="A1316"/>
      <c r="B1316"/>
    </row>
    <row r="1317" spans="1:2" x14ac:dyDescent="0.2">
      <c r="A1317"/>
      <c r="B1317"/>
    </row>
    <row r="1318" spans="1:2" x14ac:dyDescent="0.2">
      <c r="A1318"/>
      <c r="B1318"/>
    </row>
    <row r="1319" spans="1:2" x14ac:dyDescent="0.2">
      <c r="A1319"/>
      <c r="B1319"/>
    </row>
    <row r="1320" spans="1:2" x14ac:dyDescent="0.2">
      <c r="A1320"/>
      <c r="B1320"/>
    </row>
    <row r="1321" spans="1:2" x14ac:dyDescent="0.2">
      <c r="A1321"/>
      <c r="B1321"/>
    </row>
    <row r="1322" spans="1:2" x14ac:dyDescent="0.2">
      <c r="A1322"/>
      <c r="B1322"/>
    </row>
    <row r="1323" spans="1:2" x14ac:dyDescent="0.2">
      <c r="A1323"/>
      <c r="B1323"/>
    </row>
    <row r="1324" spans="1:2" x14ac:dyDescent="0.2">
      <c r="A1324"/>
      <c r="B1324"/>
    </row>
    <row r="1325" spans="1:2" x14ac:dyDescent="0.2">
      <c r="A1325"/>
      <c r="B1325"/>
    </row>
    <row r="1326" spans="1:2" x14ac:dyDescent="0.2">
      <c r="A1326"/>
      <c r="B1326"/>
    </row>
    <row r="1327" spans="1:2" x14ac:dyDescent="0.2">
      <c r="A1327"/>
      <c r="B1327"/>
    </row>
    <row r="1328" spans="1:2" x14ac:dyDescent="0.2">
      <c r="A1328"/>
      <c r="B1328"/>
    </row>
    <row r="1329" spans="1:2" x14ac:dyDescent="0.2">
      <c r="A1329"/>
      <c r="B1329"/>
    </row>
    <row r="1330" spans="1:2" x14ac:dyDescent="0.2">
      <c r="A1330"/>
      <c r="B1330"/>
    </row>
    <row r="1331" spans="1:2" x14ac:dyDescent="0.2">
      <c r="A1331"/>
      <c r="B1331"/>
    </row>
    <row r="1332" spans="1:2" x14ac:dyDescent="0.2">
      <c r="A1332"/>
      <c r="B1332"/>
    </row>
    <row r="1333" spans="1:2" x14ac:dyDescent="0.2">
      <c r="A1333"/>
      <c r="B1333"/>
    </row>
    <row r="1334" spans="1:2" x14ac:dyDescent="0.2">
      <c r="A1334"/>
      <c r="B1334"/>
    </row>
    <row r="1335" spans="1:2" x14ac:dyDescent="0.2">
      <c r="A1335"/>
      <c r="B1335"/>
    </row>
    <row r="1336" spans="1:2" x14ac:dyDescent="0.2">
      <c r="A1336"/>
      <c r="B1336"/>
    </row>
    <row r="1337" spans="1:2" x14ac:dyDescent="0.2">
      <c r="A1337"/>
      <c r="B1337"/>
    </row>
    <row r="1338" spans="1:2" x14ac:dyDescent="0.2">
      <c r="A1338"/>
      <c r="B1338"/>
    </row>
    <row r="1339" spans="1:2" x14ac:dyDescent="0.2">
      <c r="A1339"/>
      <c r="B1339"/>
    </row>
    <row r="1340" spans="1:2" x14ac:dyDescent="0.2">
      <c r="A1340"/>
      <c r="B1340"/>
    </row>
    <row r="1341" spans="1:2" x14ac:dyDescent="0.2">
      <c r="A1341"/>
      <c r="B1341"/>
    </row>
    <row r="1342" spans="1:2" x14ac:dyDescent="0.2">
      <c r="A1342"/>
      <c r="B1342"/>
    </row>
    <row r="1343" spans="1:2" x14ac:dyDescent="0.2">
      <c r="A1343"/>
      <c r="B1343"/>
    </row>
    <row r="1344" spans="1:2" x14ac:dyDescent="0.2">
      <c r="A1344"/>
      <c r="B1344"/>
    </row>
    <row r="1345" spans="1:2" x14ac:dyDescent="0.2">
      <c r="A1345"/>
      <c r="B1345"/>
    </row>
    <row r="1346" spans="1:2" x14ac:dyDescent="0.2">
      <c r="A1346"/>
      <c r="B1346"/>
    </row>
    <row r="1347" spans="1:2" x14ac:dyDescent="0.2">
      <c r="A1347"/>
      <c r="B1347"/>
    </row>
    <row r="1348" spans="1:2" x14ac:dyDescent="0.2">
      <c r="A1348"/>
      <c r="B1348"/>
    </row>
    <row r="1349" spans="1:2" x14ac:dyDescent="0.2">
      <c r="A1349"/>
      <c r="B1349"/>
    </row>
    <row r="1350" spans="1:2" x14ac:dyDescent="0.2">
      <c r="A1350"/>
      <c r="B1350"/>
    </row>
    <row r="1351" spans="1:2" x14ac:dyDescent="0.2">
      <c r="A1351"/>
      <c r="B1351"/>
    </row>
    <row r="1352" spans="1:2" x14ac:dyDescent="0.2">
      <c r="A1352"/>
      <c r="B1352"/>
    </row>
    <row r="1353" spans="1:2" x14ac:dyDescent="0.2">
      <c r="A1353"/>
      <c r="B1353"/>
    </row>
    <row r="1354" spans="1:2" x14ac:dyDescent="0.2">
      <c r="A1354"/>
      <c r="B1354"/>
    </row>
    <row r="1355" spans="1:2" x14ac:dyDescent="0.2">
      <c r="A1355"/>
      <c r="B1355"/>
    </row>
    <row r="1356" spans="1:2" x14ac:dyDescent="0.2">
      <c r="A1356"/>
      <c r="B1356"/>
    </row>
    <row r="1357" spans="1:2" x14ac:dyDescent="0.2">
      <c r="A1357"/>
      <c r="B1357"/>
    </row>
    <row r="1358" spans="1:2" x14ac:dyDescent="0.2">
      <c r="A1358"/>
      <c r="B1358"/>
    </row>
    <row r="1359" spans="1:2" x14ac:dyDescent="0.2">
      <c r="A1359"/>
      <c r="B1359"/>
    </row>
    <row r="1360" spans="1:2" x14ac:dyDescent="0.2">
      <c r="A1360"/>
      <c r="B1360"/>
    </row>
    <row r="1361" spans="1:2" x14ac:dyDescent="0.2">
      <c r="A1361"/>
      <c r="B1361"/>
    </row>
    <row r="1362" spans="1:2" x14ac:dyDescent="0.2">
      <c r="A1362"/>
      <c r="B1362"/>
    </row>
    <row r="1363" spans="1:2" x14ac:dyDescent="0.2">
      <c r="A1363"/>
      <c r="B1363"/>
    </row>
    <row r="1364" spans="1:2" x14ac:dyDescent="0.2">
      <c r="A1364"/>
      <c r="B1364"/>
    </row>
    <row r="1365" spans="1:2" x14ac:dyDescent="0.2">
      <c r="A1365"/>
      <c r="B1365"/>
    </row>
    <row r="1366" spans="1:2" x14ac:dyDescent="0.2">
      <c r="A1366"/>
      <c r="B1366"/>
    </row>
    <row r="1367" spans="1:2" x14ac:dyDescent="0.2">
      <c r="A1367"/>
      <c r="B1367"/>
    </row>
    <row r="1368" spans="1:2" x14ac:dyDescent="0.2">
      <c r="A1368"/>
      <c r="B1368"/>
    </row>
    <row r="1369" spans="1:2" x14ac:dyDescent="0.2">
      <c r="A1369"/>
      <c r="B1369"/>
    </row>
    <row r="1370" spans="1:2" x14ac:dyDescent="0.2">
      <c r="A1370"/>
      <c r="B1370"/>
    </row>
    <row r="1371" spans="1:2" x14ac:dyDescent="0.2">
      <c r="A1371"/>
      <c r="B1371"/>
    </row>
    <row r="1372" spans="1:2" x14ac:dyDescent="0.2">
      <c r="A1372"/>
      <c r="B1372"/>
    </row>
    <row r="1373" spans="1:2" x14ac:dyDescent="0.2">
      <c r="A1373"/>
      <c r="B1373"/>
    </row>
    <row r="1374" spans="1:2" x14ac:dyDescent="0.2">
      <c r="A1374"/>
      <c r="B1374"/>
    </row>
    <row r="1375" spans="1:2" x14ac:dyDescent="0.2">
      <c r="A1375"/>
      <c r="B1375"/>
    </row>
    <row r="1376" spans="1:2" x14ac:dyDescent="0.2">
      <c r="A1376"/>
      <c r="B1376"/>
    </row>
    <row r="1377" spans="1:2" x14ac:dyDescent="0.2">
      <c r="A1377"/>
      <c r="B1377"/>
    </row>
    <row r="1378" spans="1:2" x14ac:dyDescent="0.2">
      <c r="A1378"/>
      <c r="B1378"/>
    </row>
    <row r="1379" spans="1:2" x14ac:dyDescent="0.2">
      <c r="A1379"/>
      <c r="B1379"/>
    </row>
    <row r="1380" spans="1:2" x14ac:dyDescent="0.2">
      <c r="A1380"/>
      <c r="B1380"/>
    </row>
    <row r="1381" spans="1:2" x14ac:dyDescent="0.2">
      <c r="A1381"/>
      <c r="B1381"/>
    </row>
    <row r="1382" spans="1:2" x14ac:dyDescent="0.2">
      <c r="A1382"/>
      <c r="B1382"/>
    </row>
    <row r="1383" spans="1:2" x14ac:dyDescent="0.2">
      <c r="A1383"/>
      <c r="B1383"/>
    </row>
    <row r="1384" spans="1:2" x14ac:dyDescent="0.2">
      <c r="A1384"/>
      <c r="B1384"/>
    </row>
    <row r="1385" spans="1:2" x14ac:dyDescent="0.2">
      <c r="A1385"/>
      <c r="B1385"/>
    </row>
    <row r="1386" spans="1:2" x14ac:dyDescent="0.2">
      <c r="A1386"/>
      <c r="B1386"/>
    </row>
    <row r="1387" spans="1:2" x14ac:dyDescent="0.2">
      <c r="A1387"/>
      <c r="B1387"/>
    </row>
    <row r="1388" spans="1:2" x14ac:dyDescent="0.2">
      <c r="A1388"/>
      <c r="B1388"/>
    </row>
    <row r="1389" spans="1:2" x14ac:dyDescent="0.2">
      <c r="A1389"/>
      <c r="B1389"/>
    </row>
    <row r="1390" spans="1:2" x14ac:dyDescent="0.2">
      <c r="A1390"/>
      <c r="B1390"/>
    </row>
    <row r="1391" spans="1:2" x14ac:dyDescent="0.2">
      <c r="A1391"/>
      <c r="B1391"/>
    </row>
    <row r="1392" spans="1:2" x14ac:dyDescent="0.2">
      <c r="A1392"/>
      <c r="B1392"/>
    </row>
    <row r="1393" spans="1:2" x14ac:dyDescent="0.2">
      <c r="A1393"/>
      <c r="B1393"/>
    </row>
    <row r="1394" spans="1:2" x14ac:dyDescent="0.2">
      <c r="A1394"/>
      <c r="B1394"/>
    </row>
    <row r="1395" spans="1:2" x14ac:dyDescent="0.2">
      <c r="A1395"/>
      <c r="B1395"/>
    </row>
    <row r="1396" spans="1:2" x14ac:dyDescent="0.2">
      <c r="A1396"/>
      <c r="B1396"/>
    </row>
    <row r="1397" spans="1:2" x14ac:dyDescent="0.2">
      <c r="A1397"/>
      <c r="B1397"/>
    </row>
    <row r="1398" spans="1:2" x14ac:dyDescent="0.2">
      <c r="A1398"/>
      <c r="B1398"/>
    </row>
    <row r="1399" spans="1:2" x14ac:dyDescent="0.2">
      <c r="A1399"/>
      <c r="B1399"/>
    </row>
    <row r="1400" spans="1:2" x14ac:dyDescent="0.2">
      <c r="A1400"/>
      <c r="B1400"/>
    </row>
    <row r="1401" spans="1:2" x14ac:dyDescent="0.2">
      <c r="A1401"/>
      <c r="B1401"/>
    </row>
    <row r="1402" spans="1:2" x14ac:dyDescent="0.2">
      <c r="A1402"/>
      <c r="B1402"/>
    </row>
    <row r="1403" spans="1:2" x14ac:dyDescent="0.2">
      <c r="A1403"/>
      <c r="B1403"/>
    </row>
    <row r="1404" spans="1:2" x14ac:dyDescent="0.2">
      <c r="A1404"/>
      <c r="B1404"/>
    </row>
    <row r="1405" spans="1:2" x14ac:dyDescent="0.2">
      <c r="A1405"/>
      <c r="B1405"/>
    </row>
    <row r="1406" spans="1:2" x14ac:dyDescent="0.2">
      <c r="A1406"/>
      <c r="B1406"/>
    </row>
    <row r="1407" spans="1:2" x14ac:dyDescent="0.2">
      <c r="A1407"/>
      <c r="B1407"/>
    </row>
    <row r="1408" spans="1:2" x14ac:dyDescent="0.2">
      <c r="A1408"/>
      <c r="B1408"/>
    </row>
    <row r="1409" spans="1:2" x14ac:dyDescent="0.2">
      <c r="A1409"/>
      <c r="B1409"/>
    </row>
    <row r="1410" spans="1:2" x14ac:dyDescent="0.2">
      <c r="A1410"/>
      <c r="B1410"/>
    </row>
    <row r="1411" spans="1:2" x14ac:dyDescent="0.2">
      <c r="A1411"/>
      <c r="B1411"/>
    </row>
    <row r="1412" spans="1:2" x14ac:dyDescent="0.2">
      <c r="A1412"/>
      <c r="B1412"/>
    </row>
    <row r="1413" spans="1:2" x14ac:dyDescent="0.2">
      <c r="A1413"/>
      <c r="B1413"/>
    </row>
    <row r="1414" spans="1:2" x14ac:dyDescent="0.2">
      <c r="A1414"/>
      <c r="B1414"/>
    </row>
    <row r="1415" spans="1:2" x14ac:dyDescent="0.2">
      <c r="A1415"/>
      <c r="B1415"/>
    </row>
    <row r="1416" spans="1:2" x14ac:dyDescent="0.2">
      <c r="A1416"/>
      <c r="B1416"/>
    </row>
    <row r="1417" spans="1:2" x14ac:dyDescent="0.2">
      <c r="A1417"/>
      <c r="B1417"/>
    </row>
    <row r="1418" spans="1:2" x14ac:dyDescent="0.2">
      <c r="A1418"/>
      <c r="B1418"/>
    </row>
    <row r="1419" spans="1:2" x14ac:dyDescent="0.2">
      <c r="A1419"/>
      <c r="B1419"/>
    </row>
    <row r="1420" spans="1:2" x14ac:dyDescent="0.2">
      <c r="A1420"/>
      <c r="B1420"/>
    </row>
    <row r="1421" spans="1:2" x14ac:dyDescent="0.2">
      <c r="A1421"/>
      <c r="B1421"/>
    </row>
    <row r="1422" spans="1:2" x14ac:dyDescent="0.2">
      <c r="A1422"/>
      <c r="B1422"/>
    </row>
    <row r="1423" spans="1:2" x14ac:dyDescent="0.2">
      <c r="A1423"/>
      <c r="B1423"/>
    </row>
    <row r="1424" spans="1:2" x14ac:dyDescent="0.2">
      <c r="A1424"/>
      <c r="B1424"/>
    </row>
    <row r="1425" spans="1:2" x14ac:dyDescent="0.2">
      <c r="A1425"/>
      <c r="B1425"/>
    </row>
    <row r="1426" spans="1:2" x14ac:dyDescent="0.2">
      <c r="A1426"/>
      <c r="B1426"/>
    </row>
    <row r="1427" spans="1:2" x14ac:dyDescent="0.2">
      <c r="A1427"/>
      <c r="B1427"/>
    </row>
    <row r="1428" spans="1:2" x14ac:dyDescent="0.2">
      <c r="A1428"/>
      <c r="B1428"/>
    </row>
    <row r="1429" spans="1:2" x14ac:dyDescent="0.2">
      <c r="A1429"/>
      <c r="B1429"/>
    </row>
    <row r="1430" spans="1:2" x14ac:dyDescent="0.2">
      <c r="A1430"/>
      <c r="B1430"/>
    </row>
    <row r="1431" spans="1:2" x14ac:dyDescent="0.2">
      <c r="A1431"/>
      <c r="B1431"/>
    </row>
    <row r="1432" spans="1:2" x14ac:dyDescent="0.2">
      <c r="A1432"/>
      <c r="B1432"/>
    </row>
    <row r="1433" spans="1:2" x14ac:dyDescent="0.2">
      <c r="A1433"/>
      <c r="B1433"/>
    </row>
    <row r="1434" spans="1:2" x14ac:dyDescent="0.2">
      <c r="A1434"/>
      <c r="B1434"/>
    </row>
    <row r="1435" spans="1:2" x14ac:dyDescent="0.2">
      <c r="A1435"/>
      <c r="B1435"/>
    </row>
    <row r="1436" spans="1:2" x14ac:dyDescent="0.2">
      <c r="A1436"/>
      <c r="B1436"/>
    </row>
    <row r="1437" spans="1:2" x14ac:dyDescent="0.2">
      <c r="A1437"/>
      <c r="B1437"/>
    </row>
    <row r="1438" spans="1:2" x14ac:dyDescent="0.2">
      <c r="A1438"/>
      <c r="B1438"/>
    </row>
    <row r="1439" spans="1:2" x14ac:dyDescent="0.2">
      <c r="A1439"/>
      <c r="B1439"/>
    </row>
    <row r="1440" spans="1:2" x14ac:dyDescent="0.2">
      <c r="A1440"/>
      <c r="B1440"/>
    </row>
    <row r="1441" spans="1:2" x14ac:dyDescent="0.2">
      <c r="A1441"/>
      <c r="B1441"/>
    </row>
    <row r="1442" spans="1:2" x14ac:dyDescent="0.2">
      <c r="A1442"/>
      <c r="B1442"/>
    </row>
    <row r="1443" spans="1:2" x14ac:dyDescent="0.2">
      <c r="A1443"/>
      <c r="B1443"/>
    </row>
    <row r="1444" spans="1:2" x14ac:dyDescent="0.2">
      <c r="A1444"/>
      <c r="B1444"/>
    </row>
    <row r="1445" spans="1:2" x14ac:dyDescent="0.2">
      <c r="A1445"/>
      <c r="B1445"/>
    </row>
    <row r="1446" spans="1:2" x14ac:dyDescent="0.2">
      <c r="A1446"/>
      <c r="B1446"/>
    </row>
    <row r="1447" spans="1:2" x14ac:dyDescent="0.2">
      <c r="A1447"/>
      <c r="B1447"/>
    </row>
    <row r="1448" spans="1:2" x14ac:dyDescent="0.2">
      <c r="A1448"/>
      <c r="B1448"/>
    </row>
    <row r="1449" spans="1:2" x14ac:dyDescent="0.2">
      <c r="A1449"/>
      <c r="B1449"/>
    </row>
    <row r="1450" spans="1:2" x14ac:dyDescent="0.2">
      <c r="A1450"/>
      <c r="B1450"/>
    </row>
    <row r="1451" spans="1:2" x14ac:dyDescent="0.2">
      <c r="A1451"/>
      <c r="B1451"/>
    </row>
    <row r="1452" spans="1:2" x14ac:dyDescent="0.2">
      <c r="A1452"/>
      <c r="B1452"/>
    </row>
    <row r="1453" spans="1:2" x14ac:dyDescent="0.2">
      <c r="A1453"/>
      <c r="B1453"/>
    </row>
    <row r="1454" spans="1:2" x14ac:dyDescent="0.2">
      <c r="A1454"/>
      <c r="B1454"/>
    </row>
    <row r="1455" spans="1:2" x14ac:dyDescent="0.2">
      <c r="A1455"/>
      <c r="B1455"/>
    </row>
    <row r="1456" spans="1:2" x14ac:dyDescent="0.2">
      <c r="A1456"/>
      <c r="B1456"/>
    </row>
    <row r="1457" spans="1:2" x14ac:dyDescent="0.2">
      <c r="A1457"/>
      <c r="B1457"/>
    </row>
    <row r="1458" spans="1:2" x14ac:dyDescent="0.2">
      <c r="A1458"/>
      <c r="B1458"/>
    </row>
    <row r="1459" spans="1:2" x14ac:dyDescent="0.2">
      <c r="A1459"/>
      <c r="B1459"/>
    </row>
    <row r="1460" spans="1:2" x14ac:dyDescent="0.2">
      <c r="A1460"/>
      <c r="B1460"/>
    </row>
    <row r="1461" spans="1:2" x14ac:dyDescent="0.2">
      <c r="A1461"/>
      <c r="B1461"/>
    </row>
    <row r="1462" spans="1:2" x14ac:dyDescent="0.2">
      <c r="A1462"/>
      <c r="B1462"/>
    </row>
    <row r="1463" spans="1:2" x14ac:dyDescent="0.2">
      <c r="A1463"/>
      <c r="B1463"/>
    </row>
    <row r="1464" spans="1:2" x14ac:dyDescent="0.2">
      <c r="A1464"/>
      <c r="B1464"/>
    </row>
    <row r="1465" spans="1:2" x14ac:dyDescent="0.2">
      <c r="A1465"/>
      <c r="B1465"/>
    </row>
    <row r="1466" spans="1:2" x14ac:dyDescent="0.2">
      <c r="A1466"/>
      <c r="B1466"/>
    </row>
    <row r="1467" spans="1:2" x14ac:dyDescent="0.2">
      <c r="A1467"/>
      <c r="B1467"/>
    </row>
    <row r="1468" spans="1:2" x14ac:dyDescent="0.2">
      <c r="A1468"/>
      <c r="B1468"/>
    </row>
    <row r="1469" spans="1:2" x14ac:dyDescent="0.2">
      <c r="A1469"/>
      <c r="B1469"/>
    </row>
    <row r="1470" spans="1:2" x14ac:dyDescent="0.2">
      <c r="A1470"/>
      <c r="B1470"/>
    </row>
    <row r="1471" spans="1:2" x14ac:dyDescent="0.2">
      <c r="A1471"/>
      <c r="B1471"/>
    </row>
    <row r="1472" spans="1:2" x14ac:dyDescent="0.2">
      <c r="A1472"/>
      <c r="B1472"/>
    </row>
    <row r="1473" spans="1:2" x14ac:dyDescent="0.2">
      <c r="A1473"/>
      <c r="B1473"/>
    </row>
    <row r="1474" spans="1:2" x14ac:dyDescent="0.2">
      <c r="A1474"/>
      <c r="B1474"/>
    </row>
    <row r="1475" spans="1:2" x14ac:dyDescent="0.2">
      <c r="A1475"/>
      <c r="B1475"/>
    </row>
    <row r="1476" spans="1:2" x14ac:dyDescent="0.2">
      <c r="A1476"/>
      <c r="B1476"/>
    </row>
    <row r="1477" spans="1:2" x14ac:dyDescent="0.2">
      <c r="A1477"/>
      <c r="B1477"/>
    </row>
    <row r="1478" spans="1:2" x14ac:dyDescent="0.2">
      <c r="A1478"/>
      <c r="B1478"/>
    </row>
    <row r="1479" spans="1:2" x14ac:dyDescent="0.2">
      <c r="A1479"/>
      <c r="B1479"/>
    </row>
    <row r="1480" spans="1:2" x14ac:dyDescent="0.2">
      <c r="A1480"/>
      <c r="B1480"/>
    </row>
    <row r="1481" spans="1:2" x14ac:dyDescent="0.2">
      <c r="A1481"/>
      <c r="B1481"/>
    </row>
    <row r="1482" spans="1:2" x14ac:dyDescent="0.2">
      <c r="A1482"/>
      <c r="B1482"/>
    </row>
    <row r="1483" spans="1:2" x14ac:dyDescent="0.2">
      <c r="A1483"/>
      <c r="B1483"/>
    </row>
    <row r="1484" spans="1:2" x14ac:dyDescent="0.2">
      <c r="A1484"/>
      <c r="B1484"/>
    </row>
    <row r="1485" spans="1:2" x14ac:dyDescent="0.2">
      <c r="A1485"/>
      <c r="B1485"/>
    </row>
    <row r="1486" spans="1:2" x14ac:dyDescent="0.2">
      <c r="A1486"/>
      <c r="B1486"/>
    </row>
    <row r="1487" spans="1:2" x14ac:dyDescent="0.2">
      <c r="A1487"/>
      <c r="B1487"/>
    </row>
    <row r="1488" spans="1:2" x14ac:dyDescent="0.2">
      <c r="A1488"/>
      <c r="B1488"/>
    </row>
    <row r="1489" spans="1:2" x14ac:dyDescent="0.2">
      <c r="A1489"/>
      <c r="B1489"/>
    </row>
    <row r="1490" spans="1:2" x14ac:dyDescent="0.2">
      <c r="A1490"/>
      <c r="B1490"/>
    </row>
    <row r="1491" spans="1:2" x14ac:dyDescent="0.2">
      <c r="A1491"/>
      <c r="B1491"/>
    </row>
    <row r="1492" spans="1:2" x14ac:dyDescent="0.2">
      <c r="A1492"/>
      <c r="B1492"/>
    </row>
    <row r="1493" spans="1:2" x14ac:dyDescent="0.2">
      <c r="A1493"/>
      <c r="B1493"/>
    </row>
    <row r="1494" spans="1:2" x14ac:dyDescent="0.2">
      <c r="A1494"/>
      <c r="B1494"/>
    </row>
    <row r="1495" spans="1:2" x14ac:dyDescent="0.2">
      <c r="A1495"/>
      <c r="B1495"/>
    </row>
    <row r="1496" spans="1:2" x14ac:dyDescent="0.2">
      <c r="A1496"/>
      <c r="B1496"/>
    </row>
    <row r="1497" spans="1:2" x14ac:dyDescent="0.2">
      <c r="A1497"/>
      <c r="B1497"/>
    </row>
    <row r="1498" spans="1:2" x14ac:dyDescent="0.2">
      <c r="A1498"/>
      <c r="B1498"/>
    </row>
    <row r="1499" spans="1:2" x14ac:dyDescent="0.2">
      <c r="A1499"/>
      <c r="B1499"/>
    </row>
    <row r="1500" spans="1:2" x14ac:dyDescent="0.2">
      <c r="A1500"/>
      <c r="B1500"/>
    </row>
    <row r="1501" spans="1:2" x14ac:dyDescent="0.2">
      <c r="A1501"/>
      <c r="B1501"/>
    </row>
    <row r="1502" spans="1:2" x14ac:dyDescent="0.2">
      <c r="A1502"/>
      <c r="B1502"/>
    </row>
    <row r="1503" spans="1:2" x14ac:dyDescent="0.2">
      <c r="A1503"/>
      <c r="B1503"/>
    </row>
    <row r="1504" spans="1:2" x14ac:dyDescent="0.2">
      <c r="A1504"/>
      <c r="B1504"/>
    </row>
    <row r="1505" spans="1:2" x14ac:dyDescent="0.2">
      <c r="A1505"/>
      <c r="B1505"/>
    </row>
    <row r="1506" spans="1:2" x14ac:dyDescent="0.2">
      <c r="A1506"/>
      <c r="B1506"/>
    </row>
    <row r="1507" spans="1:2" x14ac:dyDescent="0.2">
      <c r="A1507"/>
      <c r="B1507"/>
    </row>
    <row r="1508" spans="1:2" x14ac:dyDescent="0.2">
      <c r="A1508"/>
      <c r="B1508"/>
    </row>
    <row r="1509" spans="1:2" x14ac:dyDescent="0.2">
      <c r="A1509"/>
      <c r="B1509"/>
    </row>
    <row r="1510" spans="1:2" x14ac:dyDescent="0.2">
      <c r="A1510"/>
      <c r="B1510"/>
    </row>
    <row r="1511" spans="1:2" x14ac:dyDescent="0.2">
      <c r="A1511"/>
      <c r="B1511"/>
    </row>
    <row r="1512" spans="1:2" x14ac:dyDescent="0.2">
      <c r="A1512"/>
      <c r="B1512"/>
    </row>
    <row r="1513" spans="1:2" x14ac:dyDescent="0.2">
      <c r="A1513"/>
      <c r="B1513"/>
    </row>
    <row r="1514" spans="1:2" x14ac:dyDescent="0.2">
      <c r="A1514"/>
      <c r="B1514"/>
    </row>
    <row r="1515" spans="1:2" x14ac:dyDescent="0.2">
      <c r="A1515"/>
      <c r="B1515"/>
    </row>
    <row r="1516" spans="1:2" x14ac:dyDescent="0.2">
      <c r="A1516"/>
      <c r="B1516"/>
    </row>
    <row r="1517" spans="1:2" x14ac:dyDescent="0.2">
      <c r="A1517"/>
      <c r="B1517"/>
    </row>
    <row r="1518" spans="1:2" x14ac:dyDescent="0.2">
      <c r="A1518"/>
      <c r="B1518"/>
    </row>
    <row r="1519" spans="1:2" x14ac:dyDescent="0.2">
      <c r="A1519"/>
      <c r="B1519"/>
    </row>
    <row r="1520" spans="1:2" x14ac:dyDescent="0.2">
      <c r="A1520"/>
      <c r="B1520"/>
    </row>
    <row r="1521" spans="1:2" x14ac:dyDescent="0.2">
      <c r="A1521"/>
      <c r="B1521"/>
    </row>
    <row r="1522" spans="1:2" x14ac:dyDescent="0.2">
      <c r="A1522"/>
      <c r="B1522"/>
    </row>
    <row r="1523" spans="1:2" x14ac:dyDescent="0.2">
      <c r="A1523"/>
      <c r="B1523"/>
    </row>
    <row r="1524" spans="1:2" x14ac:dyDescent="0.2">
      <c r="A1524"/>
      <c r="B1524"/>
    </row>
    <row r="1525" spans="1:2" x14ac:dyDescent="0.2">
      <c r="A1525"/>
      <c r="B1525"/>
    </row>
    <row r="1526" spans="1:2" x14ac:dyDescent="0.2">
      <c r="A1526"/>
      <c r="B1526"/>
    </row>
    <row r="1527" spans="1:2" x14ac:dyDescent="0.2">
      <c r="A1527"/>
      <c r="B1527"/>
    </row>
    <row r="1528" spans="1:2" x14ac:dyDescent="0.2">
      <c r="A1528"/>
      <c r="B1528"/>
    </row>
    <row r="1529" spans="1:2" x14ac:dyDescent="0.2">
      <c r="A1529"/>
      <c r="B1529"/>
    </row>
    <row r="1530" spans="1:2" x14ac:dyDescent="0.2">
      <c r="A1530"/>
      <c r="B1530"/>
    </row>
    <row r="1531" spans="1:2" x14ac:dyDescent="0.2">
      <c r="A1531"/>
      <c r="B1531"/>
    </row>
    <row r="1532" spans="1:2" x14ac:dyDescent="0.2">
      <c r="A1532"/>
      <c r="B1532"/>
    </row>
    <row r="1533" spans="1:2" x14ac:dyDescent="0.2">
      <c r="A1533"/>
      <c r="B1533"/>
    </row>
    <row r="1534" spans="1:2" x14ac:dyDescent="0.2">
      <c r="A1534"/>
      <c r="B1534"/>
    </row>
    <row r="1535" spans="1:2" x14ac:dyDescent="0.2">
      <c r="A1535"/>
      <c r="B1535"/>
    </row>
    <row r="1536" spans="1:2" x14ac:dyDescent="0.2">
      <c r="A1536"/>
      <c r="B1536"/>
    </row>
    <row r="1537" spans="1:2" x14ac:dyDescent="0.2">
      <c r="A1537"/>
      <c r="B1537"/>
    </row>
    <row r="1538" spans="1:2" x14ac:dyDescent="0.2">
      <c r="A1538"/>
      <c r="B1538"/>
    </row>
    <row r="1539" spans="1:2" x14ac:dyDescent="0.2">
      <c r="A1539"/>
      <c r="B1539"/>
    </row>
    <row r="1540" spans="1:2" x14ac:dyDescent="0.2">
      <c r="A1540"/>
      <c r="B1540"/>
    </row>
    <row r="1541" spans="1:2" x14ac:dyDescent="0.2">
      <c r="A1541"/>
      <c r="B1541"/>
    </row>
    <row r="1542" spans="1:2" x14ac:dyDescent="0.2">
      <c r="A1542"/>
      <c r="B1542"/>
    </row>
    <row r="1543" spans="1:2" x14ac:dyDescent="0.2">
      <c r="A1543"/>
      <c r="B1543"/>
    </row>
    <row r="1544" spans="1:2" x14ac:dyDescent="0.2">
      <c r="A1544"/>
      <c r="B1544"/>
    </row>
    <row r="1545" spans="1:2" x14ac:dyDescent="0.2">
      <c r="A1545"/>
      <c r="B1545"/>
    </row>
    <row r="1546" spans="1:2" x14ac:dyDescent="0.2">
      <c r="A1546"/>
      <c r="B1546"/>
    </row>
    <row r="1547" spans="1:2" x14ac:dyDescent="0.2">
      <c r="A1547"/>
      <c r="B1547"/>
    </row>
    <row r="1548" spans="1:2" x14ac:dyDescent="0.2">
      <c r="A1548"/>
      <c r="B1548"/>
    </row>
    <row r="1549" spans="1:2" x14ac:dyDescent="0.2">
      <c r="A1549"/>
      <c r="B1549"/>
    </row>
    <row r="1550" spans="1:2" x14ac:dyDescent="0.2">
      <c r="A1550"/>
      <c r="B1550"/>
    </row>
    <row r="1551" spans="1:2" x14ac:dyDescent="0.2">
      <c r="A1551"/>
      <c r="B1551"/>
    </row>
    <row r="1552" spans="1:2" x14ac:dyDescent="0.2">
      <c r="A1552"/>
      <c r="B1552"/>
    </row>
    <row r="1553" spans="1:2" x14ac:dyDescent="0.2">
      <c r="A1553"/>
      <c r="B1553"/>
    </row>
    <row r="1554" spans="1:2" x14ac:dyDescent="0.2">
      <c r="A1554"/>
      <c r="B1554"/>
    </row>
    <row r="1555" spans="1:2" x14ac:dyDescent="0.2">
      <c r="A1555"/>
      <c r="B1555"/>
    </row>
    <row r="1556" spans="1:2" x14ac:dyDescent="0.2">
      <c r="A1556"/>
      <c r="B1556"/>
    </row>
    <row r="1557" spans="1:2" x14ac:dyDescent="0.2">
      <c r="A1557"/>
      <c r="B1557"/>
    </row>
    <row r="1558" spans="1:2" x14ac:dyDescent="0.2">
      <c r="A1558"/>
      <c r="B1558"/>
    </row>
    <row r="1559" spans="1:2" x14ac:dyDescent="0.2">
      <c r="A1559"/>
      <c r="B1559"/>
    </row>
    <row r="1560" spans="1:2" x14ac:dyDescent="0.2">
      <c r="A1560"/>
      <c r="B1560"/>
    </row>
    <row r="1561" spans="1:2" x14ac:dyDescent="0.2">
      <c r="A1561"/>
      <c r="B1561"/>
    </row>
    <row r="1562" spans="1:2" x14ac:dyDescent="0.2">
      <c r="A1562"/>
      <c r="B1562"/>
    </row>
    <row r="1563" spans="1:2" x14ac:dyDescent="0.2">
      <c r="A1563"/>
      <c r="B1563"/>
    </row>
    <row r="1564" spans="1:2" x14ac:dyDescent="0.2">
      <c r="A1564"/>
      <c r="B1564"/>
    </row>
    <row r="1565" spans="1:2" x14ac:dyDescent="0.2">
      <c r="A1565"/>
      <c r="B1565"/>
    </row>
    <row r="1566" spans="1:2" x14ac:dyDescent="0.2">
      <c r="A1566"/>
      <c r="B1566"/>
    </row>
    <row r="1567" spans="1:2" x14ac:dyDescent="0.2">
      <c r="A1567"/>
      <c r="B1567"/>
    </row>
    <row r="1568" spans="1:2" x14ac:dyDescent="0.2">
      <c r="A1568"/>
      <c r="B1568"/>
    </row>
    <row r="1569" spans="1:2" x14ac:dyDescent="0.2">
      <c r="A1569"/>
      <c r="B1569"/>
    </row>
    <row r="1570" spans="1:2" x14ac:dyDescent="0.2">
      <c r="A1570"/>
      <c r="B1570"/>
    </row>
    <row r="1571" spans="1:2" x14ac:dyDescent="0.2">
      <c r="A1571"/>
      <c r="B1571"/>
    </row>
    <row r="1572" spans="1:2" x14ac:dyDescent="0.2">
      <c r="A1572"/>
      <c r="B1572"/>
    </row>
    <row r="1573" spans="1:2" x14ac:dyDescent="0.2">
      <c r="A1573"/>
      <c r="B1573"/>
    </row>
    <row r="1574" spans="1:2" x14ac:dyDescent="0.2">
      <c r="A1574"/>
      <c r="B1574"/>
    </row>
    <row r="1575" spans="1:2" x14ac:dyDescent="0.2">
      <c r="A1575"/>
      <c r="B1575"/>
    </row>
    <row r="1576" spans="1:2" x14ac:dyDescent="0.2">
      <c r="A1576"/>
      <c r="B1576"/>
    </row>
    <row r="1577" spans="1:2" x14ac:dyDescent="0.2">
      <c r="A1577"/>
      <c r="B1577"/>
    </row>
    <row r="1578" spans="1:2" x14ac:dyDescent="0.2">
      <c r="A1578"/>
      <c r="B1578"/>
    </row>
    <row r="1579" spans="1:2" x14ac:dyDescent="0.2">
      <c r="A1579"/>
      <c r="B1579"/>
    </row>
    <row r="1580" spans="1:2" x14ac:dyDescent="0.2">
      <c r="A1580"/>
      <c r="B1580"/>
    </row>
    <row r="1581" spans="1:2" x14ac:dyDescent="0.2">
      <c r="A1581"/>
      <c r="B1581"/>
    </row>
    <row r="1582" spans="1:2" x14ac:dyDescent="0.2">
      <c r="A1582"/>
      <c r="B1582"/>
    </row>
    <row r="1583" spans="1:2" x14ac:dyDescent="0.2">
      <c r="A1583"/>
      <c r="B1583"/>
    </row>
    <row r="1584" spans="1:2" x14ac:dyDescent="0.2">
      <c r="A1584"/>
      <c r="B1584"/>
    </row>
    <row r="1585" spans="1:2" x14ac:dyDescent="0.2">
      <c r="A1585"/>
      <c r="B1585"/>
    </row>
    <row r="1586" spans="1:2" x14ac:dyDescent="0.2">
      <c r="A1586"/>
      <c r="B1586"/>
    </row>
    <row r="1587" spans="1:2" x14ac:dyDescent="0.2">
      <c r="A1587"/>
      <c r="B1587"/>
    </row>
    <row r="1588" spans="1:2" x14ac:dyDescent="0.2">
      <c r="A1588"/>
      <c r="B1588"/>
    </row>
    <row r="1589" spans="1:2" x14ac:dyDescent="0.2">
      <c r="A1589"/>
      <c r="B1589"/>
    </row>
    <row r="1590" spans="1:2" x14ac:dyDescent="0.2">
      <c r="A1590"/>
      <c r="B1590"/>
    </row>
    <row r="1591" spans="1:2" x14ac:dyDescent="0.2">
      <c r="A1591"/>
      <c r="B1591"/>
    </row>
    <row r="1592" spans="1:2" x14ac:dyDescent="0.2">
      <c r="A1592"/>
      <c r="B1592"/>
    </row>
    <row r="1593" spans="1:2" x14ac:dyDescent="0.2">
      <c r="A1593"/>
      <c r="B1593"/>
    </row>
    <row r="1594" spans="1:2" x14ac:dyDescent="0.2">
      <c r="A1594"/>
      <c r="B1594"/>
    </row>
    <row r="1595" spans="1:2" x14ac:dyDescent="0.2">
      <c r="A1595"/>
      <c r="B1595"/>
    </row>
    <row r="1596" spans="1:2" x14ac:dyDescent="0.2">
      <c r="A1596"/>
      <c r="B1596"/>
    </row>
    <row r="1597" spans="1:2" x14ac:dyDescent="0.2">
      <c r="A1597"/>
      <c r="B1597"/>
    </row>
    <row r="1598" spans="1:2" x14ac:dyDescent="0.2">
      <c r="A1598"/>
      <c r="B1598"/>
    </row>
    <row r="1599" spans="1:2" x14ac:dyDescent="0.2">
      <c r="A1599"/>
      <c r="B1599"/>
    </row>
    <row r="1600" spans="1:2" x14ac:dyDescent="0.2">
      <c r="A1600"/>
      <c r="B1600"/>
    </row>
    <row r="1601" spans="1:2" x14ac:dyDescent="0.2">
      <c r="A1601"/>
      <c r="B1601"/>
    </row>
    <row r="1602" spans="1:2" x14ac:dyDescent="0.2">
      <c r="A1602"/>
      <c r="B1602"/>
    </row>
    <row r="1603" spans="1:2" x14ac:dyDescent="0.2">
      <c r="A1603"/>
      <c r="B1603"/>
    </row>
    <row r="1604" spans="1:2" x14ac:dyDescent="0.2">
      <c r="A1604"/>
      <c r="B1604"/>
    </row>
    <row r="1605" spans="1:2" x14ac:dyDescent="0.2">
      <c r="A1605"/>
      <c r="B1605"/>
    </row>
    <row r="1606" spans="1:2" x14ac:dyDescent="0.2">
      <c r="A1606"/>
      <c r="B1606"/>
    </row>
    <row r="1607" spans="1:2" x14ac:dyDescent="0.2">
      <c r="A1607"/>
      <c r="B1607"/>
    </row>
    <row r="1608" spans="1:2" x14ac:dyDescent="0.2">
      <c r="A1608"/>
      <c r="B1608"/>
    </row>
    <row r="1609" spans="1:2" x14ac:dyDescent="0.2">
      <c r="A1609"/>
      <c r="B1609"/>
    </row>
    <row r="1610" spans="1:2" x14ac:dyDescent="0.2">
      <c r="A1610"/>
      <c r="B1610"/>
    </row>
    <row r="1611" spans="1:2" x14ac:dyDescent="0.2">
      <c r="A1611"/>
      <c r="B1611"/>
    </row>
    <row r="1612" spans="1:2" x14ac:dyDescent="0.2">
      <c r="A1612"/>
      <c r="B1612"/>
    </row>
    <row r="1613" spans="1:2" x14ac:dyDescent="0.2">
      <c r="A1613"/>
      <c r="B1613"/>
    </row>
    <row r="1614" spans="1:2" x14ac:dyDescent="0.2">
      <c r="A1614"/>
      <c r="B1614"/>
    </row>
    <row r="1615" spans="1:2" x14ac:dyDescent="0.2">
      <c r="A1615"/>
      <c r="B1615"/>
    </row>
    <row r="1616" spans="1:2" x14ac:dyDescent="0.2">
      <c r="A1616"/>
      <c r="B1616"/>
    </row>
    <row r="1617" spans="1:2" x14ac:dyDescent="0.2">
      <c r="A1617"/>
      <c r="B1617"/>
    </row>
    <row r="1618" spans="1:2" x14ac:dyDescent="0.2">
      <c r="A1618"/>
      <c r="B1618"/>
    </row>
    <row r="1619" spans="1:2" x14ac:dyDescent="0.2">
      <c r="A1619"/>
      <c r="B1619"/>
    </row>
    <row r="1620" spans="1:2" x14ac:dyDescent="0.2">
      <c r="A1620"/>
      <c r="B1620"/>
    </row>
    <row r="1621" spans="1:2" x14ac:dyDescent="0.2">
      <c r="A1621"/>
      <c r="B1621"/>
    </row>
    <row r="1622" spans="1:2" x14ac:dyDescent="0.2">
      <c r="A1622"/>
      <c r="B1622"/>
    </row>
    <row r="1623" spans="1:2" x14ac:dyDescent="0.2">
      <c r="A1623"/>
      <c r="B1623"/>
    </row>
    <row r="1624" spans="1:2" x14ac:dyDescent="0.2">
      <c r="A1624"/>
      <c r="B1624"/>
    </row>
    <row r="1625" spans="1:2" x14ac:dyDescent="0.2">
      <c r="A1625"/>
      <c r="B1625"/>
    </row>
    <row r="1626" spans="1:2" x14ac:dyDescent="0.2">
      <c r="A1626"/>
      <c r="B1626"/>
    </row>
    <row r="1627" spans="1:2" x14ac:dyDescent="0.2">
      <c r="A1627"/>
      <c r="B1627"/>
    </row>
    <row r="1628" spans="1:2" x14ac:dyDescent="0.2">
      <c r="A1628"/>
      <c r="B1628"/>
    </row>
    <row r="1629" spans="1:2" x14ac:dyDescent="0.2">
      <c r="A1629"/>
      <c r="B1629"/>
    </row>
    <row r="1630" spans="1:2" x14ac:dyDescent="0.2">
      <c r="A1630"/>
      <c r="B1630"/>
    </row>
    <row r="1631" spans="1:2" x14ac:dyDescent="0.2">
      <c r="A1631"/>
      <c r="B1631"/>
    </row>
    <row r="1632" spans="1:2" x14ac:dyDescent="0.2">
      <c r="A1632"/>
      <c r="B1632"/>
    </row>
    <row r="1633" spans="1:2" x14ac:dyDescent="0.2">
      <c r="A1633"/>
      <c r="B1633"/>
    </row>
    <row r="1634" spans="1:2" x14ac:dyDescent="0.2">
      <c r="A1634"/>
      <c r="B1634"/>
    </row>
    <row r="1635" spans="1:2" x14ac:dyDescent="0.2">
      <c r="A1635"/>
      <c r="B1635"/>
    </row>
    <row r="1636" spans="1:2" x14ac:dyDescent="0.2">
      <c r="A1636"/>
      <c r="B1636"/>
    </row>
    <row r="1637" spans="1:2" x14ac:dyDescent="0.2">
      <c r="A1637"/>
      <c r="B1637"/>
    </row>
    <row r="1638" spans="1:2" x14ac:dyDescent="0.2">
      <c r="A1638"/>
      <c r="B1638"/>
    </row>
    <row r="1639" spans="1:2" x14ac:dyDescent="0.2">
      <c r="A1639"/>
      <c r="B1639"/>
    </row>
    <row r="1640" spans="1:2" x14ac:dyDescent="0.2">
      <c r="A1640"/>
      <c r="B1640"/>
    </row>
    <row r="1641" spans="1:2" x14ac:dyDescent="0.2">
      <c r="A1641"/>
      <c r="B1641"/>
    </row>
    <row r="1642" spans="1:2" x14ac:dyDescent="0.2">
      <c r="A1642"/>
      <c r="B1642"/>
    </row>
    <row r="1643" spans="1:2" x14ac:dyDescent="0.2">
      <c r="A1643"/>
      <c r="B1643"/>
    </row>
    <row r="1644" spans="1:2" x14ac:dyDescent="0.2">
      <c r="A1644"/>
      <c r="B1644"/>
    </row>
    <row r="1645" spans="1:2" x14ac:dyDescent="0.2">
      <c r="A1645"/>
      <c r="B1645"/>
    </row>
    <row r="1646" spans="1:2" x14ac:dyDescent="0.2">
      <c r="A1646"/>
      <c r="B1646"/>
    </row>
    <row r="1647" spans="1:2" x14ac:dyDescent="0.2">
      <c r="A1647"/>
      <c r="B1647"/>
    </row>
    <row r="1648" spans="1:2" x14ac:dyDescent="0.2">
      <c r="A1648"/>
      <c r="B1648"/>
    </row>
    <row r="1649" spans="1:2" x14ac:dyDescent="0.2">
      <c r="A1649"/>
      <c r="B1649"/>
    </row>
    <row r="1650" spans="1:2" x14ac:dyDescent="0.2">
      <c r="A1650"/>
      <c r="B1650"/>
    </row>
    <row r="1651" spans="1:2" x14ac:dyDescent="0.2">
      <c r="A1651"/>
      <c r="B1651"/>
    </row>
    <row r="1652" spans="1:2" x14ac:dyDescent="0.2">
      <c r="A1652"/>
      <c r="B1652"/>
    </row>
    <row r="1653" spans="1:2" x14ac:dyDescent="0.2">
      <c r="A1653"/>
      <c r="B1653"/>
    </row>
    <row r="1654" spans="1:2" x14ac:dyDescent="0.2">
      <c r="A1654"/>
      <c r="B1654"/>
    </row>
    <row r="1655" spans="1:2" x14ac:dyDescent="0.2">
      <c r="A1655"/>
      <c r="B1655"/>
    </row>
    <row r="1656" spans="1:2" x14ac:dyDescent="0.2">
      <c r="A1656"/>
      <c r="B1656"/>
    </row>
    <row r="1657" spans="1:2" x14ac:dyDescent="0.2">
      <c r="A1657"/>
      <c r="B1657"/>
    </row>
    <row r="1658" spans="1:2" x14ac:dyDescent="0.2">
      <c r="A1658"/>
      <c r="B1658"/>
    </row>
    <row r="1659" spans="1:2" x14ac:dyDescent="0.2">
      <c r="A1659"/>
      <c r="B1659"/>
    </row>
    <row r="1660" spans="1:2" x14ac:dyDescent="0.2">
      <c r="A1660"/>
      <c r="B1660"/>
    </row>
    <row r="1661" spans="1:2" x14ac:dyDescent="0.2">
      <c r="A1661"/>
      <c r="B1661"/>
    </row>
    <row r="1662" spans="1:2" x14ac:dyDescent="0.2">
      <c r="A1662"/>
      <c r="B1662"/>
    </row>
    <row r="1663" spans="1:2" x14ac:dyDescent="0.2">
      <c r="A1663"/>
      <c r="B1663"/>
    </row>
    <row r="1664" spans="1:2" x14ac:dyDescent="0.2">
      <c r="A1664"/>
      <c r="B1664"/>
    </row>
    <row r="1665" spans="1:2" x14ac:dyDescent="0.2">
      <c r="A1665"/>
      <c r="B1665"/>
    </row>
    <row r="1666" spans="1:2" x14ac:dyDescent="0.2">
      <c r="A1666"/>
      <c r="B1666"/>
    </row>
    <row r="1667" spans="1:2" x14ac:dyDescent="0.2">
      <c r="A1667"/>
      <c r="B1667"/>
    </row>
    <row r="1668" spans="1:2" x14ac:dyDescent="0.2">
      <c r="A1668"/>
      <c r="B1668"/>
    </row>
    <row r="1669" spans="1:2" x14ac:dyDescent="0.2">
      <c r="A1669"/>
      <c r="B1669"/>
    </row>
    <row r="1670" spans="1:2" x14ac:dyDescent="0.2">
      <c r="A1670"/>
      <c r="B1670"/>
    </row>
    <row r="1671" spans="1:2" x14ac:dyDescent="0.2">
      <c r="A1671"/>
      <c r="B1671"/>
    </row>
    <row r="1672" spans="1:2" x14ac:dyDescent="0.2">
      <c r="A1672"/>
      <c r="B1672"/>
    </row>
    <row r="1673" spans="1:2" x14ac:dyDescent="0.2">
      <c r="A1673"/>
      <c r="B1673"/>
    </row>
    <row r="1674" spans="1:2" x14ac:dyDescent="0.2">
      <c r="A1674"/>
      <c r="B1674"/>
    </row>
    <row r="1675" spans="1:2" x14ac:dyDescent="0.2">
      <c r="A1675"/>
      <c r="B1675"/>
    </row>
    <row r="1676" spans="1:2" x14ac:dyDescent="0.2">
      <c r="A1676"/>
      <c r="B1676"/>
    </row>
    <row r="1677" spans="1:2" x14ac:dyDescent="0.2">
      <c r="A1677"/>
      <c r="B1677"/>
    </row>
    <row r="1678" spans="1:2" x14ac:dyDescent="0.2">
      <c r="A1678"/>
      <c r="B1678"/>
    </row>
    <row r="1679" spans="1:2" x14ac:dyDescent="0.2">
      <c r="A1679"/>
      <c r="B1679"/>
    </row>
    <row r="1680" spans="1:2" x14ac:dyDescent="0.2">
      <c r="A1680"/>
      <c r="B1680"/>
    </row>
    <row r="1681" spans="1:2" x14ac:dyDescent="0.2">
      <c r="A1681"/>
      <c r="B1681"/>
    </row>
    <row r="1682" spans="1:2" x14ac:dyDescent="0.2">
      <c r="A1682"/>
      <c r="B1682"/>
    </row>
    <row r="1683" spans="1:2" x14ac:dyDescent="0.2">
      <c r="A1683"/>
      <c r="B1683"/>
    </row>
    <row r="1684" spans="1:2" x14ac:dyDescent="0.2">
      <c r="A1684"/>
      <c r="B1684"/>
    </row>
    <row r="1685" spans="1:2" x14ac:dyDescent="0.2">
      <c r="A1685"/>
      <c r="B1685"/>
    </row>
    <row r="1686" spans="1:2" x14ac:dyDescent="0.2">
      <c r="A1686"/>
      <c r="B1686"/>
    </row>
    <row r="1687" spans="1:2" x14ac:dyDescent="0.2">
      <c r="A1687"/>
      <c r="B1687"/>
    </row>
    <row r="1688" spans="1:2" x14ac:dyDescent="0.2">
      <c r="A1688"/>
      <c r="B1688"/>
    </row>
    <row r="1689" spans="1:2" x14ac:dyDescent="0.2">
      <c r="A1689"/>
      <c r="B1689"/>
    </row>
    <row r="1690" spans="1:2" x14ac:dyDescent="0.2">
      <c r="A1690"/>
      <c r="B1690"/>
    </row>
    <row r="1691" spans="1:2" x14ac:dyDescent="0.2">
      <c r="A1691"/>
      <c r="B1691"/>
    </row>
    <row r="1692" spans="1:2" x14ac:dyDescent="0.2">
      <c r="A1692"/>
      <c r="B1692"/>
    </row>
    <row r="1693" spans="1:2" x14ac:dyDescent="0.2">
      <c r="A1693"/>
      <c r="B1693"/>
    </row>
    <row r="1694" spans="1:2" x14ac:dyDescent="0.2">
      <c r="A1694"/>
      <c r="B1694"/>
    </row>
    <row r="1695" spans="1:2" x14ac:dyDescent="0.2">
      <c r="A1695"/>
      <c r="B1695"/>
    </row>
    <row r="1696" spans="1:2" x14ac:dyDescent="0.2">
      <c r="A1696"/>
      <c r="B1696"/>
    </row>
    <row r="1697" spans="1:2" x14ac:dyDescent="0.2">
      <c r="A1697"/>
      <c r="B1697"/>
    </row>
    <row r="1698" spans="1:2" x14ac:dyDescent="0.2">
      <c r="A1698"/>
      <c r="B1698"/>
    </row>
    <row r="1699" spans="1:2" x14ac:dyDescent="0.2">
      <c r="A1699"/>
      <c r="B1699"/>
    </row>
    <row r="1700" spans="1:2" x14ac:dyDescent="0.2">
      <c r="A1700"/>
      <c r="B1700"/>
    </row>
    <row r="1701" spans="1:2" x14ac:dyDescent="0.2">
      <c r="A1701"/>
      <c r="B1701"/>
    </row>
    <row r="1702" spans="1:2" x14ac:dyDescent="0.2">
      <c r="A1702"/>
      <c r="B1702"/>
    </row>
    <row r="1703" spans="1:2" x14ac:dyDescent="0.2">
      <c r="A1703"/>
      <c r="B1703"/>
    </row>
    <row r="1704" spans="1:2" x14ac:dyDescent="0.2">
      <c r="A1704"/>
      <c r="B1704"/>
    </row>
    <row r="1705" spans="1:2" x14ac:dyDescent="0.2">
      <c r="A1705"/>
      <c r="B1705"/>
    </row>
    <row r="1706" spans="1:2" x14ac:dyDescent="0.2">
      <c r="A1706"/>
      <c r="B1706"/>
    </row>
    <row r="1707" spans="1:2" x14ac:dyDescent="0.2">
      <c r="A1707"/>
      <c r="B1707"/>
    </row>
    <row r="1708" spans="1:2" x14ac:dyDescent="0.2">
      <c r="A1708"/>
      <c r="B1708"/>
    </row>
    <row r="1709" spans="1:2" x14ac:dyDescent="0.2">
      <c r="A1709"/>
      <c r="B1709"/>
    </row>
    <row r="1710" spans="1:2" x14ac:dyDescent="0.2">
      <c r="A1710"/>
      <c r="B1710"/>
    </row>
    <row r="1711" spans="1:2" x14ac:dyDescent="0.2">
      <c r="A1711"/>
      <c r="B1711"/>
    </row>
    <row r="1712" spans="1:2" x14ac:dyDescent="0.2">
      <c r="A1712"/>
      <c r="B1712"/>
    </row>
    <row r="1713" spans="1:2" x14ac:dyDescent="0.2">
      <c r="A1713"/>
      <c r="B1713"/>
    </row>
    <row r="1714" spans="1:2" x14ac:dyDescent="0.2">
      <c r="A1714"/>
      <c r="B1714"/>
    </row>
    <row r="1715" spans="1:2" x14ac:dyDescent="0.2">
      <c r="A1715"/>
      <c r="B1715"/>
    </row>
    <row r="1716" spans="1:2" x14ac:dyDescent="0.2">
      <c r="A1716"/>
      <c r="B1716"/>
    </row>
    <row r="1717" spans="1:2" x14ac:dyDescent="0.2">
      <c r="A1717"/>
      <c r="B1717"/>
    </row>
    <row r="1718" spans="1:2" x14ac:dyDescent="0.2">
      <c r="A1718"/>
      <c r="B1718"/>
    </row>
    <row r="1719" spans="1:2" x14ac:dyDescent="0.2">
      <c r="A1719"/>
      <c r="B1719"/>
    </row>
    <row r="1720" spans="1:2" x14ac:dyDescent="0.2">
      <c r="A1720"/>
      <c r="B1720"/>
    </row>
    <row r="1721" spans="1:2" x14ac:dyDescent="0.2">
      <c r="A1721"/>
      <c r="B1721"/>
    </row>
    <row r="1722" spans="1:2" x14ac:dyDescent="0.2">
      <c r="A1722"/>
      <c r="B1722"/>
    </row>
    <row r="1723" spans="1:2" x14ac:dyDescent="0.2">
      <c r="A1723"/>
      <c r="B1723"/>
    </row>
    <row r="1724" spans="1:2" x14ac:dyDescent="0.2">
      <c r="A1724"/>
      <c r="B1724"/>
    </row>
    <row r="1725" spans="1:2" x14ac:dyDescent="0.2">
      <c r="A1725"/>
      <c r="B1725"/>
    </row>
    <row r="1726" spans="1:2" x14ac:dyDescent="0.2">
      <c r="A1726"/>
      <c r="B1726"/>
    </row>
    <row r="1727" spans="1:2" x14ac:dyDescent="0.2">
      <c r="A1727"/>
      <c r="B1727"/>
    </row>
    <row r="1728" spans="1:2" x14ac:dyDescent="0.2">
      <c r="A1728"/>
      <c r="B1728"/>
    </row>
    <row r="1729" spans="1:2" x14ac:dyDescent="0.2">
      <c r="A1729"/>
      <c r="B1729"/>
    </row>
    <row r="1730" spans="1:2" x14ac:dyDescent="0.2">
      <c r="A1730"/>
      <c r="B1730"/>
    </row>
    <row r="1731" spans="1:2" x14ac:dyDescent="0.2">
      <c r="A1731"/>
      <c r="B1731"/>
    </row>
    <row r="1732" spans="1:2" x14ac:dyDescent="0.2">
      <c r="A1732"/>
      <c r="B1732"/>
    </row>
    <row r="1733" spans="1:2" x14ac:dyDescent="0.2">
      <c r="A1733"/>
      <c r="B1733"/>
    </row>
    <row r="1734" spans="1:2" x14ac:dyDescent="0.2">
      <c r="A1734"/>
      <c r="B1734"/>
    </row>
    <row r="1735" spans="1:2" x14ac:dyDescent="0.2">
      <c r="A1735"/>
      <c r="B1735"/>
    </row>
    <row r="1736" spans="1:2" x14ac:dyDescent="0.2">
      <c r="A1736"/>
      <c r="B1736"/>
    </row>
    <row r="1737" spans="1:2" x14ac:dyDescent="0.2">
      <c r="A1737"/>
      <c r="B1737"/>
    </row>
    <row r="1738" spans="1:2" x14ac:dyDescent="0.2">
      <c r="A1738"/>
      <c r="B1738"/>
    </row>
    <row r="1739" spans="1:2" x14ac:dyDescent="0.2">
      <c r="A1739"/>
      <c r="B1739"/>
    </row>
    <row r="1740" spans="1:2" x14ac:dyDescent="0.2">
      <c r="A1740"/>
      <c r="B1740"/>
    </row>
    <row r="1741" spans="1:2" x14ac:dyDescent="0.2">
      <c r="A1741"/>
      <c r="B1741"/>
    </row>
    <row r="1742" spans="1:2" x14ac:dyDescent="0.2">
      <c r="A1742"/>
      <c r="B1742"/>
    </row>
    <row r="1743" spans="1:2" x14ac:dyDescent="0.2">
      <c r="A1743"/>
      <c r="B1743"/>
    </row>
    <row r="1744" spans="1:2" x14ac:dyDescent="0.2">
      <c r="A1744"/>
      <c r="B1744"/>
    </row>
    <row r="1745" spans="1:2" x14ac:dyDescent="0.2">
      <c r="A1745"/>
      <c r="B1745"/>
    </row>
    <row r="1746" spans="1:2" x14ac:dyDescent="0.2">
      <c r="A1746"/>
      <c r="B1746"/>
    </row>
    <row r="1747" spans="1:2" x14ac:dyDescent="0.2">
      <c r="A1747"/>
      <c r="B1747"/>
    </row>
    <row r="1748" spans="1:2" x14ac:dyDescent="0.2">
      <c r="A1748"/>
      <c r="B1748"/>
    </row>
    <row r="1749" spans="1:2" x14ac:dyDescent="0.2">
      <c r="A1749"/>
      <c r="B1749"/>
    </row>
    <row r="1750" spans="1:2" x14ac:dyDescent="0.2">
      <c r="A1750"/>
      <c r="B1750"/>
    </row>
    <row r="1751" spans="1:2" x14ac:dyDescent="0.2">
      <c r="A1751"/>
      <c r="B1751"/>
    </row>
    <row r="1752" spans="1:2" x14ac:dyDescent="0.2">
      <c r="A1752"/>
      <c r="B1752"/>
    </row>
    <row r="1753" spans="1:2" x14ac:dyDescent="0.2">
      <c r="A1753"/>
      <c r="B1753"/>
    </row>
    <row r="1754" spans="1:2" x14ac:dyDescent="0.2">
      <c r="A1754"/>
      <c r="B1754"/>
    </row>
    <row r="1755" spans="1:2" x14ac:dyDescent="0.2">
      <c r="A1755"/>
      <c r="B1755"/>
    </row>
    <row r="1756" spans="1:2" x14ac:dyDescent="0.2">
      <c r="A1756"/>
      <c r="B1756"/>
    </row>
    <row r="1757" spans="1:2" x14ac:dyDescent="0.2">
      <c r="A1757"/>
      <c r="B1757"/>
    </row>
    <row r="1758" spans="1:2" x14ac:dyDescent="0.2">
      <c r="A1758"/>
      <c r="B1758"/>
    </row>
    <row r="1759" spans="1:2" x14ac:dyDescent="0.2">
      <c r="A1759"/>
      <c r="B1759"/>
    </row>
    <row r="1760" spans="1:2" x14ac:dyDescent="0.2">
      <c r="A1760"/>
      <c r="B1760"/>
    </row>
    <row r="1761" spans="1:2" x14ac:dyDescent="0.2">
      <c r="A1761"/>
      <c r="B1761"/>
    </row>
    <row r="1762" spans="1:2" x14ac:dyDescent="0.2">
      <c r="A1762"/>
      <c r="B1762"/>
    </row>
    <row r="1763" spans="1:2" x14ac:dyDescent="0.2">
      <c r="A1763"/>
      <c r="B1763"/>
    </row>
    <row r="1764" spans="1:2" x14ac:dyDescent="0.2">
      <c r="A1764"/>
      <c r="B1764"/>
    </row>
    <row r="1765" spans="1:2" x14ac:dyDescent="0.2">
      <c r="A1765"/>
      <c r="B1765"/>
    </row>
    <row r="1766" spans="1:2" x14ac:dyDescent="0.2">
      <c r="A1766"/>
      <c r="B1766"/>
    </row>
    <row r="1767" spans="1:2" x14ac:dyDescent="0.2">
      <c r="A1767"/>
      <c r="B1767"/>
    </row>
    <row r="1768" spans="1:2" x14ac:dyDescent="0.2">
      <c r="A1768"/>
      <c r="B1768"/>
    </row>
    <row r="1769" spans="1:2" x14ac:dyDescent="0.2">
      <c r="A1769"/>
      <c r="B1769"/>
    </row>
    <row r="1770" spans="1:2" x14ac:dyDescent="0.2">
      <c r="A1770"/>
      <c r="B1770"/>
    </row>
    <row r="1771" spans="1:2" x14ac:dyDescent="0.2">
      <c r="A1771"/>
      <c r="B1771"/>
    </row>
    <row r="1772" spans="1:2" x14ac:dyDescent="0.2">
      <c r="A1772"/>
      <c r="B1772"/>
    </row>
    <row r="1773" spans="1:2" x14ac:dyDescent="0.2">
      <c r="A1773"/>
      <c r="B1773"/>
    </row>
    <row r="1774" spans="1:2" x14ac:dyDescent="0.2">
      <c r="A1774"/>
      <c r="B1774"/>
    </row>
    <row r="1775" spans="1:2" x14ac:dyDescent="0.2">
      <c r="A1775"/>
      <c r="B1775"/>
    </row>
    <row r="1776" spans="1:2" x14ac:dyDescent="0.2">
      <c r="A1776"/>
      <c r="B1776"/>
    </row>
    <row r="1777" spans="1:2" x14ac:dyDescent="0.2">
      <c r="A1777"/>
      <c r="B1777"/>
    </row>
    <row r="1778" spans="1:2" x14ac:dyDescent="0.2">
      <c r="A1778"/>
      <c r="B1778"/>
    </row>
    <row r="1779" spans="1:2" x14ac:dyDescent="0.2">
      <c r="A1779"/>
      <c r="B1779"/>
    </row>
    <row r="1780" spans="1:2" x14ac:dyDescent="0.2">
      <c r="A1780"/>
      <c r="B1780"/>
    </row>
    <row r="1781" spans="1:2" x14ac:dyDescent="0.2">
      <c r="A1781"/>
      <c r="B1781"/>
    </row>
    <row r="1782" spans="1:2" x14ac:dyDescent="0.2">
      <c r="A1782"/>
      <c r="B1782"/>
    </row>
    <row r="1783" spans="1:2" x14ac:dyDescent="0.2">
      <c r="A1783"/>
      <c r="B1783"/>
    </row>
    <row r="1784" spans="1:2" x14ac:dyDescent="0.2">
      <c r="A1784"/>
      <c r="B1784"/>
    </row>
    <row r="1785" spans="1:2" x14ac:dyDescent="0.2">
      <c r="A1785"/>
      <c r="B1785"/>
    </row>
    <row r="1786" spans="1:2" x14ac:dyDescent="0.2">
      <c r="A1786"/>
      <c r="B1786"/>
    </row>
    <row r="1787" spans="1:2" x14ac:dyDescent="0.2">
      <c r="A1787"/>
      <c r="B1787"/>
    </row>
    <row r="1788" spans="1:2" x14ac:dyDescent="0.2">
      <c r="A1788"/>
      <c r="B1788"/>
    </row>
    <row r="1789" spans="1:2" x14ac:dyDescent="0.2">
      <c r="A1789"/>
      <c r="B1789"/>
    </row>
    <row r="1790" spans="1:2" x14ac:dyDescent="0.2">
      <c r="A1790"/>
      <c r="B1790"/>
    </row>
    <row r="1791" spans="1:2" x14ac:dyDescent="0.2">
      <c r="A1791"/>
      <c r="B1791"/>
    </row>
    <row r="1792" spans="1:2" x14ac:dyDescent="0.2">
      <c r="A1792"/>
      <c r="B1792"/>
    </row>
    <row r="1793" spans="1:2" x14ac:dyDescent="0.2">
      <c r="A1793"/>
      <c r="B1793"/>
    </row>
    <row r="1794" spans="1:2" x14ac:dyDescent="0.2">
      <c r="A1794"/>
      <c r="B1794"/>
    </row>
    <row r="1795" spans="1:2" x14ac:dyDescent="0.2">
      <c r="A1795"/>
      <c r="B1795"/>
    </row>
    <row r="1796" spans="1:2" x14ac:dyDescent="0.2">
      <c r="A1796"/>
      <c r="B1796"/>
    </row>
    <row r="1797" spans="1:2" x14ac:dyDescent="0.2">
      <c r="A1797"/>
      <c r="B1797"/>
    </row>
    <row r="1798" spans="1:2" x14ac:dyDescent="0.2">
      <c r="A1798"/>
      <c r="B1798"/>
    </row>
    <row r="1799" spans="1:2" x14ac:dyDescent="0.2">
      <c r="A1799"/>
      <c r="B1799"/>
    </row>
    <row r="1800" spans="1:2" x14ac:dyDescent="0.2">
      <c r="A1800"/>
      <c r="B1800"/>
    </row>
    <row r="1801" spans="1:2" x14ac:dyDescent="0.2">
      <c r="A1801"/>
      <c r="B1801"/>
    </row>
    <row r="1802" spans="1:2" x14ac:dyDescent="0.2">
      <c r="A1802"/>
      <c r="B1802"/>
    </row>
    <row r="1803" spans="1:2" x14ac:dyDescent="0.2">
      <c r="A1803"/>
      <c r="B1803"/>
    </row>
    <row r="1804" spans="1:2" x14ac:dyDescent="0.2">
      <c r="A1804"/>
      <c r="B1804"/>
    </row>
    <row r="1805" spans="1:2" x14ac:dyDescent="0.2">
      <c r="A1805"/>
      <c r="B1805"/>
    </row>
    <row r="1806" spans="1:2" x14ac:dyDescent="0.2">
      <c r="A1806"/>
      <c r="B1806"/>
    </row>
    <row r="1807" spans="1:2" x14ac:dyDescent="0.2">
      <c r="A1807"/>
      <c r="B1807"/>
    </row>
    <row r="1808" spans="1:2" x14ac:dyDescent="0.2">
      <c r="A1808"/>
      <c r="B1808"/>
    </row>
    <row r="1809" spans="1:2" x14ac:dyDescent="0.2">
      <c r="A1809"/>
      <c r="B1809"/>
    </row>
    <row r="1810" spans="1:2" x14ac:dyDescent="0.2">
      <c r="A1810"/>
      <c r="B1810"/>
    </row>
    <row r="1811" spans="1:2" x14ac:dyDescent="0.2">
      <c r="A1811"/>
      <c r="B1811"/>
    </row>
    <row r="1812" spans="1:2" x14ac:dyDescent="0.2">
      <c r="A1812"/>
      <c r="B1812"/>
    </row>
    <row r="1813" spans="1:2" x14ac:dyDescent="0.2">
      <c r="A1813"/>
      <c r="B1813"/>
    </row>
    <row r="1814" spans="1:2" x14ac:dyDescent="0.2">
      <c r="A1814"/>
      <c r="B1814"/>
    </row>
    <row r="1815" spans="1:2" x14ac:dyDescent="0.2">
      <c r="A1815"/>
      <c r="B1815"/>
    </row>
    <row r="1816" spans="1:2" x14ac:dyDescent="0.2">
      <c r="A1816"/>
      <c r="B1816"/>
    </row>
    <row r="1817" spans="1:2" x14ac:dyDescent="0.2">
      <c r="A1817"/>
      <c r="B1817"/>
    </row>
    <row r="1818" spans="1:2" x14ac:dyDescent="0.2">
      <c r="A1818"/>
      <c r="B1818"/>
    </row>
    <row r="1819" spans="1:2" x14ac:dyDescent="0.2">
      <c r="A1819"/>
      <c r="B1819"/>
    </row>
    <row r="1820" spans="1:2" x14ac:dyDescent="0.2">
      <c r="A1820"/>
      <c r="B1820"/>
    </row>
    <row r="1821" spans="1:2" x14ac:dyDescent="0.2">
      <c r="A1821"/>
      <c r="B1821"/>
    </row>
    <row r="1822" spans="1:2" x14ac:dyDescent="0.2">
      <c r="A1822"/>
      <c r="B1822"/>
    </row>
    <row r="1823" spans="1:2" x14ac:dyDescent="0.2">
      <c r="A1823"/>
      <c r="B1823"/>
    </row>
    <row r="1824" spans="1:2" x14ac:dyDescent="0.2">
      <c r="A1824"/>
      <c r="B1824"/>
    </row>
    <row r="1825" spans="1:2" x14ac:dyDescent="0.2">
      <c r="A1825"/>
      <c r="B1825"/>
    </row>
    <row r="1826" spans="1:2" x14ac:dyDescent="0.2">
      <c r="A1826"/>
      <c r="B1826"/>
    </row>
    <row r="1827" spans="1:2" x14ac:dyDescent="0.2">
      <c r="A1827"/>
      <c r="B1827"/>
    </row>
    <row r="1828" spans="1:2" x14ac:dyDescent="0.2">
      <c r="A1828"/>
      <c r="B1828"/>
    </row>
    <row r="1829" spans="1:2" x14ac:dyDescent="0.2">
      <c r="A1829"/>
      <c r="B1829"/>
    </row>
    <row r="1830" spans="1:2" x14ac:dyDescent="0.2">
      <c r="A1830"/>
      <c r="B1830"/>
    </row>
    <row r="1831" spans="1:2" x14ac:dyDescent="0.2">
      <c r="A1831"/>
      <c r="B1831"/>
    </row>
    <row r="1832" spans="1:2" x14ac:dyDescent="0.2">
      <c r="A1832"/>
      <c r="B1832"/>
    </row>
    <row r="1833" spans="1:2" x14ac:dyDescent="0.2">
      <c r="A1833"/>
      <c r="B1833"/>
    </row>
    <row r="1834" spans="1:2" x14ac:dyDescent="0.2">
      <c r="A1834"/>
      <c r="B1834"/>
    </row>
    <row r="1835" spans="1:2" x14ac:dyDescent="0.2">
      <c r="A1835"/>
      <c r="B1835"/>
    </row>
    <row r="1836" spans="1:2" x14ac:dyDescent="0.2">
      <c r="A1836"/>
      <c r="B1836"/>
    </row>
    <row r="1837" spans="1:2" x14ac:dyDescent="0.2">
      <c r="A1837"/>
      <c r="B1837"/>
    </row>
    <row r="1838" spans="1:2" x14ac:dyDescent="0.2">
      <c r="A1838"/>
      <c r="B1838"/>
    </row>
    <row r="1839" spans="1:2" x14ac:dyDescent="0.2">
      <c r="A1839"/>
      <c r="B1839"/>
    </row>
    <row r="1840" spans="1:2" x14ac:dyDescent="0.2">
      <c r="A1840"/>
      <c r="B1840"/>
    </row>
    <row r="1841" spans="1:2" x14ac:dyDescent="0.2">
      <c r="A1841"/>
      <c r="B1841"/>
    </row>
    <row r="1842" spans="1:2" x14ac:dyDescent="0.2">
      <c r="A1842"/>
      <c r="B1842"/>
    </row>
    <row r="1843" spans="1:2" x14ac:dyDescent="0.2">
      <c r="A1843"/>
      <c r="B1843"/>
    </row>
    <row r="1844" spans="1:2" x14ac:dyDescent="0.2">
      <c r="A1844"/>
      <c r="B1844"/>
    </row>
    <row r="1845" spans="1:2" x14ac:dyDescent="0.2">
      <c r="A1845"/>
      <c r="B1845"/>
    </row>
    <row r="1846" spans="1:2" x14ac:dyDescent="0.2">
      <c r="A1846"/>
      <c r="B1846"/>
    </row>
    <row r="1847" spans="1:2" x14ac:dyDescent="0.2">
      <c r="A1847"/>
      <c r="B1847"/>
    </row>
    <row r="1848" spans="1:2" x14ac:dyDescent="0.2">
      <c r="A1848"/>
      <c r="B1848"/>
    </row>
    <row r="1849" spans="1:2" x14ac:dyDescent="0.2">
      <c r="A1849"/>
      <c r="B1849"/>
    </row>
    <row r="1850" spans="1:2" x14ac:dyDescent="0.2">
      <c r="A1850"/>
      <c r="B1850"/>
    </row>
    <row r="1851" spans="1:2" x14ac:dyDescent="0.2">
      <c r="A1851"/>
      <c r="B1851"/>
    </row>
    <row r="1852" spans="1:2" x14ac:dyDescent="0.2">
      <c r="A1852"/>
      <c r="B1852"/>
    </row>
    <row r="1853" spans="1:2" x14ac:dyDescent="0.2">
      <c r="A1853"/>
      <c r="B1853"/>
    </row>
    <row r="1854" spans="1:2" x14ac:dyDescent="0.2">
      <c r="A1854"/>
      <c r="B1854"/>
    </row>
    <row r="1855" spans="1:2" x14ac:dyDescent="0.2">
      <c r="A1855"/>
      <c r="B1855"/>
    </row>
    <row r="1856" spans="1:2" x14ac:dyDescent="0.2">
      <c r="A1856"/>
      <c r="B1856"/>
    </row>
    <row r="1857" spans="1:2" x14ac:dyDescent="0.2">
      <c r="A1857"/>
      <c r="B1857"/>
    </row>
    <row r="1858" spans="1:2" x14ac:dyDescent="0.2">
      <c r="A1858"/>
      <c r="B1858"/>
    </row>
    <row r="1859" spans="1:2" x14ac:dyDescent="0.2">
      <c r="A1859"/>
      <c r="B1859"/>
    </row>
    <row r="1860" spans="1:2" x14ac:dyDescent="0.2">
      <c r="A1860"/>
      <c r="B1860"/>
    </row>
    <row r="1861" spans="1:2" x14ac:dyDescent="0.2">
      <c r="A1861"/>
      <c r="B1861"/>
    </row>
    <row r="1862" spans="1:2" x14ac:dyDescent="0.2">
      <c r="A1862"/>
      <c r="B1862"/>
    </row>
    <row r="1863" spans="1:2" x14ac:dyDescent="0.2">
      <c r="A1863"/>
      <c r="B1863"/>
    </row>
    <row r="1864" spans="1:2" x14ac:dyDescent="0.2">
      <c r="A1864"/>
      <c r="B1864"/>
    </row>
    <row r="1865" spans="1:2" x14ac:dyDescent="0.2">
      <c r="A1865"/>
      <c r="B1865"/>
    </row>
    <row r="1866" spans="1:2" x14ac:dyDescent="0.2">
      <c r="A1866"/>
      <c r="B1866"/>
    </row>
    <row r="1867" spans="1:2" x14ac:dyDescent="0.2">
      <c r="A1867"/>
      <c r="B1867"/>
    </row>
    <row r="1868" spans="1:2" x14ac:dyDescent="0.2">
      <c r="A1868"/>
      <c r="B1868"/>
    </row>
    <row r="1869" spans="1:2" x14ac:dyDescent="0.2">
      <c r="A1869"/>
      <c r="B1869"/>
    </row>
    <row r="1870" spans="1:2" x14ac:dyDescent="0.2">
      <c r="A1870"/>
      <c r="B1870"/>
    </row>
    <row r="1871" spans="1:2" x14ac:dyDescent="0.2">
      <c r="A1871"/>
      <c r="B1871"/>
    </row>
    <row r="1872" spans="1:2" x14ac:dyDescent="0.2">
      <c r="A1872"/>
      <c r="B1872"/>
    </row>
    <row r="1873" spans="1:2" x14ac:dyDescent="0.2">
      <c r="A1873"/>
      <c r="B1873"/>
    </row>
    <row r="1874" spans="1:2" x14ac:dyDescent="0.2">
      <c r="A1874"/>
      <c r="B1874"/>
    </row>
    <row r="1875" spans="1:2" x14ac:dyDescent="0.2">
      <c r="A1875"/>
      <c r="B1875"/>
    </row>
    <row r="1876" spans="1:2" x14ac:dyDescent="0.2">
      <c r="A1876"/>
      <c r="B1876"/>
    </row>
    <row r="1877" spans="1:2" x14ac:dyDescent="0.2">
      <c r="A1877"/>
      <c r="B1877"/>
    </row>
    <row r="1878" spans="1:2" x14ac:dyDescent="0.2">
      <c r="A1878"/>
      <c r="B1878"/>
    </row>
    <row r="1879" spans="1:2" x14ac:dyDescent="0.2">
      <c r="A1879"/>
      <c r="B1879"/>
    </row>
    <row r="1880" spans="1:2" x14ac:dyDescent="0.2">
      <c r="A1880"/>
      <c r="B1880"/>
    </row>
    <row r="1881" spans="1:2" x14ac:dyDescent="0.2">
      <c r="A1881"/>
      <c r="B1881"/>
    </row>
    <row r="1882" spans="1:2" x14ac:dyDescent="0.2">
      <c r="A1882"/>
      <c r="B1882"/>
    </row>
    <row r="1883" spans="1:2" x14ac:dyDescent="0.2">
      <c r="A1883"/>
      <c r="B1883"/>
    </row>
    <row r="1884" spans="1:2" x14ac:dyDescent="0.2">
      <c r="A1884"/>
      <c r="B1884"/>
    </row>
    <row r="1885" spans="1:2" x14ac:dyDescent="0.2">
      <c r="A1885"/>
      <c r="B1885"/>
    </row>
    <row r="1886" spans="1:2" x14ac:dyDescent="0.2">
      <c r="A1886"/>
      <c r="B1886"/>
    </row>
    <row r="1887" spans="1:2" x14ac:dyDescent="0.2">
      <c r="A1887"/>
      <c r="B1887"/>
    </row>
    <row r="1888" spans="1:2" x14ac:dyDescent="0.2">
      <c r="A1888"/>
      <c r="B1888"/>
    </row>
    <row r="1889" spans="1:2" x14ac:dyDescent="0.2">
      <c r="A1889"/>
      <c r="B1889"/>
    </row>
    <row r="1890" spans="1:2" x14ac:dyDescent="0.2">
      <c r="A1890"/>
      <c r="B1890"/>
    </row>
    <row r="1891" spans="1:2" x14ac:dyDescent="0.2">
      <c r="A1891"/>
      <c r="B1891"/>
    </row>
    <row r="1892" spans="1:2" x14ac:dyDescent="0.2">
      <c r="A1892"/>
      <c r="B1892"/>
    </row>
    <row r="1893" spans="1:2" x14ac:dyDescent="0.2">
      <c r="A1893"/>
      <c r="B1893"/>
    </row>
    <row r="1894" spans="1:2" x14ac:dyDescent="0.2">
      <c r="A1894"/>
      <c r="B1894"/>
    </row>
    <row r="1895" spans="1:2" x14ac:dyDescent="0.2">
      <c r="A1895"/>
      <c r="B1895"/>
    </row>
    <row r="1896" spans="1:2" x14ac:dyDescent="0.2">
      <c r="A1896"/>
      <c r="B1896"/>
    </row>
    <row r="1897" spans="1:2" x14ac:dyDescent="0.2">
      <c r="A1897"/>
      <c r="B1897"/>
    </row>
    <row r="1898" spans="1:2" x14ac:dyDescent="0.2">
      <c r="A1898"/>
      <c r="B1898"/>
    </row>
    <row r="1899" spans="1:2" x14ac:dyDescent="0.2">
      <c r="A1899"/>
      <c r="B1899"/>
    </row>
    <row r="1900" spans="1:2" x14ac:dyDescent="0.2">
      <c r="A1900"/>
      <c r="B1900"/>
    </row>
    <row r="1901" spans="1:2" x14ac:dyDescent="0.2">
      <c r="A1901"/>
      <c r="B1901"/>
    </row>
    <row r="1902" spans="1:2" x14ac:dyDescent="0.2">
      <c r="A1902"/>
      <c r="B1902"/>
    </row>
    <row r="1903" spans="1:2" x14ac:dyDescent="0.2">
      <c r="A1903"/>
      <c r="B1903"/>
    </row>
    <row r="1904" spans="1:2" x14ac:dyDescent="0.2">
      <c r="A1904"/>
      <c r="B1904"/>
    </row>
    <row r="1905" spans="1:2" x14ac:dyDescent="0.2">
      <c r="A1905"/>
      <c r="B1905"/>
    </row>
    <row r="1906" spans="1:2" x14ac:dyDescent="0.2">
      <c r="A1906"/>
      <c r="B1906"/>
    </row>
    <row r="1907" spans="1:2" x14ac:dyDescent="0.2">
      <c r="A1907"/>
      <c r="B1907"/>
    </row>
    <row r="1908" spans="1:2" x14ac:dyDescent="0.2">
      <c r="A1908"/>
      <c r="B1908"/>
    </row>
    <row r="1909" spans="1:2" x14ac:dyDescent="0.2">
      <c r="A1909"/>
      <c r="B1909"/>
    </row>
    <row r="1910" spans="1:2" x14ac:dyDescent="0.2">
      <c r="A1910"/>
      <c r="B1910"/>
    </row>
    <row r="1911" spans="1:2" x14ac:dyDescent="0.2">
      <c r="A1911"/>
      <c r="B1911"/>
    </row>
    <row r="1912" spans="1:2" x14ac:dyDescent="0.2">
      <c r="A1912"/>
      <c r="B1912"/>
    </row>
    <row r="1913" spans="1:2" x14ac:dyDescent="0.2">
      <c r="A1913"/>
      <c r="B1913"/>
    </row>
    <row r="1914" spans="1:2" x14ac:dyDescent="0.2">
      <c r="A1914"/>
      <c r="B1914"/>
    </row>
    <row r="1915" spans="1:2" x14ac:dyDescent="0.2">
      <c r="A1915"/>
      <c r="B1915"/>
    </row>
    <row r="1916" spans="1:2" x14ac:dyDescent="0.2">
      <c r="A1916"/>
      <c r="B1916"/>
    </row>
    <row r="1917" spans="1:2" x14ac:dyDescent="0.2">
      <c r="A1917"/>
      <c r="B1917"/>
    </row>
    <row r="1918" spans="1:2" x14ac:dyDescent="0.2">
      <c r="A1918"/>
      <c r="B1918"/>
    </row>
    <row r="1919" spans="1:2" x14ac:dyDescent="0.2">
      <c r="A1919"/>
      <c r="B1919"/>
    </row>
    <row r="1920" spans="1:2" x14ac:dyDescent="0.2">
      <c r="A1920"/>
      <c r="B1920"/>
    </row>
    <row r="1921" spans="1:2" x14ac:dyDescent="0.2">
      <c r="A1921"/>
      <c r="B1921"/>
    </row>
    <row r="1922" spans="1:2" x14ac:dyDescent="0.2">
      <c r="A1922"/>
      <c r="B1922"/>
    </row>
    <row r="1923" spans="1:2" x14ac:dyDescent="0.2">
      <c r="A1923"/>
      <c r="B1923"/>
    </row>
    <row r="1924" spans="1:2" x14ac:dyDescent="0.2">
      <c r="A1924"/>
      <c r="B1924"/>
    </row>
    <row r="1925" spans="1:2" x14ac:dyDescent="0.2">
      <c r="A1925"/>
      <c r="B1925"/>
    </row>
    <row r="1926" spans="1:2" x14ac:dyDescent="0.2">
      <c r="A1926"/>
      <c r="B1926"/>
    </row>
    <row r="1927" spans="1:2" x14ac:dyDescent="0.2">
      <c r="A1927"/>
      <c r="B1927"/>
    </row>
    <row r="1928" spans="1:2" x14ac:dyDescent="0.2">
      <c r="A1928"/>
      <c r="B1928"/>
    </row>
    <row r="1929" spans="1:2" x14ac:dyDescent="0.2">
      <c r="A1929"/>
      <c r="B1929"/>
    </row>
    <row r="1930" spans="1:2" x14ac:dyDescent="0.2">
      <c r="A1930"/>
      <c r="B1930"/>
    </row>
    <row r="1931" spans="1:2" x14ac:dyDescent="0.2">
      <c r="A1931"/>
      <c r="B1931"/>
    </row>
    <row r="1932" spans="1:2" x14ac:dyDescent="0.2">
      <c r="A1932"/>
      <c r="B1932"/>
    </row>
    <row r="1933" spans="1:2" x14ac:dyDescent="0.2">
      <c r="A1933"/>
      <c r="B1933"/>
    </row>
    <row r="1934" spans="1:2" x14ac:dyDescent="0.2">
      <c r="A1934"/>
      <c r="B1934"/>
    </row>
    <row r="1935" spans="1:2" x14ac:dyDescent="0.2">
      <c r="A1935"/>
      <c r="B1935"/>
    </row>
    <row r="1936" spans="1:2" x14ac:dyDescent="0.2">
      <c r="A1936"/>
      <c r="B1936"/>
    </row>
    <row r="1937" spans="1:2" x14ac:dyDescent="0.2">
      <c r="A1937"/>
      <c r="B1937"/>
    </row>
    <row r="1938" spans="1:2" x14ac:dyDescent="0.2">
      <c r="A1938"/>
      <c r="B1938"/>
    </row>
    <row r="1939" spans="1:2" x14ac:dyDescent="0.2">
      <c r="A1939"/>
      <c r="B1939"/>
    </row>
    <row r="1940" spans="1:2" x14ac:dyDescent="0.2">
      <c r="A1940"/>
      <c r="B1940"/>
    </row>
    <row r="1941" spans="1:2" x14ac:dyDescent="0.2">
      <c r="A1941"/>
      <c r="B1941"/>
    </row>
    <row r="1942" spans="1:2" x14ac:dyDescent="0.2">
      <c r="A1942"/>
      <c r="B1942"/>
    </row>
    <row r="1943" spans="1:2" x14ac:dyDescent="0.2">
      <c r="A1943"/>
      <c r="B1943"/>
    </row>
    <row r="1944" spans="1:2" x14ac:dyDescent="0.2">
      <c r="A1944"/>
      <c r="B1944"/>
    </row>
    <row r="1945" spans="1:2" x14ac:dyDescent="0.2">
      <c r="A1945"/>
      <c r="B1945"/>
    </row>
    <row r="1946" spans="1:2" x14ac:dyDescent="0.2">
      <c r="A1946"/>
      <c r="B1946"/>
    </row>
    <row r="1947" spans="1:2" x14ac:dyDescent="0.2">
      <c r="A1947"/>
      <c r="B1947"/>
    </row>
    <row r="1948" spans="1:2" x14ac:dyDescent="0.2">
      <c r="A1948"/>
      <c r="B1948"/>
    </row>
    <row r="1949" spans="1:2" x14ac:dyDescent="0.2">
      <c r="A1949"/>
      <c r="B1949"/>
    </row>
    <row r="1950" spans="1:2" x14ac:dyDescent="0.2">
      <c r="A1950"/>
      <c r="B1950"/>
    </row>
    <row r="1951" spans="1:2" x14ac:dyDescent="0.2">
      <c r="A1951"/>
      <c r="B1951"/>
    </row>
    <row r="1952" spans="1:2" x14ac:dyDescent="0.2">
      <c r="A1952"/>
      <c r="B1952"/>
    </row>
    <row r="1953" spans="1:2" x14ac:dyDescent="0.2">
      <c r="A1953"/>
      <c r="B1953"/>
    </row>
    <row r="1954" spans="1:2" x14ac:dyDescent="0.2">
      <c r="A1954"/>
      <c r="B1954"/>
    </row>
    <row r="1955" spans="1:2" x14ac:dyDescent="0.2">
      <c r="A1955"/>
      <c r="B1955"/>
    </row>
    <row r="1956" spans="1:2" x14ac:dyDescent="0.2">
      <c r="A1956"/>
      <c r="B1956"/>
    </row>
    <row r="1957" spans="1:2" x14ac:dyDescent="0.2">
      <c r="A1957"/>
      <c r="B1957"/>
    </row>
    <row r="1958" spans="1:2" x14ac:dyDescent="0.2">
      <c r="A1958"/>
      <c r="B1958"/>
    </row>
    <row r="1959" spans="1:2" x14ac:dyDescent="0.2">
      <c r="A1959"/>
      <c r="B1959"/>
    </row>
    <row r="1960" spans="1:2" x14ac:dyDescent="0.2">
      <c r="A1960"/>
      <c r="B1960"/>
    </row>
    <row r="1961" spans="1:2" x14ac:dyDescent="0.2">
      <c r="A1961"/>
      <c r="B1961"/>
    </row>
    <row r="1962" spans="1:2" x14ac:dyDescent="0.2">
      <c r="A1962"/>
      <c r="B1962"/>
    </row>
    <row r="1963" spans="1:2" x14ac:dyDescent="0.2">
      <c r="A1963"/>
      <c r="B1963"/>
    </row>
    <row r="1964" spans="1:2" x14ac:dyDescent="0.2">
      <c r="A1964"/>
      <c r="B1964"/>
    </row>
    <row r="1965" spans="1:2" x14ac:dyDescent="0.2">
      <c r="A1965"/>
      <c r="B1965"/>
    </row>
    <row r="1966" spans="1:2" x14ac:dyDescent="0.2">
      <c r="A1966"/>
      <c r="B1966"/>
    </row>
    <row r="1967" spans="1:2" x14ac:dyDescent="0.2">
      <c r="A1967"/>
      <c r="B1967"/>
    </row>
    <row r="1968" spans="1:2" x14ac:dyDescent="0.2">
      <c r="A1968"/>
      <c r="B1968"/>
    </row>
    <row r="1969" spans="1:2" x14ac:dyDescent="0.2">
      <c r="A1969"/>
      <c r="B1969"/>
    </row>
    <row r="1970" spans="1:2" x14ac:dyDescent="0.2">
      <c r="A1970"/>
      <c r="B1970"/>
    </row>
    <row r="1971" spans="1:2" x14ac:dyDescent="0.2">
      <c r="A1971"/>
      <c r="B1971"/>
    </row>
    <row r="1972" spans="1:2" x14ac:dyDescent="0.2">
      <c r="A1972"/>
      <c r="B1972"/>
    </row>
    <row r="1973" spans="1:2" x14ac:dyDescent="0.2">
      <c r="A1973"/>
      <c r="B1973"/>
    </row>
    <row r="1974" spans="1:2" x14ac:dyDescent="0.2">
      <c r="A1974"/>
      <c r="B1974"/>
    </row>
    <row r="1975" spans="1:2" x14ac:dyDescent="0.2">
      <c r="A1975"/>
      <c r="B1975"/>
    </row>
    <row r="1976" spans="1:2" x14ac:dyDescent="0.2">
      <c r="A1976"/>
      <c r="B1976"/>
    </row>
    <row r="1977" spans="1:2" x14ac:dyDescent="0.2">
      <c r="A1977"/>
      <c r="B1977"/>
    </row>
    <row r="1978" spans="1:2" x14ac:dyDescent="0.2">
      <c r="A1978"/>
      <c r="B1978"/>
    </row>
    <row r="1979" spans="1:2" x14ac:dyDescent="0.2">
      <c r="A1979"/>
      <c r="B1979"/>
    </row>
    <row r="1980" spans="1:2" x14ac:dyDescent="0.2">
      <c r="A1980"/>
      <c r="B1980"/>
    </row>
    <row r="1981" spans="1:2" x14ac:dyDescent="0.2">
      <c r="A1981"/>
      <c r="B1981"/>
    </row>
    <row r="1982" spans="1:2" x14ac:dyDescent="0.2">
      <c r="A1982"/>
      <c r="B1982"/>
    </row>
    <row r="1983" spans="1:2" x14ac:dyDescent="0.2">
      <c r="A1983"/>
      <c r="B1983"/>
    </row>
    <row r="1984" spans="1:2" x14ac:dyDescent="0.2">
      <c r="A1984"/>
      <c r="B1984"/>
    </row>
    <row r="1985" spans="1:2" x14ac:dyDescent="0.2">
      <c r="A1985"/>
      <c r="B1985"/>
    </row>
    <row r="1986" spans="1:2" x14ac:dyDescent="0.2">
      <c r="A1986"/>
      <c r="B1986"/>
    </row>
    <row r="1987" spans="1:2" x14ac:dyDescent="0.2">
      <c r="A1987"/>
      <c r="B1987"/>
    </row>
    <row r="1988" spans="1:2" x14ac:dyDescent="0.2">
      <c r="A1988"/>
      <c r="B1988"/>
    </row>
    <row r="1989" spans="1:2" x14ac:dyDescent="0.2">
      <c r="A1989"/>
      <c r="B1989"/>
    </row>
    <row r="1990" spans="1:2" x14ac:dyDescent="0.2">
      <c r="A1990"/>
      <c r="B1990"/>
    </row>
    <row r="1991" spans="1:2" x14ac:dyDescent="0.2">
      <c r="A1991"/>
      <c r="B1991"/>
    </row>
    <row r="1992" spans="1:2" x14ac:dyDescent="0.2">
      <c r="A1992"/>
      <c r="B1992"/>
    </row>
    <row r="1993" spans="1:2" x14ac:dyDescent="0.2">
      <c r="A1993"/>
      <c r="B1993"/>
    </row>
    <row r="1994" spans="1:2" x14ac:dyDescent="0.2">
      <c r="A1994"/>
      <c r="B1994"/>
    </row>
    <row r="1995" spans="1:2" x14ac:dyDescent="0.2">
      <c r="A1995"/>
      <c r="B1995"/>
    </row>
    <row r="1996" spans="1:2" x14ac:dyDescent="0.2">
      <c r="A1996"/>
      <c r="B1996"/>
    </row>
    <row r="1997" spans="1:2" x14ac:dyDescent="0.2">
      <c r="A1997"/>
      <c r="B1997"/>
    </row>
    <row r="1998" spans="1:2" x14ac:dyDescent="0.2">
      <c r="A1998"/>
      <c r="B1998"/>
    </row>
    <row r="1999" spans="1:2" x14ac:dyDescent="0.2">
      <c r="A1999"/>
      <c r="B1999"/>
    </row>
    <row r="2000" spans="1:2" x14ac:dyDescent="0.2">
      <c r="A2000"/>
      <c r="B2000"/>
    </row>
    <row r="2001" spans="1:2" x14ac:dyDescent="0.2">
      <c r="A2001"/>
      <c r="B2001"/>
    </row>
    <row r="2002" spans="1:2" x14ac:dyDescent="0.2">
      <c r="A2002"/>
      <c r="B2002"/>
    </row>
    <row r="2003" spans="1:2" x14ac:dyDescent="0.2">
      <c r="A2003"/>
      <c r="B2003"/>
    </row>
    <row r="2004" spans="1:2" x14ac:dyDescent="0.2">
      <c r="A2004"/>
      <c r="B2004"/>
    </row>
    <row r="2005" spans="1:2" x14ac:dyDescent="0.2">
      <c r="A2005"/>
      <c r="B2005"/>
    </row>
    <row r="2006" spans="1:2" x14ac:dyDescent="0.2">
      <c r="A2006"/>
      <c r="B2006"/>
    </row>
    <row r="2007" spans="1:2" x14ac:dyDescent="0.2">
      <c r="A2007"/>
      <c r="B2007"/>
    </row>
    <row r="2008" spans="1:2" x14ac:dyDescent="0.2">
      <c r="A2008"/>
      <c r="B2008"/>
    </row>
    <row r="2009" spans="1:2" x14ac:dyDescent="0.2">
      <c r="A2009"/>
      <c r="B2009"/>
    </row>
    <row r="2010" spans="1:2" x14ac:dyDescent="0.2">
      <c r="A2010"/>
      <c r="B2010"/>
    </row>
    <row r="2011" spans="1:2" x14ac:dyDescent="0.2">
      <c r="A2011"/>
      <c r="B2011"/>
    </row>
    <row r="2012" spans="1:2" x14ac:dyDescent="0.2">
      <c r="A2012"/>
      <c r="B2012"/>
    </row>
    <row r="2013" spans="1:2" x14ac:dyDescent="0.2">
      <c r="A2013"/>
      <c r="B2013"/>
    </row>
    <row r="2014" spans="1:2" x14ac:dyDescent="0.2">
      <c r="A2014"/>
      <c r="B2014"/>
    </row>
    <row r="2015" spans="1:2" x14ac:dyDescent="0.2">
      <c r="A2015"/>
      <c r="B2015"/>
    </row>
    <row r="2016" spans="1:2" x14ac:dyDescent="0.2">
      <c r="A2016"/>
      <c r="B2016"/>
    </row>
    <row r="2017" spans="1:2" x14ac:dyDescent="0.2">
      <c r="A2017"/>
      <c r="B2017"/>
    </row>
    <row r="2018" spans="1:2" x14ac:dyDescent="0.2">
      <c r="A2018"/>
      <c r="B2018"/>
    </row>
    <row r="2019" spans="1:2" x14ac:dyDescent="0.2">
      <c r="A2019"/>
      <c r="B2019"/>
    </row>
    <row r="2020" spans="1:2" x14ac:dyDescent="0.2">
      <c r="A2020"/>
      <c r="B2020"/>
    </row>
    <row r="2021" spans="1:2" x14ac:dyDescent="0.2">
      <c r="A2021"/>
      <c r="B2021"/>
    </row>
    <row r="2022" spans="1:2" x14ac:dyDescent="0.2">
      <c r="A2022"/>
      <c r="B2022"/>
    </row>
    <row r="2023" spans="1:2" x14ac:dyDescent="0.2">
      <c r="A2023"/>
      <c r="B2023"/>
    </row>
    <row r="2024" spans="1:2" x14ac:dyDescent="0.2">
      <c r="A2024"/>
      <c r="B2024"/>
    </row>
    <row r="2025" spans="1:2" x14ac:dyDescent="0.2">
      <c r="A2025"/>
      <c r="B2025"/>
    </row>
    <row r="2026" spans="1:2" x14ac:dyDescent="0.2">
      <c r="A2026"/>
      <c r="B2026"/>
    </row>
    <row r="2027" spans="1:2" x14ac:dyDescent="0.2">
      <c r="A2027"/>
      <c r="B2027"/>
    </row>
    <row r="2028" spans="1:2" x14ac:dyDescent="0.2">
      <c r="A2028"/>
      <c r="B2028"/>
    </row>
    <row r="2029" spans="1:2" x14ac:dyDescent="0.2">
      <c r="A2029"/>
      <c r="B2029"/>
    </row>
    <row r="2030" spans="1:2" x14ac:dyDescent="0.2">
      <c r="A2030"/>
      <c r="B2030"/>
    </row>
    <row r="2031" spans="1:2" x14ac:dyDescent="0.2">
      <c r="A2031"/>
      <c r="B2031"/>
    </row>
    <row r="2032" spans="1:2" x14ac:dyDescent="0.2">
      <c r="A2032"/>
      <c r="B2032"/>
    </row>
    <row r="2033" spans="1:2" x14ac:dyDescent="0.2">
      <c r="A2033"/>
      <c r="B2033"/>
    </row>
    <row r="2034" spans="1:2" x14ac:dyDescent="0.2">
      <c r="A2034"/>
      <c r="B2034"/>
    </row>
    <row r="2035" spans="1:2" x14ac:dyDescent="0.2">
      <c r="A2035"/>
      <c r="B2035"/>
    </row>
    <row r="2036" spans="1:2" x14ac:dyDescent="0.2">
      <c r="A2036"/>
      <c r="B2036"/>
    </row>
    <row r="2037" spans="1:2" x14ac:dyDescent="0.2">
      <c r="A2037"/>
      <c r="B2037"/>
    </row>
    <row r="2038" spans="1:2" x14ac:dyDescent="0.2">
      <c r="A2038"/>
      <c r="B2038"/>
    </row>
    <row r="2039" spans="1:2" x14ac:dyDescent="0.2">
      <c r="A2039"/>
      <c r="B2039"/>
    </row>
    <row r="2040" spans="1:2" x14ac:dyDescent="0.2">
      <c r="A2040"/>
      <c r="B2040"/>
    </row>
    <row r="2041" spans="1:2" x14ac:dyDescent="0.2">
      <c r="A2041"/>
      <c r="B2041"/>
    </row>
    <row r="2042" spans="1:2" x14ac:dyDescent="0.2">
      <c r="A2042"/>
      <c r="B2042"/>
    </row>
    <row r="2043" spans="1:2" x14ac:dyDescent="0.2">
      <c r="A2043"/>
      <c r="B2043"/>
    </row>
    <row r="2044" spans="1:2" x14ac:dyDescent="0.2">
      <c r="A2044"/>
      <c r="B2044"/>
    </row>
    <row r="2045" spans="1:2" x14ac:dyDescent="0.2">
      <c r="A2045"/>
      <c r="B2045"/>
    </row>
    <row r="2046" spans="1:2" x14ac:dyDescent="0.2">
      <c r="A2046"/>
      <c r="B2046"/>
    </row>
    <row r="2047" spans="1:2" x14ac:dyDescent="0.2">
      <c r="A2047"/>
      <c r="B2047"/>
    </row>
    <row r="2048" spans="1:2" x14ac:dyDescent="0.2">
      <c r="A2048"/>
      <c r="B2048"/>
    </row>
    <row r="2049" spans="1:2" x14ac:dyDescent="0.2">
      <c r="A2049"/>
      <c r="B2049"/>
    </row>
    <row r="2050" spans="1:2" x14ac:dyDescent="0.2">
      <c r="A2050"/>
      <c r="B2050"/>
    </row>
    <row r="2051" spans="1:2" x14ac:dyDescent="0.2">
      <c r="A2051"/>
      <c r="B2051"/>
    </row>
    <row r="2052" spans="1:2" x14ac:dyDescent="0.2">
      <c r="A2052"/>
      <c r="B2052"/>
    </row>
    <row r="2053" spans="1:2" x14ac:dyDescent="0.2">
      <c r="A2053"/>
      <c r="B2053"/>
    </row>
    <row r="2054" spans="1:2" x14ac:dyDescent="0.2">
      <c r="A2054"/>
      <c r="B2054"/>
    </row>
    <row r="2055" spans="1:2" x14ac:dyDescent="0.2">
      <c r="A2055"/>
      <c r="B2055"/>
    </row>
    <row r="2056" spans="1:2" x14ac:dyDescent="0.2">
      <c r="A2056"/>
      <c r="B2056"/>
    </row>
    <row r="2057" spans="1:2" x14ac:dyDescent="0.2">
      <c r="A2057"/>
      <c r="B2057"/>
    </row>
    <row r="2058" spans="1:2" x14ac:dyDescent="0.2">
      <c r="A2058"/>
      <c r="B2058"/>
    </row>
    <row r="2059" spans="1:2" x14ac:dyDescent="0.2">
      <c r="A2059"/>
      <c r="B2059"/>
    </row>
    <row r="2060" spans="1:2" x14ac:dyDescent="0.2">
      <c r="A2060"/>
      <c r="B2060"/>
    </row>
    <row r="2061" spans="1:2" x14ac:dyDescent="0.2">
      <c r="A2061"/>
      <c r="B2061"/>
    </row>
    <row r="2062" spans="1:2" x14ac:dyDescent="0.2">
      <c r="A2062"/>
      <c r="B2062"/>
    </row>
    <row r="2063" spans="1:2" x14ac:dyDescent="0.2">
      <c r="A2063"/>
      <c r="B2063"/>
    </row>
    <row r="2064" spans="1:2" x14ac:dyDescent="0.2">
      <c r="A2064"/>
      <c r="B2064"/>
    </row>
    <row r="2065" spans="1:2" x14ac:dyDescent="0.2">
      <c r="A2065"/>
      <c r="B2065"/>
    </row>
    <row r="2066" spans="1:2" x14ac:dyDescent="0.2">
      <c r="A2066"/>
      <c r="B2066"/>
    </row>
    <row r="2067" spans="1:2" x14ac:dyDescent="0.2">
      <c r="A2067"/>
      <c r="B2067"/>
    </row>
    <row r="2068" spans="1:2" x14ac:dyDescent="0.2">
      <c r="A2068"/>
      <c r="B2068"/>
    </row>
    <row r="2069" spans="1:2" x14ac:dyDescent="0.2">
      <c r="A2069"/>
      <c r="B2069"/>
    </row>
    <row r="2070" spans="1:2" x14ac:dyDescent="0.2">
      <c r="A2070"/>
      <c r="B2070"/>
    </row>
    <row r="2071" spans="1:2" x14ac:dyDescent="0.2">
      <c r="A2071"/>
      <c r="B2071"/>
    </row>
    <row r="2072" spans="1:2" x14ac:dyDescent="0.2">
      <c r="A2072"/>
      <c r="B2072"/>
    </row>
    <row r="2073" spans="1:2" x14ac:dyDescent="0.2">
      <c r="A2073"/>
      <c r="B2073"/>
    </row>
    <row r="2074" spans="1:2" x14ac:dyDescent="0.2">
      <c r="A2074"/>
      <c r="B2074"/>
    </row>
    <row r="2075" spans="1:2" x14ac:dyDescent="0.2">
      <c r="A2075"/>
      <c r="B2075"/>
    </row>
    <row r="2076" spans="1:2" x14ac:dyDescent="0.2">
      <c r="A2076"/>
      <c r="B2076"/>
    </row>
    <row r="2077" spans="1:2" x14ac:dyDescent="0.2">
      <c r="A2077"/>
      <c r="B2077"/>
    </row>
    <row r="2078" spans="1:2" x14ac:dyDescent="0.2">
      <c r="A2078"/>
      <c r="B2078"/>
    </row>
    <row r="2079" spans="1:2" x14ac:dyDescent="0.2">
      <c r="A2079"/>
      <c r="B2079"/>
    </row>
    <row r="2080" spans="1:2" x14ac:dyDescent="0.2">
      <c r="A2080"/>
      <c r="B2080"/>
    </row>
    <row r="2081" spans="1:2" x14ac:dyDescent="0.2">
      <c r="A2081"/>
      <c r="B2081"/>
    </row>
    <row r="2082" spans="1:2" x14ac:dyDescent="0.2">
      <c r="A2082"/>
      <c r="B2082"/>
    </row>
    <row r="2083" spans="1:2" x14ac:dyDescent="0.2">
      <c r="A2083"/>
      <c r="B2083"/>
    </row>
    <row r="2084" spans="1:2" x14ac:dyDescent="0.2">
      <c r="A2084"/>
      <c r="B2084"/>
    </row>
    <row r="2085" spans="1:2" x14ac:dyDescent="0.2">
      <c r="A2085"/>
      <c r="B2085"/>
    </row>
    <row r="2086" spans="1:2" x14ac:dyDescent="0.2">
      <c r="A2086"/>
      <c r="B2086"/>
    </row>
    <row r="2087" spans="1:2" x14ac:dyDescent="0.2">
      <c r="A2087"/>
      <c r="B2087"/>
    </row>
    <row r="2088" spans="1:2" x14ac:dyDescent="0.2">
      <c r="A2088"/>
      <c r="B2088"/>
    </row>
    <row r="2089" spans="1:2" x14ac:dyDescent="0.2">
      <c r="A2089"/>
      <c r="B2089"/>
    </row>
    <row r="2090" spans="1:2" x14ac:dyDescent="0.2">
      <c r="A2090"/>
      <c r="B2090"/>
    </row>
    <row r="2091" spans="1:2" x14ac:dyDescent="0.2">
      <c r="A2091"/>
      <c r="B2091"/>
    </row>
    <row r="2092" spans="1:2" x14ac:dyDescent="0.2">
      <c r="A2092"/>
      <c r="B2092"/>
    </row>
    <row r="2093" spans="1:2" x14ac:dyDescent="0.2">
      <c r="A2093"/>
      <c r="B2093"/>
    </row>
    <row r="2094" spans="1:2" x14ac:dyDescent="0.2">
      <c r="A2094"/>
      <c r="B2094"/>
    </row>
    <row r="2095" spans="1:2" x14ac:dyDescent="0.2">
      <c r="A2095"/>
      <c r="B2095"/>
    </row>
    <row r="2096" spans="1:2" x14ac:dyDescent="0.2">
      <c r="A2096"/>
      <c r="B2096"/>
    </row>
    <row r="2097" spans="1:2" x14ac:dyDescent="0.2">
      <c r="A2097"/>
      <c r="B2097"/>
    </row>
    <row r="2098" spans="1:2" x14ac:dyDescent="0.2">
      <c r="A2098"/>
      <c r="B2098"/>
    </row>
    <row r="2099" spans="1:2" x14ac:dyDescent="0.2">
      <c r="A2099"/>
      <c r="B2099"/>
    </row>
    <row r="2100" spans="1:2" x14ac:dyDescent="0.2">
      <c r="A2100"/>
      <c r="B2100"/>
    </row>
    <row r="2101" spans="1:2" x14ac:dyDescent="0.2">
      <c r="A2101"/>
      <c r="B2101"/>
    </row>
    <row r="2102" spans="1:2" x14ac:dyDescent="0.2">
      <c r="A2102"/>
      <c r="B2102"/>
    </row>
    <row r="2103" spans="1:2" x14ac:dyDescent="0.2">
      <c r="A2103"/>
      <c r="B2103"/>
    </row>
    <row r="2104" spans="1:2" x14ac:dyDescent="0.2">
      <c r="A2104"/>
      <c r="B2104"/>
    </row>
    <row r="2105" spans="1:2" x14ac:dyDescent="0.2">
      <c r="A2105"/>
      <c r="B2105"/>
    </row>
    <row r="2106" spans="1:2" x14ac:dyDescent="0.2">
      <c r="A2106"/>
      <c r="B2106"/>
    </row>
    <row r="2107" spans="1:2" x14ac:dyDescent="0.2">
      <c r="A2107"/>
      <c r="B2107"/>
    </row>
    <row r="2108" spans="1:2" x14ac:dyDescent="0.2">
      <c r="A2108"/>
      <c r="B2108"/>
    </row>
    <row r="2109" spans="1:2" x14ac:dyDescent="0.2">
      <c r="A2109"/>
      <c r="B2109"/>
    </row>
    <row r="2110" spans="1:2" x14ac:dyDescent="0.2">
      <c r="A2110"/>
      <c r="B2110"/>
    </row>
    <row r="2111" spans="1:2" x14ac:dyDescent="0.2">
      <c r="A2111"/>
      <c r="B2111"/>
    </row>
    <row r="2112" spans="1:2" x14ac:dyDescent="0.2">
      <c r="A2112"/>
      <c r="B2112"/>
    </row>
    <row r="2113" spans="1:2" x14ac:dyDescent="0.2">
      <c r="A2113"/>
      <c r="B2113"/>
    </row>
    <row r="2114" spans="1:2" x14ac:dyDescent="0.2">
      <c r="A2114"/>
      <c r="B2114"/>
    </row>
    <row r="2115" spans="1:2" x14ac:dyDescent="0.2">
      <c r="A2115"/>
      <c r="B2115"/>
    </row>
    <row r="2116" spans="1:2" x14ac:dyDescent="0.2">
      <c r="A2116"/>
      <c r="B2116"/>
    </row>
    <row r="2117" spans="1:2" x14ac:dyDescent="0.2">
      <c r="A2117"/>
      <c r="B2117"/>
    </row>
    <row r="2118" spans="1:2" x14ac:dyDescent="0.2">
      <c r="A2118"/>
      <c r="B2118"/>
    </row>
    <row r="2119" spans="1:2" x14ac:dyDescent="0.2">
      <c r="A2119"/>
      <c r="B2119"/>
    </row>
    <row r="2120" spans="1:2" x14ac:dyDescent="0.2">
      <c r="A2120"/>
      <c r="B2120"/>
    </row>
    <row r="2121" spans="1:2" x14ac:dyDescent="0.2">
      <c r="A2121"/>
      <c r="B2121"/>
    </row>
    <row r="2122" spans="1:2" x14ac:dyDescent="0.2">
      <c r="A2122"/>
      <c r="B2122"/>
    </row>
    <row r="2123" spans="1:2" x14ac:dyDescent="0.2">
      <c r="A2123"/>
      <c r="B2123"/>
    </row>
    <row r="2124" spans="1:2" x14ac:dyDescent="0.2">
      <c r="A2124"/>
      <c r="B2124"/>
    </row>
    <row r="2125" spans="1:2" x14ac:dyDescent="0.2">
      <c r="A2125"/>
      <c r="B2125"/>
    </row>
    <row r="2126" spans="1:2" x14ac:dyDescent="0.2">
      <c r="A2126"/>
      <c r="B2126"/>
    </row>
    <row r="2127" spans="1:2" x14ac:dyDescent="0.2">
      <c r="A2127"/>
      <c r="B2127"/>
    </row>
    <row r="2128" spans="1:2" x14ac:dyDescent="0.2">
      <c r="A2128"/>
      <c r="B2128"/>
    </row>
    <row r="2129" spans="1:2" x14ac:dyDescent="0.2">
      <c r="A2129"/>
      <c r="B2129"/>
    </row>
    <row r="2130" spans="1:2" x14ac:dyDescent="0.2">
      <c r="A2130"/>
      <c r="B2130"/>
    </row>
    <row r="2131" spans="1:2" x14ac:dyDescent="0.2">
      <c r="A2131"/>
      <c r="B2131"/>
    </row>
    <row r="2132" spans="1:2" x14ac:dyDescent="0.2">
      <c r="A2132"/>
      <c r="B2132"/>
    </row>
    <row r="2133" spans="1:2" x14ac:dyDescent="0.2">
      <c r="A2133"/>
      <c r="B2133"/>
    </row>
    <row r="2134" spans="1:2" x14ac:dyDescent="0.2">
      <c r="A2134"/>
      <c r="B2134"/>
    </row>
    <row r="2135" spans="1:2" x14ac:dyDescent="0.2">
      <c r="A2135"/>
      <c r="B2135"/>
    </row>
    <row r="2136" spans="1:2" x14ac:dyDescent="0.2">
      <c r="A2136"/>
      <c r="B2136"/>
    </row>
    <row r="2137" spans="1:2" x14ac:dyDescent="0.2">
      <c r="A2137"/>
      <c r="B2137"/>
    </row>
    <row r="2138" spans="1:2" x14ac:dyDescent="0.2">
      <c r="A2138"/>
      <c r="B2138"/>
    </row>
    <row r="2139" spans="1:2" x14ac:dyDescent="0.2">
      <c r="A2139"/>
      <c r="B2139"/>
    </row>
    <row r="2140" spans="1:2" x14ac:dyDescent="0.2">
      <c r="A2140"/>
      <c r="B2140"/>
    </row>
    <row r="2141" spans="1:2" x14ac:dyDescent="0.2">
      <c r="A2141"/>
      <c r="B2141"/>
    </row>
    <row r="2142" spans="1:2" x14ac:dyDescent="0.2">
      <c r="A2142"/>
      <c r="B2142"/>
    </row>
    <row r="2143" spans="1:2" x14ac:dyDescent="0.2">
      <c r="A2143"/>
      <c r="B2143"/>
    </row>
    <row r="2144" spans="1:2" x14ac:dyDescent="0.2">
      <c r="A2144"/>
      <c r="B2144"/>
    </row>
    <row r="2145" spans="1:2" x14ac:dyDescent="0.2">
      <c r="A2145"/>
      <c r="B2145"/>
    </row>
    <row r="2146" spans="1:2" x14ac:dyDescent="0.2">
      <c r="A2146"/>
      <c r="B2146"/>
    </row>
    <row r="2147" spans="1:2" x14ac:dyDescent="0.2">
      <c r="A2147"/>
      <c r="B2147"/>
    </row>
    <row r="2148" spans="1:2" x14ac:dyDescent="0.2">
      <c r="A2148"/>
      <c r="B2148"/>
    </row>
    <row r="2149" spans="1:2" x14ac:dyDescent="0.2">
      <c r="A2149"/>
      <c r="B2149"/>
    </row>
    <row r="2150" spans="1:2" x14ac:dyDescent="0.2">
      <c r="A2150"/>
      <c r="B2150"/>
    </row>
    <row r="2151" spans="1:2" x14ac:dyDescent="0.2">
      <c r="A2151"/>
      <c r="B2151"/>
    </row>
    <row r="2152" spans="1:2" x14ac:dyDescent="0.2">
      <c r="A2152"/>
      <c r="B2152"/>
    </row>
    <row r="2153" spans="1:2" x14ac:dyDescent="0.2">
      <c r="A2153"/>
      <c r="B2153"/>
    </row>
    <row r="2154" spans="1:2" x14ac:dyDescent="0.2">
      <c r="A2154"/>
      <c r="B2154"/>
    </row>
    <row r="2155" spans="1:2" x14ac:dyDescent="0.2">
      <c r="A2155"/>
      <c r="B2155"/>
    </row>
    <row r="2156" spans="1:2" x14ac:dyDescent="0.2">
      <c r="A2156"/>
      <c r="B2156"/>
    </row>
    <row r="2157" spans="1:2" x14ac:dyDescent="0.2">
      <c r="A2157"/>
      <c r="B2157"/>
    </row>
    <row r="2158" spans="1:2" x14ac:dyDescent="0.2">
      <c r="A2158"/>
      <c r="B2158"/>
    </row>
    <row r="2159" spans="1:2" x14ac:dyDescent="0.2">
      <c r="A2159"/>
      <c r="B2159"/>
    </row>
    <row r="2160" spans="1:2" x14ac:dyDescent="0.2">
      <c r="A2160"/>
      <c r="B2160"/>
    </row>
    <row r="2161" spans="1:2" x14ac:dyDescent="0.2">
      <c r="A2161"/>
      <c r="B2161"/>
    </row>
    <row r="2162" spans="1:2" x14ac:dyDescent="0.2">
      <c r="A2162"/>
      <c r="B2162"/>
    </row>
    <row r="2163" spans="1:2" x14ac:dyDescent="0.2">
      <c r="A2163"/>
      <c r="B2163"/>
    </row>
    <row r="2164" spans="1:2" x14ac:dyDescent="0.2">
      <c r="A2164"/>
      <c r="B2164"/>
    </row>
    <row r="2165" spans="1:2" x14ac:dyDescent="0.2">
      <c r="A2165"/>
      <c r="B2165"/>
    </row>
    <row r="2166" spans="1:2" x14ac:dyDescent="0.2">
      <c r="A2166"/>
      <c r="B2166"/>
    </row>
    <row r="2167" spans="1:2" x14ac:dyDescent="0.2">
      <c r="A2167"/>
      <c r="B2167"/>
    </row>
    <row r="2168" spans="1:2" x14ac:dyDescent="0.2">
      <c r="A2168"/>
      <c r="B2168"/>
    </row>
    <row r="2169" spans="1:2" x14ac:dyDescent="0.2">
      <c r="A2169"/>
      <c r="B2169"/>
    </row>
    <row r="2170" spans="1:2" x14ac:dyDescent="0.2">
      <c r="A2170"/>
      <c r="B2170"/>
    </row>
    <row r="2171" spans="1:2" x14ac:dyDescent="0.2">
      <c r="A2171"/>
      <c r="B2171"/>
    </row>
    <row r="2172" spans="1:2" x14ac:dyDescent="0.2">
      <c r="A2172"/>
      <c r="B2172"/>
    </row>
    <row r="2173" spans="1:2" x14ac:dyDescent="0.2">
      <c r="A2173"/>
      <c r="B2173"/>
    </row>
    <row r="2174" spans="1:2" x14ac:dyDescent="0.2">
      <c r="A2174"/>
      <c r="B2174"/>
    </row>
    <row r="2175" spans="1:2" x14ac:dyDescent="0.2">
      <c r="A2175"/>
      <c r="B2175"/>
    </row>
    <row r="2176" spans="1:2" x14ac:dyDescent="0.2">
      <c r="A2176"/>
      <c r="B2176"/>
    </row>
    <row r="2177" spans="1:2" x14ac:dyDescent="0.2">
      <c r="A2177"/>
      <c r="B2177"/>
    </row>
    <row r="2178" spans="1:2" x14ac:dyDescent="0.2">
      <c r="A2178"/>
      <c r="B2178"/>
    </row>
    <row r="2179" spans="1:2" x14ac:dyDescent="0.2">
      <c r="A2179"/>
      <c r="B2179"/>
    </row>
    <row r="2180" spans="1:2" x14ac:dyDescent="0.2">
      <c r="A2180"/>
      <c r="B2180"/>
    </row>
    <row r="2181" spans="1:2" x14ac:dyDescent="0.2">
      <c r="A2181"/>
      <c r="B2181"/>
    </row>
    <row r="2182" spans="1:2" x14ac:dyDescent="0.2">
      <c r="A2182"/>
      <c r="B2182"/>
    </row>
    <row r="2183" spans="1:2" x14ac:dyDescent="0.2">
      <c r="A2183"/>
      <c r="B2183"/>
    </row>
    <row r="2184" spans="1:2" x14ac:dyDescent="0.2">
      <c r="A2184"/>
      <c r="B2184"/>
    </row>
    <row r="2185" spans="1:2" x14ac:dyDescent="0.2">
      <c r="A2185"/>
      <c r="B2185"/>
    </row>
    <row r="2186" spans="1:2" x14ac:dyDescent="0.2">
      <c r="A2186"/>
      <c r="B2186"/>
    </row>
    <row r="2187" spans="1:2" x14ac:dyDescent="0.2">
      <c r="A2187"/>
      <c r="B2187"/>
    </row>
    <row r="2188" spans="1:2" x14ac:dyDescent="0.2">
      <c r="A2188"/>
      <c r="B2188"/>
    </row>
    <row r="2189" spans="1:2" x14ac:dyDescent="0.2">
      <c r="A2189"/>
      <c r="B2189"/>
    </row>
    <row r="2190" spans="1:2" x14ac:dyDescent="0.2">
      <c r="A2190"/>
      <c r="B2190"/>
    </row>
    <row r="2191" spans="1:2" x14ac:dyDescent="0.2">
      <c r="A2191"/>
      <c r="B2191"/>
    </row>
    <row r="2192" spans="1:2" x14ac:dyDescent="0.2">
      <c r="A2192"/>
      <c r="B2192"/>
    </row>
    <row r="2193" spans="1:2" x14ac:dyDescent="0.2">
      <c r="A2193"/>
      <c r="B2193"/>
    </row>
    <row r="2194" spans="1:2" x14ac:dyDescent="0.2">
      <c r="A2194"/>
      <c r="B2194"/>
    </row>
    <row r="2195" spans="1:2" x14ac:dyDescent="0.2">
      <c r="A2195"/>
      <c r="B2195"/>
    </row>
    <row r="2196" spans="1:2" x14ac:dyDescent="0.2">
      <c r="A2196"/>
      <c r="B2196"/>
    </row>
    <row r="2197" spans="1:2" x14ac:dyDescent="0.2">
      <c r="A2197"/>
      <c r="B2197"/>
    </row>
    <row r="2198" spans="1:2" x14ac:dyDescent="0.2">
      <c r="A2198"/>
      <c r="B2198"/>
    </row>
    <row r="2199" spans="1:2" x14ac:dyDescent="0.2">
      <c r="A2199"/>
      <c r="B2199"/>
    </row>
    <row r="2200" spans="1:2" x14ac:dyDescent="0.2">
      <c r="A2200"/>
      <c r="B2200"/>
    </row>
    <row r="2201" spans="1:2" x14ac:dyDescent="0.2">
      <c r="A2201"/>
      <c r="B2201"/>
    </row>
    <row r="2202" spans="1:2" x14ac:dyDescent="0.2">
      <c r="A2202"/>
      <c r="B2202"/>
    </row>
    <row r="2203" spans="1:2" x14ac:dyDescent="0.2">
      <c r="A2203"/>
      <c r="B2203"/>
    </row>
    <row r="2204" spans="1:2" x14ac:dyDescent="0.2">
      <c r="A2204"/>
      <c r="B2204"/>
    </row>
    <row r="2205" spans="1:2" x14ac:dyDescent="0.2">
      <c r="A2205"/>
      <c r="B2205"/>
    </row>
    <row r="2206" spans="1:2" x14ac:dyDescent="0.2">
      <c r="A2206"/>
      <c r="B2206"/>
    </row>
    <row r="2207" spans="1:2" x14ac:dyDescent="0.2">
      <c r="A2207"/>
      <c r="B2207"/>
    </row>
    <row r="2208" spans="1:2" x14ac:dyDescent="0.2">
      <c r="A2208"/>
      <c r="B2208"/>
    </row>
    <row r="2209" spans="1:2" x14ac:dyDescent="0.2">
      <c r="A2209"/>
      <c r="B2209"/>
    </row>
    <row r="2210" spans="1:2" x14ac:dyDescent="0.2">
      <c r="A2210"/>
      <c r="B2210"/>
    </row>
    <row r="2211" spans="1:2" x14ac:dyDescent="0.2">
      <c r="A2211"/>
      <c r="B2211"/>
    </row>
    <row r="2212" spans="1:2" x14ac:dyDescent="0.2">
      <c r="A2212"/>
      <c r="B2212"/>
    </row>
    <row r="2213" spans="1:2" x14ac:dyDescent="0.2">
      <c r="A2213"/>
      <c r="B2213"/>
    </row>
    <row r="2214" spans="1:2" x14ac:dyDescent="0.2">
      <c r="A2214"/>
      <c r="B2214"/>
    </row>
    <row r="2215" spans="1:2" x14ac:dyDescent="0.2">
      <c r="A2215"/>
      <c r="B2215"/>
    </row>
    <row r="2216" spans="1:2" x14ac:dyDescent="0.2">
      <c r="A2216"/>
      <c r="B2216"/>
    </row>
    <row r="2217" spans="1:2" x14ac:dyDescent="0.2">
      <c r="A2217"/>
      <c r="B2217"/>
    </row>
    <row r="2218" spans="1:2" x14ac:dyDescent="0.2">
      <c r="A2218"/>
      <c r="B2218"/>
    </row>
    <row r="2219" spans="1:2" x14ac:dyDescent="0.2">
      <c r="A2219"/>
      <c r="B2219"/>
    </row>
    <row r="2220" spans="1:2" x14ac:dyDescent="0.2">
      <c r="A2220"/>
      <c r="B2220"/>
    </row>
    <row r="2221" spans="1:2" x14ac:dyDescent="0.2">
      <c r="A2221"/>
      <c r="B2221"/>
    </row>
    <row r="2222" spans="1:2" x14ac:dyDescent="0.2">
      <c r="A2222"/>
      <c r="B2222"/>
    </row>
    <row r="2223" spans="1:2" x14ac:dyDescent="0.2">
      <c r="A2223"/>
      <c r="B2223"/>
    </row>
    <row r="2224" spans="1:2" x14ac:dyDescent="0.2">
      <c r="A2224"/>
      <c r="B2224"/>
    </row>
    <row r="2225" spans="1:2" x14ac:dyDescent="0.2">
      <c r="A2225"/>
      <c r="B2225"/>
    </row>
    <row r="2226" spans="1:2" x14ac:dyDescent="0.2">
      <c r="A2226"/>
      <c r="B2226"/>
    </row>
    <row r="2227" spans="1:2" x14ac:dyDescent="0.2">
      <c r="A2227"/>
      <c r="B2227"/>
    </row>
    <row r="2228" spans="1:2" x14ac:dyDescent="0.2">
      <c r="A2228"/>
      <c r="B2228"/>
    </row>
    <row r="2229" spans="1:2" x14ac:dyDescent="0.2">
      <c r="A2229"/>
      <c r="B2229"/>
    </row>
    <row r="2230" spans="1:2" x14ac:dyDescent="0.2">
      <c r="A2230"/>
      <c r="B2230"/>
    </row>
    <row r="2231" spans="1:2" x14ac:dyDescent="0.2">
      <c r="A2231"/>
      <c r="B2231"/>
    </row>
    <row r="2232" spans="1:2" x14ac:dyDescent="0.2">
      <c r="A2232"/>
      <c r="B2232"/>
    </row>
    <row r="2233" spans="1:2" x14ac:dyDescent="0.2">
      <c r="A2233"/>
      <c r="B2233"/>
    </row>
    <row r="2234" spans="1:2" x14ac:dyDescent="0.2">
      <c r="A2234"/>
      <c r="B2234"/>
    </row>
    <row r="2235" spans="1:2" x14ac:dyDescent="0.2">
      <c r="A2235"/>
      <c r="B2235"/>
    </row>
    <row r="2236" spans="1:2" x14ac:dyDescent="0.2">
      <c r="A2236"/>
      <c r="B2236"/>
    </row>
    <row r="2237" spans="1:2" x14ac:dyDescent="0.2">
      <c r="A2237"/>
      <c r="B2237"/>
    </row>
    <row r="2238" spans="1:2" x14ac:dyDescent="0.2">
      <c r="A2238"/>
      <c r="B2238"/>
    </row>
    <row r="2239" spans="1:2" x14ac:dyDescent="0.2">
      <c r="A2239"/>
      <c r="B2239"/>
    </row>
    <row r="2240" spans="1:2" x14ac:dyDescent="0.2">
      <c r="A2240"/>
      <c r="B2240"/>
    </row>
    <row r="2241" spans="1:2" x14ac:dyDescent="0.2">
      <c r="A2241"/>
      <c r="B2241"/>
    </row>
    <row r="2242" spans="1:2" x14ac:dyDescent="0.2">
      <c r="A2242"/>
      <c r="B2242"/>
    </row>
    <row r="2243" spans="1:2" x14ac:dyDescent="0.2">
      <c r="A2243"/>
      <c r="B2243"/>
    </row>
    <row r="2244" spans="1:2" x14ac:dyDescent="0.2">
      <c r="A2244"/>
      <c r="B2244"/>
    </row>
    <row r="2245" spans="1:2" x14ac:dyDescent="0.2">
      <c r="A2245"/>
      <c r="B2245"/>
    </row>
    <row r="2246" spans="1:2" x14ac:dyDescent="0.2">
      <c r="A2246"/>
      <c r="B2246"/>
    </row>
    <row r="2247" spans="1:2" x14ac:dyDescent="0.2">
      <c r="A2247"/>
      <c r="B2247"/>
    </row>
    <row r="2248" spans="1:2" x14ac:dyDescent="0.2">
      <c r="A2248"/>
      <c r="B2248"/>
    </row>
    <row r="2249" spans="1:2" x14ac:dyDescent="0.2">
      <c r="A2249"/>
      <c r="B2249"/>
    </row>
    <row r="2250" spans="1:2" x14ac:dyDescent="0.2">
      <c r="A2250"/>
      <c r="B2250"/>
    </row>
    <row r="2251" spans="1:2" x14ac:dyDescent="0.2">
      <c r="A2251"/>
      <c r="B2251"/>
    </row>
    <row r="2252" spans="1:2" x14ac:dyDescent="0.2">
      <c r="A2252"/>
      <c r="B2252"/>
    </row>
    <row r="2253" spans="1:2" x14ac:dyDescent="0.2">
      <c r="A2253"/>
      <c r="B2253"/>
    </row>
    <row r="2254" spans="1:2" x14ac:dyDescent="0.2">
      <c r="A2254"/>
      <c r="B2254"/>
    </row>
    <row r="2255" spans="1:2" x14ac:dyDescent="0.2">
      <c r="A2255"/>
      <c r="B2255"/>
    </row>
    <row r="2256" spans="1:2" x14ac:dyDescent="0.2">
      <c r="A2256"/>
      <c r="B2256"/>
    </row>
    <row r="2257" spans="1:2" x14ac:dyDescent="0.2">
      <c r="A2257"/>
      <c r="B2257"/>
    </row>
    <row r="2258" spans="1:2" x14ac:dyDescent="0.2">
      <c r="A2258"/>
      <c r="B2258"/>
    </row>
    <row r="2259" spans="1:2" x14ac:dyDescent="0.2">
      <c r="A2259"/>
      <c r="B2259"/>
    </row>
    <row r="2260" spans="1:2" x14ac:dyDescent="0.2">
      <c r="A2260"/>
      <c r="B2260"/>
    </row>
    <row r="2261" spans="1:2" x14ac:dyDescent="0.2">
      <c r="A2261"/>
      <c r="B2261"/>
    </row>
    <row r="2262" spans="1:2" x14ac:dyDescent="0.2">
      <c r="A2262"/>
      <c r="B2262"/>
    </row>
    <row r="2263" spans="1:2" x14ac:dyDescent="0.2">
      <c r="A2263"/>
      <c r="B2263"/>
    </row>
    <row r="2264" spans="1:2" x14ac:dyDescent="0.2">
      <c r="A2264"/>
      <c r="B2264"/>
    </row>
    <row r="2265" spans="1:2" x14ac:dyDescent="0.2">
      <c r="A2265"/>
      <c r="B2265"/>
    </row>
    <row r="2266" spans="1:2" x14ac:dyDescent="0.2">
      <c r="A2266"/>
      <c r="B2266"/>
    </row>
    <row r="2267" spans="1:2" x14ac:dyDescent="0.2">
      <c r="A2267"/>
      <c r="B2267"/>
    </row>
    <row r="2268" spans="1:2" x14ac:dyDescent="0.2">
      <c r="A2268"/>
      <c r="B2268"/>
    </row>
    <row r="2269" spans="1:2" x14ac:dyDescent="0.2">
      <c r="A2269"/>
      <c r="B2269"/>
    </row>
    <row r="2270" spans="1:2" x14ac:dyDescent="0.2">
      <c r="A2270"/>
      <c r="B2270"/>
    </row>
    <row r="2271" spans="1:2" x14ac:dyDescent="0.2">
      <c r="A2271"/>
      <c r="B2271"/>
    </row>
    <row r="2272" spans="1:2" x14ac:dyDescent="0.2">
      <c r="A2272"/>
      <c r="B2272"/>
    </row>
    <row r="2273" spans="1:2" x14ac:dyDescent="0.2">
      <c r="A2273"/>
      <c r="B2273"/>
    </row>
    <row r="2274" spans="1:2" x14ac:dyDescent="0.2">
      <c r="A2274"/>
      <c r="B2274"/>
    </row>
    <row r="2275" spans="1:2" x14ac:dyDescent="0.2">
      <c r="A2275"/>
      <c r="B2275"/>
    </row>
    <row r="2276" spans="1:2" x14ac:dyDescent="0.2">
      <c r="A2276"/>
      <c r="B2276"/>
    </row>
    <row r="2277" spans="1:2" x14ac:dyDescent="0.2">
      <c r="A2277"/>
      <c r="B2277"/>
    </row>
    <row r="2278" spans="1:2" x14ac:dyDescent="0.2">
      <c r="A2278"/>
      <c r="B2278"/>
    </row>
    <row r="2279" spans="1:2" x14ac:dyDescent="0.2">
      <c r="A2279"/>
      <c r="B2279"/>
    </row>
    <row r="2280" spans="1:2" x14ac:dyDescent="0.2">
      <c r="A2280"/>
      <c r="B2280"/>
    </row>
    <row r="2281" spans="1:2" x14ac:dyDescent="0.2">
      <c r="A2281"/>
      <c r="B2281"/>
    </row>
    <row r="2282" spans="1:2" x14ac:dyDescent="0.2">
      <c r="A2282"/>
      <c r="B2282"/>
    </row>
    <row r="2283" spans="1:2" x14ac:dyDescent="0.2">
      <c r="A2283"/>
      <c r="B2283"/>
    </row>
    <row r="2284" spans="1:2" x14ac:dyDescent="0.2">
      <c r="A2284"/>
      <c r="B2284"/>
    </row>
    <row r="2285" spans="1:2" x14ac:dyDescent="0.2">
      <c r="A2285"/>
      <c r="B2285"/>
    </row>
    <row r="2286" spans="1:2" x14ac:dyDescent="0.2">
      <c r="A2286"/>
      <c r="B2286"/>
    </row>
    <row r="2287" spans="1:2" x14ac:dyDescent="0.2">
      <c r="A2287"/>
      <c r="B2287"/>
    </row>
    <row r="2288" spans="1:2" x14ac:dyDescent="0.2">
      <c r="A2288"/>
      <c r="B2288"/>
    </row>
    <row r="2289" spans="1:2" x14ac:dyDescent="0.2">
      <c r="A2289"/>
      <c r="B2289"/>
    </row>
    <row r="2290" spans="1:2" x14ac:dyDescent="0.2">
      <c r="A2290"/>
      <c r="B2290"/>
    </row>
    <row r="2291" spans="1:2" x14ac:dyDescent="0.2">
      <c r="A2291"/>
      <c r="B2291"/>
    </row>
    <row r="2292" spans="1:2" x14ac:dyDescent="0.2">
      <c r="A2292"/>
      <c r="B2292"/>
    </row>
    <row r="2293" spans="1:2" x14ac:dyDescent="0.2">
      <c r="A2293"/>
      <c r="B2293"/>
    </row>
    <row r="2294" spans="1:2" x14ac:dyDescent="0.2">
      <c r="A2294"/>
      <c r="B2294"/>
    </row>
    <row r="2295" spans="1:2" x14ac:dyDescent="0.2">
      <c r="A2295"/>
      <c r="B2295"/>
    </row>
    <row r="2296" spans="1:2" x14ac:dyDescent="0.2">
      <c r="A2296"/>
      <c r="B2296"/>
    </row>
    <row r="2297" spans="1:2" x14ac:dyDescent="0.2">
      <c r="A2297"/>
      <c r="B2297"/>
    </row>
    <row r="2298" spans="1:2" x14ac:dyDescent="0.2">
      <c r="A2298"/>
      <c r="B2298"/>
    </row>
    <row r="2299" spans="1:2" x14ac:dyDescent="0.2">
      <c r="A2299"/>
      <c r="B2299"/>
    </row>
    <row r="2300" spans="1:2" x14ac:dyDescent="0.2">
      <c r="A2300"/>
      <c r="B2300"/>
    </row>
    <row r="2301" spans="1:2" x14ac:dyDescent="0.2">
      <c r="A2301"/>
      <c r="B2301"/>
    </row>
    <row r="2302" spans="1:2" x14ac:dyDescent="0.2">
      <c r="A2302"/>
      <c r="B2302"/>
    </row>
    <row r="2303" spans="1:2" x14ac:dyDescent="0.2">
      <c r="A2303"/>
      <c r="B2303"/>
    </row>
    <row r="2304" spans="1:2" x14ac:dyDescent="0.2">
      <c r="A2304"/>
      <c r="B2304"/>
    </row>
    <row r="2305" spans="1:2" x14ac:dyDescent="0.2">
      <c r="A2305"/>
      <c r="B2305"/>
    </row>
    <row r="2306" spans="1:2" x14ac:dyDescent="0.2">
      <c r="A2306"/>
      <c r="B2306"/>
    </row>
    <row r="2307" spans="1:2" x14ac:dyDescent="0.2">
      <c r="A2307"/>
      <c r="B2307"/>
    </row>
    <row r="2308" spans="1:2" x14ac:dyDescent="0.2">
      <c r="A2308"/>
      <c r="B2308"/>
    </row>
    <row r="2309" spans="1:2" x14ac:dyDescent="0.2">
      <c r="A2309"/>
      <c r="B2309"/>
    </row>
    <row r="2310" spans="1:2" x14ac:dyDescent="0.2">
      <c r="A2310"/>
      <c r="B2310"/>
    </row>
    <row r="2311" spans="1:2" x14ac:dyDescent="0.2">
      <c r="A2311"/>
      <c r="B2311"/>
    </row>
    <row r="2312" spans="1:2" x14ac:dyDescent="0.2">
      <c r="A2312"/>
      <c r="B2312"/>
    </row>
    <row r="2313" spans="1:2" x14ac:dyDescent="0.2">
      <c r="A2313"/>
      <c r="B2313"/>
    </row>
    <row r="2314" spans="1:2" x14ac:dyDescent="0.2">
      <c r="A2314"/>
      <c r="B2314"/>
    </row>
    <row r="2315" spans="1:2" x14ac:dyDescent="0.2">
      <c r="A2315"/>
      <c r="B2315"/>
    </row>
    <row r="2316" spans="1:2" x14ac:dyDescent="0.2">
      <c r="A2316"/>
      <c r="B2316"/>
    </row>
    <row r="2317" spans="1:2" x14ac:dyDescent="0.2">
      <c r="A2317"/>
      <c r="B2317"/>
    </row>
    <row r="2318" spans="1:2" x14ac:dyDescent="0.2">
      <c r="A2318"/>
      <c r="B2318"/>
    </row>
    <row r="2319" spans="1:2" x14ac:dyDescent="0.2">
      <c r="A2319"/>
      <c r="B2319"/>
    </row>
    <row r="2320" spans="1:2" x14ac:dyDescent="0.2">
      <c r="A2320"/>
      <c r="B2320"/>
    </row>
    <row r="2321" spans="1:2" x14ac:dyDescent="0.2">
      <c r="A2321"/>
      <c r="B2321"/>
    </row>
    <row r="2322" spans="1:2" x14ac:dyDescent="0.2">
      <c r="A2322"/>
      <c r="B2322"/>
    </row>
    <row r="2323" spans="1:2" x14ac:dyDescent="0.2">
      <c r="A2323"/>
      <c r="B2323"/>
    </row>
    <row r="2324" spans="1:2" x14ac:dyDescent="0.2">
      <c r="A2324"/>
      <c r="B2324"/>
    </row>
    <row r="2325" spans="1:2" x14ac:dyDescent="0.2">
      <c r="A2325"/>
      <c r="B2325"/>
    </row>
    <row r="2326" spans="1:2" x14ac:dyDescent="0.2">
      <c r="A2326"/>
      <c r="B2326"/>
    </row>
    <row r="2327" spans="1:2" x14ac:dyDescent="0.2">
      <c r="A2327"/>
      <c r="B2327"/>
    </row>
    <row r="2328" spans="1:2" x14ac:dyDescent="0.2">
      <c r="A2328"/>
      <c r="B2328"/>
    </row>
    <row r="2329" spans="1:2" x14ac:dyDescent="0.2">
      <c r="A2329"/>
      <c r="B2329"/>
    </row>
    <row r="2330" spans="1:2" x14ac:dyDescent="0.2">
      <c r="A2330"/>
      <c r="B2330"/>
    </row>
    <row r="2331" spans="1:2" x14ac:dyDescent="0.2">
      <c r="A2331"/>
      <c r="B2331"/>
    </row>
    <row r="2332" spans="1:2" x14ac:dyDescent="0.2">
      <c r="A2332"/>
      <c r="B2332"/>
    </row>
    <row r="2333" spans="1:2" x14ac:dyDescent="0.2">
      <c r="A2333"/>
      <c r="B2333"/>
    </row>
    <row r="2334" spans="1:2" x14ac:dyDescent="0.2">
      <c r="A2334"/>
      <c r="B2334"/>
    </row>
    <row r="2335" spans="1:2" x14ac:dyDescent="0.2">
      <c r="A2335"/>
      <c r="B2335"/>
    </row>
    <row r="2336" spans="1:2" x14ac:dyDescent="0.2">
      <c r="A2336"/>
      <c r="B2336"/>
    </row>
    <row r="2337" spans="1:2" x14ac:dyDescent="0.2">
      <c r="A2337"/>
      <c r="B2337"/>
    </row>
    <row r="2338" spans="1:2" x14ac:dyDescent="0.2">
      <c r="A2338"/>
      <c r="B2338"/>
    </row>
    <row r="2339" spans="1:2" x14ac:dyDescent="0.2">
      <c r="A2339"/>
      <c r="B2339"/>
    </row>
    <row r="2340" spans="1:2" x14ac:dyDescent="0.2">
      <c r="A2340"/>
      <c r="B2340"/>
    </row>
    <row r="2341" spans="1:2" x14ac:dyDescent="0.2">
      <c r="A2341"/>
      <c r="B2341"/>
    </row>
    <row r="2342" spans="1:2" x14ac:dyDescent="0.2">
      <c r="A2342"/>
      <c r="B2342"/>
    </row>
    <row r="2343" spans="1:2" x14ac:dyDescent="0.2">
      <c r="A2343"/>
      <c r="B2343"/>
    </row>
    <row r="2344" spans="1:2" x14ac:dyDescent="0.2">
      <c r="A2344"/>
      <c r="B2344"/>
    </row>
    <row r="2345" spans="1:2" x14ac:dyDescent="0.2">
      <c r="A2345"/>
      <c r="B2345"/>
    </row>
    <row r="2346" spans="1:2" x14ac:dyDescent="0.2">
      <c r="A2346"/>
      <c r="B2346"/>
    </row>
    <row r="2347" spans="1:2" x14ac:dyDescent="0.2">
      <c r="A2347"/>
      <c r="B2347"/>
    </row>
    <row r="2348" spans="1:2" x14ac:dyDescent="0.2">
      <c r="A2348"/>
      <c r="B2348"/>
    </row>
    <row r="2349" spans="1:2" x14ac:dyDescent="0.2">
      <c r="A2349"/>
      <c r="B2349"/>
    </row>
    <row r="2350" spans="1:2" x14ac:dyDescent="0.2">
      <c r="A2350"/>
      <c r="B2350"/>
    </row>
    <row r="2351" spans="1:2" x14ac:dyDescent="0.2">
      <c r="A2351"/>
      <c r="B2351"/>
    </row>
    <row r="2352" spans="1:2" x14ac:dyDescent="0.2">
      <c r="A2352"/>
      <c r="B2352"/>
    </row>
    <row r="2353" spans="1:2" x14ac:dyDescent="0.2">
      <c r="A2353"/>
      <c r="B2353"/>
    </row>
    <row r="2354" spans="1:2" x14ac:dyDescent="0.2">
      <c r="A2354"/>
      <c r="B2354"/>
    </row>
    <row r="2355" spans="1:2" x14ac:dyDescent="0.2">
      <c r="A2355"/>
      <c r="B2355"/>
    </row>
    <row r="2356" spans="1:2" x14ac:dyDescent="0.2">
      <c r="A2356"/>
      <c r="B2356"/>
    </row>
    <row r="2357" spans="1:2" x14ac:dyDescent="0.2">
      <c r="A2357"/>
      <c r="B2357"/>
    </row>
    <row r="2358" spans="1:2" x14ac:dyDescent="0.2">
      <c r="A2358"/>
      <c r="B2358"/>
    </row>
    <row r="2359" spans="1:2" x14ac:dyDescent="0.2">
      <c r="A2359"/>
      <c r="B2359"/>
    </row>
    <row r="2360" spans="1:2" x14ac:dyDescent="0.2">
      <c r="A2360"/>
      <c r="B2360"/>
    </row>
    <row r="2361" spans="1:2" x14ac:dyDescent="0.2">
      <c r="A2361"/>
      <c r="B2361"/>
    </row>
    <row r="2362" spans="1:2" x14ac:dyDescent="0.2">
      <c r="A2362"/>
      <c r="B2362"/>
    </row>
    <row r="2363" spans="1:2" x14ac:dyDescent="0.2">
      <c r="A2363"/>
      <c r="B2363"/>
    </row>
    <row r="2364" spans="1:2" x14ac:dyDescent="0.2">
      <c r="A2364"/>
      <c r="B2364"/>
    </row>
    <row r="2365" spans="1:2" x14ac:dyDescent="0.2">
      <c r="A2365"/>
      <c r="B2365"/>
    </row>
    <row r="2366" spans="1:2" x14ac:dyDescent="0.2">
      <c r="A2366"/>
      <c r="B2366"/>
    </row>
    <row r="2367" spans="1:2" x14ac:dyDescent="0.2">
      <c r="A2367"/>
      <c r="B2367"/>
    </row>
    <row r="2368" spans="1:2" x14ac:dyDescent="0.2">
      <c r="A2368"/>
      <c r="B2368"/>
    </row>
    <row r="2369" spans="1:2" x14ac:dyDescent="0.2">
      <c r="A2369"/>
      <c r="B2369"/>
    </row>
    <row r="2370" spans="1:2" x14ac:dyDescent="0.2">
      <c r="A2370"/>
      <c r="B2370"/>
    </row>
    <row r="2371" spans="1:2" x14ac:dyDescent="0.2">
      <c r="A2371"/>
      <c r="B2371"/>
    </row>
    <row r="2372" spans="1:2" x14ac:dyDescent="0.2">
      <c r="A2372"/>
      <c r="B2372"/>
    </row>
    <row r="2373" spans="1:2" x14ac:dyDescent="0.2">
      <c r="A2373"/>
      <c r="B2373"/>
    </row>
    <row r="2374" spans="1:2" x14ac:dyDescent="0.2">
      <c r="A2374"/>
      <c r="B2374"/>
    </row>
    <row r="2375" spans="1:2" x14ac:dyDescent="0.2">
      <c r="A2375"/>
      <c r="B2375"/>
    </row>
    <row r="2376" spans="1:2" x14ac:dyDescent="0.2">
      <c r="A2376"/>
      <c r="B2376"/>
    </row>
    <row r="2377" spans="1:2" x14ac:dyDescent="0.2">
      <c r="A2377"/>
      <c r="B2377"/>
    </row>
    <row r="2378" spans="1:2" x14ac:dyDescent="0.2">
      <c r="A2378"/>
      <c r="B2378"/>
    </row>
    <row r="2379" spans="1:2" x14ac:dyDescent="0.2">
      <c r="A2379"/>
      <c r="B2379"/>
    </row>
    <row r="2380" spans="1:2" x14ac:dyDescent="0.2">
      <c r="A2380"/>
      <c r="B2380"/>
    </row>
    <row r="2381" spans="1:2" x14ac:dyDescent="0.2">
      <c r="A2381"/>
      <c r="B2381"/>
    </row>
    <row r="2382" spans="1:2" x14ac:dyDescent="0.2">
      <c r="A2382"/>
      <c r="B2382"/>
    </row>
    <row r="2383" spans="1:2" x14ac:dyDescent="0.2">
      <c r="A2383"/>
      <c r="B2383"/>
    </row>
    <row r="2384" spans="1:2" x14ac:dyDescent="0.2">
      <c r="A2384"/>
      <c r="B2384"/>
    </row>
    <row r="2385" spans="1:2" x14ac:dyDescent="0.2">
      <c r="A2385"/>
      <c r="B2385"/>
    </row>
    <row r="2386" spans="1:2" x14ac:dyDescent="0.2">
      <c r="A2386"/>
      <c r="B2386"/>
    </row>
    <row r="2387" spans="1:2" x14ac:dyDescent="0.2">
      <c r="A2387"/>
      <c r="B2387"/>
    </row>
    <row r="2388" spans="1:2" x14ac:dyDescent="0.2">
      <c r="A2388"/>
      <c r="B2388"/>
    </row>
    <row r="2389" spans="1:2" x14ac:dyDescent="0.2">
      <c r="A2389"/>
      <c r="B2389"/>
    </row>
    <row r="2390" spans="1:2" x14ac:dyDescent="0.2">
      <c r="A2390"/>
      <c r="B2390"/>
    </row>
    <row r="2391" spans="1:2" x14ac:dyDescent="0.2">
      <c r="A2391"/>
      <c r="B2391"/>
    </row>
    <row r="2392" spans="1:2" x14ac:dyDescent="0.2">
      <c r="A2392"/>
      <c r="B2392"/>
    </row>
    <row r="2393" spans="1:2" x14ac:dyDescent="0.2">
      <c r="A2393"/>
      <c r="B2393"/>
    </row>
    <row r="2394" spans="1:2" x14ac:dyDescent="0.2">
      <c r="A2394"/>
      <c r="B2394"/>
    </row>
    <row r="2395" spans="1:2" x14ac:dyDescent="0.2">
      <c r="A2395"/>
      <c r="B2395"/>
    </row>
    <row r="2396" spans="1:2" x14ac:dyDescent="0.2">
      <c r="A2396"/>
      <c r="B2396"/>
    </row>
    <row r="2397" spans="1:2" x14ac:dyDescent="0.2">
      <c r="A2397"/>
      <c r="B2397"/>
    </row>
    <row r="2398" spans="1:2" x14ac:dyDescent="0.2">
      <c r="A2398"/>
      <c r="B2398"/>
    </row>
    <row r="2399" spans="1:2" x14ac:dyDescent="0.2">
      <c r="A2399"/>
      <c r="B2399"/>
    </row>
    <row r="2400" spans="1:2" x14ac:dyDescent="0.2">
      <c r="A2400"/>
      <c r="B2400"/>
    </row>
    <row r="2401" spans="1:2" x14ac:dyDescent="0.2">
      <c r="A2401"/>
      <c r="B2401"/>
    </row>
    <row r="2402" spans="1:2" x14ac:dyDescent="0.2">
      <c r="A2402"/>
      <c r="B2402"/>
    </row>
    <row r="2403" spans="1:2" x14ac:dyDescent="0.2">
      <c r="A2403"/>
      <c r="B2403"/>
    </row>
    <row r="2404" spans="1:2" x14ac:dyDescent="0.2">
      <c r="A2404"/>
      <c r="B2404"/>
    </row>
    <row r="2405" spans="1:2" x14ac:dyDescent="0.2">
      <c r="A2405"/>
      <c r="B2405"/>
    </row>
    <row r="2406" spans="1:2" x14ac:dyDescent="0.2">
      <c r="A2406"/>
      <c r="B2406"/>
    </row>
    <row r="2407" spans="1:2" x14ac:dyDescent="0.2">
      <c r="A2407"/>
      <c r="B2407"/>
    </row>
    <row r="2408" spans="1:2" x14ac:dyDescent="0.2">
      <c r="A2408"/>
      <c r="B2408"/>
    </row>
    <row r="2409" spans="1:2" x14ac:dyDescent="0.2">
      <c r="A2409"/>
      <c r="B2409"/>
    </row>
    <row r="2410" spans="1:2" x14ac:dyDescent="0.2">
      <c r="A2410"/>
      <c r="B2410"/>
    </row>
    <row r="2411" spans="1:2" x14ac:dyDescent="0.2">
      <c r="A2411"/>
      <c r="B2411"/>
    </row>
    <row r="2412" spans="1:2" x14ac:dyDescent="0.2">
      <c r="A2412"/>
      <c r="B2412"/>
    </row>
    <row r="2413" spans="1:2" x14ac:dyDescent="0.2">
      <c r="A2413"/>
      <c r="B2413"/>
    </row>
    <row r="2414" spans="1:2" x14ac:dyDescent="0.2">
      <c r="A2414"/>
      <c r="B2414"/>
    </row>
    <row r="2415" spans="1:2" x14ac:dyDescent="0.2">
      <c r="A2415"/>
      <c r="B2415"/>
    </row>
    <row r="2416" spans="1:2" x14ac:dyDescent="0.2">
      <c r="A2416"/>
      <c r="B2416"/>
    </row>
    <row r="2417" spans="1:2" x14ac:dyDescent="0.2">
      <c r="A2417"/>
      <c r="B2417"/>
    </row>
    <row r="2418" spans="1:2" x14ac:dyDescent="0.2">
      <c r="A2418"/>
      <c r="B2418"/>
    </row>
    <row r="2419" spans="1:2" x14ac:dyDescent="0.2">
      <c r="A2419"/>
      <c r="B2419"/>
    </row>
    <row r="2420" spans="1:2" x14ac:dyDescent="0.2">
      <c r="A2420"/>
      <c r="B2420"/>
    </row>
    <row r="2421" spans="1:2" x14ac:dyDescent="0.2">
      <c r="A2421"/>
      <c r="B2421"/>
    </row>
    <row r="2422" spans="1:2" x14ac:dyDescent="0.2">
      <c r="A2422"/>
      <c r="B2422"/>
    </row>
    <row r="2423" spans="1:2" x14ac:dyDescent="0.2">
      <c r="A2423"/>
      <c r="B2423"/>
    </row>
    <row r="2424" spans="1:2" x14ac:dyDescent="0.2">
      <c r="A2424"/>
      <c r="B2424"/>
    </row>
    <row r="2425" spans="1:2" x14ac:dyDescent="0.2">
      <c r="A2425"/>
      <c r="B2425"/>
    </row>
    <row r="2426" spans="1:2" x14ac:dyDescent="0.2">
      <c r="A2426"/>
      <c r="B2426"/>
    </row>
    <row r="2427" spans="1:2" x14ac:dyDescent="0.2">
      <c r="A2427"/>
      <c r="B2427"/>
    </row>
    <row r="2428" spans="1:2" x14ac:dyDescent="0.2">
      <c r="A2428"/>
      <c r="B2428"/>
    </row>
    <row r="2429" spans="1:2" x14ac:dyDescent="0.2">
      <c r="A2429"/>
      <c r="B2429"/>
    </row>
    <row r="2430" spans="1:2" x14ac:dyDescent="0.2">
      <c r="A2430"/>
      <c r="B2430"/>
    </row>
    <row r="2431" spans="1:2" x14ac:dyDescent="0.2">
      <c r="A2431"/>
      <c r="B2431"/>
    </row>
    <row r="2432" spans="1:2" x14ac:dyDescent="0.2">
      <c r="A2432"/>
      <c r="B2432"/>
    </row>
    <row r="2433" spans="1:2" x14ac:dyDescent="0.2">
      <c r="A2433"/>
      <c r="B2433"/>
    </row>
    <row r="2434" spans="1:2" x14ac:dyDescent="0.2">
      <c r="A2434"/>
      <c r="B2434"/>
    </row>
    <row r="2435" spans="1:2" x14ac:dyDescent="0.2">
      <c r="A2435"/>
      <c r="B2435"/>
    </row>
    <row r="2436" spans="1:2" x14ac:dyDescent="0.2">
      <c r="A2436"/>
      <c r="B2436"/>
    </row>
    <row r="2437" spans="1:2" x14ac:dyDescent="0.2">
      <c r="A2437"/>
      <c r="B2437"/>
    </row>
    <row r="2438" spans="1:2" x14ac:dyDescent="0.2">
      <c r="A2438"/>
      <c r="B2438"/>
    </row>
    <row r="2439" spans="1:2" x14ac:dyDescent="0.2">
      <c r="A2439"/>
      <c r="B2439"/>
    </row>
    <row r="2440" spans="1:2" x14ac:dyDescent="0.2">
      <c r="A2440"/>
      <c r="B2440"/>
    </row>
    <row r="2441" spans="1:2" x14ac:dyDescent="0.2">
      <c r="A2441"/>
      <c r="B2441"/>
    </row>
    <row r="2442" spans="1:2" x14ac:dyDescent="0.2">
      <c r="A2442"/>
      <c r="B2442"/>
    </row>
    <row r="2443" spans="1:2" x14ac:dyDescent="0.2">
      <c r="A2443"/>
      <c r="B2443"/>
    </row>
    <row r="2444" spans="1:2" x14ac:dyDescent="0.2">
      <c r="A2444"/>
      <c r="B2444"/>
    </row>
    <row r="2445" spans="1:2" x14ac:dyDescent="0.2">
      <c r="A2445"/>
      <c r="B2445"/>
    </row>
    <row r="2446" spans="1:2" x14ac:dyDescent="0.2">
      <c r="A2446"/>
      <c r="B2446"/>
    </row>
    <row r="2447" spans="1:2" x14ac:dyDescent="0.2">
      <c r="A2447"/>
      <c r="B2447"/>
    </row>
    <row r="2448" spans="1:2" x14ac:dyDescent="0.2">
      <c r="A2448"/>
      <c r="B2448"/>
    </row>
    <row r="2449" spans="1:2" x14ac:dyDescent="0.2">
      <c r="A2449"/>
      <c r="B2449"/>
    </row>
    <row r="2450" spans="1:2" x14ac:dyDescent="0.2">
      <c r="A2450"/>
      <c r="B2450"/>
    </row>
    <row r="2451" spans="1:2" x14ac:dyDescent="0.2">
      <c r="A2451"/>
      <c r="B2451"/>
    </row>
    <row r="2452" spans="1:2" x14ac:dyDescent="0.2">
      <c r="A2452"/>
      <c r="B2452"/>
    </row>
    <row r="2453" spans="1:2" x14ac:dyDescent="0.2">
      <c r="A2453"/>
      <c r="B2453"/>
    </row>
    <row r="2454" spans="1:2" x14ac:dyDescent="0.2">
      <c r="A2454"/>
      <c r="B2454"/>
    </row>
    <row r="2455" spans="1:2" x14ac:dyDescent="0.2">
      <c r="A2455"/>
      <c r="B2455"/>
    </row>
    <row r="2456" spans="1:2" x14ac:dyDescent="0.2">
      <c r="A2456"/>
      <c r="B2456"/>
    </row>
    <row r="2457" spans="1:2" x14ac:dyDescent="0.2">
      <c r="A2457"/>
      <c r="B2457"/>
    </row>
    <row r="2458" spans="1:2" x14ac:dyDescent="0.2">
      <c r="A2458"/>
      <c r="B2458"/>
    </row>
    <row r="2459" spans="1:2" x14ac:dyDescent="0.2">
      <c r="A2459"/>
      <c r="B2459"/>
    </row>
    <row r="2460" spans="1:2" x14ac:dyDescent="0.2">
      <c r="A2460"/>
      <c r="B2460"/>
    </row>
    <row r="2461" spans="1:2" x14ac:dyDescent="0.2">
      <c r="A2461"/>
      <c r="B2461"/>
    </row>
    <row r="2462" spans="1:2" x14ac:dyDescent="0.2">
      <c r="A2462"/>
      <c r="B2462"/>
    </row>
    <row r="2463" spans="1:2" x14ac:dyDescent="0.2">
      <c r="A2463"/>
      <c r="B2463"/>
    </row>
    <row r="2464" spans="1:2" x14ac:dyDescent="0.2">
      <c r="A2464"/>
      <c r="B2464"/>
    </row>
    <row r="2465" spans="1:2" x14ac:dyDescent="0.2">
      <c r="A2465"/>
      <c r="B2465"/>
    </row>
    <row r="2466" spans="1:2" x14ac:dyDescent="0.2">
      <c r="A2466"/>
      <c r="B2466"/>
    </row>
    <row r="2467" spans="1:2" x14ac:dyDescent="0.2">
      <c r="A2467"/>
      <c r="B2467"/>
    </row>
    <row r="2468" spans="1:2" x14ac:dyDescent="0.2">
      <c r="A2468"/>
      <c r="B2468"/>
    </row>
    <row r="2469" spans="1:2" x14ac:dyDescent="0.2">
      <c r="A2469"/>
      <c r="B2469"/>
    </row>
    <row r="2470" spans="1:2" x14ac:dyDescent="0.2">
      <c r="A2470"/>
      <c r="B2470"/>
    </row>
    <row r="2471" spans="1:2" x14ac:dyDescent="0.2">
      <c r="A2471"/>
      <c r="B2471"/>
    </row>
    <row r="2472" spans="1:2" x14ac:dyDescent="0.2">
      <c r="A2472"/>
      <c r="B2472"/>
    </row>
    <row r="2473" spans="1:2" x14ac:dyDescent="0.2">
      <c r="A2473"/>
      <c r="B2473"/>
    </row>
    <row r="2474" spans="1:2" x14ac:dyDescent="0.2">
      <c r="A2474"/>
      <c r="B2474"/>
    </row>
    <row r="2475" spans="1:2" x14ac:dyDescent="0.2">
      <c r="A2475"/>
      <c r="B2475"/>
    </row>
    <row r="2476" spans="1:2" x14ac:dyDescent="0.2">
      <c r="A2476"/>
      <c r="B2476"/>
    </row>
    <row r="2477" spans="1:2" x14ac:dyDescent="0.2">
      <c r="A2477"/>
      <c r="B2477"/>
    </row>
    <row r="2478" spans="1:2" x14ac:dyDescent="0.2">
      <c r="A2478"/>
      <c r="B2478"/>
    </row>
    <row r="2479" spans="1:2" x14ac:dyDescent="0.2">
      <c r="A2479"/>
      <c r="B2479"/>
    </row>
    <row r="2480" spans="1:2" x14ac:dyDescent="0.2">
      <c r="A2480"/>
      <c r="B2480"/>
    </row>
    <row r="2481" spans="1:2" x14ac:dyDescent="0.2">
      <c r="A2481"/>
      <c r="B2481"/>
    </row>
    <row r="2482" spans="1:2" x14ac:dyDescent="0.2">
      <c r="A2482"/>
      <c r="B2482"/>
    </row>
    <row r="2483" spans="1:2" x14ac:dyDescent="0.2">
      <c r="A2483"/>
      <c r="B2483"/>
    </row>
    <row r="2484" spans="1:2" x14ac:dyDescent="0.2">
      <c r="A2484"/>
      <c r="B2484"/>
    </row>
    <row r="2485" spans="1:2" x14ac:dyDescent="0.2">
      <c r="A2485"/>
      <c r="B2485"/>
    </row>
    <row r="2486" spans="1:2" x14ac:dyDescent="0.2">
      <c r="A2486"/>
      <c r="B2486"/>
    </row>
    <row r="2487" spans="1:2" x14ac:dyDescent="0.2">
      <c r="A2487"/>
      <c r="B2487"/>
    </row>
    <row r="2488" spans="1:2" x14ac:dyDescent="0.2">
      <c r="A2488"/>
      <c r="B2488"/>
    </row>
    <row r="2489" spans="1:2" x14ac:dyDescent="0.2">
      <c r="A2489"/>
      <c r="B2489"/>
    </row>
    <row r="2490" spans="1:2" x14ac:dyDescent="0.2">
      <c r="A2490"/>
      <c r="B2490"/>
    </row>
    <row r="2491" spans="1:2" x14ac:dyDescent="0.2">
      <c r="A2491"/>
      <c r="B2491"/>
    </row>
    <row r="2492" spans="1:2" x14ac:dyDescent="0.2">
      <c r="A2492"/>
      <c r="B2492"/>
    </row>
    <row r="2493" spans="1:2" x14ac:dyDescent="0.2">
      <c r="A2493"/>
      <c r="B2493"/>
    </row>
    <row r="2494" spans="1:2" x14ac:dyDescent="0.2">
      <c r="A2494"/>
      <c r="B2494"/>
    </row>
    <row r="2495" spans="1:2" x14ac:dyDescent="0.2">
      <c r="A2495"/>
      <c r="B2495"/>
    </row>
    <row r="2496" spans="1:2" x14ac:dyDescent="0.2">
      <c r="A2496"/>
      <c r="B2496"/>
    </row>
    <row r="2497" spans="1:2" x14ac:dyDescent="0.2">
      <c r="A2497"/>
      <c r="B2497"/>
    </row>
    <row r="2498" spans="1:2" x14ac:dyDescent="0.2">
      <c r="A2498"/>
      <c r="B2498"/>
    </row>
    <row r="2499" spans="1:2" x14ac:dyDescent="0.2">
      <c r="A2499"/>
      <c r="B2499"/>
    </row>
    <row r="2500" spans="1:2" x14ac:dyDescent="0.2">
      <c r="A2500"/>
      <c r="B2500"/>
    </row>
    <row r="2501" spans="1:2" x14ac:dyDescent="0.2">
      <c r="A2501"/>
      <c r="B2501"/>
    </row>
    <row r="2502" spans="1:2" x14ac:dyDescent="0.2">
      <c r="A2502"/>
      <c r="B2502"/>
    </row>
    <row r="2503" spans="1:2" x14ac:dyDescent="0.2">
      <c r="A2503"/>
      <c r="B2503"/>
    </row>
    <row r="2504" spans="1:2" x14ac:dyDescent="0.2">
      <c r="A2504"/>
      <c r="B2504"/>
    </row>
    <row r="2505" spans="1:2" x14ac:dyDescent="0.2">
      <c r="A2505"/>
      <c r="B2505"/>
    </row>
    <row r="2506" spans="1:2" x14ac:dyDescent="0.2">
      <c r="A2506"/>
      <c r="B2506"/>
    </row>
    <row r="2507" spans="1:2" x14ac:dyDescent="0.2">
      <c r="A2507"/>
      <c r="B2507"/>
    </row>
    <row r="2508" spans="1:2" x14ac:dyDescent="0.2">
      <c r="A2508"/>
      <c r="B2508"/>
    </row>
    <row r="2509" spans="1:2" x14ac:dyDescent="0.2">
      <c r="A2509"/>
      <c r="B2509"/>
    </row>
    <row r="2510" spans="1:2" x14ac:dyDescent="0.2">
      <c r="A2510"/>
      <c r="B2510"/>
    </row>
    <row r="2511" spans="1:2" x14ac:dyDescent="0.2">
      <c r="A2511"/>
      <c r="B2511"/>
    </row>
    <row r="2512" spans="1:2" x14ac:dyDescent="0.2">
      <c r="A2512"/>
      <c r="B2512"/>
    </row>
    <row r="2513" spans="1:2" x14ac:dyDescent="0.2">
      <c r="A2513"/>
      <c r="B2513"/>
    </row>
    <row r="2514" spans="1:2" x14ac:dyDescent="0.2">
      <c r="A2514"/>
      <c r="B2514"/>
    </row>
    <row r="2515" spans="1:2" x14ac:dyDescent="0.2">
      <c r="A2515"/>
      <c r="B2515"/>
    </row>
    <row r="2516" spans="1:2" x14ac:dyDescent="0.2">
      <c r="A2516"/>
      <c r="B2516"/>
    </row>
    <row r="2517" spans="1:2" x14ac:dyDescent="0.2">
      <c r="A2517"/>
      <c r="B2517"/>
    </row>
    <row r="2518" spans="1:2" x14ac:dyDescent="0.2">
      <c r="A2518"/>
      <c r="B2518"/>
    </row>
    <row r="2519" spans="1:2" x14ac:dyDescent="0.2">
      <c r="A2519"/>
      <c r="B2519"/>
    </row>
    <row r="2520" spans="1:2" x14ac:dyDescent="0.2">
      <c r="A2520"/>
      <c r="B2520"/>
    </row>
    <row r="2521" spans="1:2" x14ac:dyDescent="0.2">
      <c r="A2521"/>
      <c r="B2521"/>
    </row>
    <row r="2522" spans="1:2" x14ac:dyDescent="0.2">
      <c r="A2522"/>
      <c r="B2522"/>
    </row>
    <row r="2523" spans="1:2" x14ac:dyDescent="0.2">
      <c r="A2523"/>
      <c r="B2523"/>
    </row>
    <row r="2524" spans="1:2" x14ac:dyDescent="0.2">
      <c r="A2524"/>
      <c r="B2524"/>
    </row>
    <row r="2525" spans="1:2" x14ac:dyDescent="0.2">
      <c r="A2525"/>
      <c r="B2525"/>
    </row>
    <row r="2526" spans="1:2" x14ac:dyDescent="0.2">
      <c r="A2526"/>
      <c r="B2526"/>
    </row>
    <row r="2527" spans="1:2" x14ac:dyDescent="0.2">
      <c r="A2527"/>
      <c r="B2527"/>
    </row>
    <row r="2528" spans="1:2" x14ac:dyDescent="0.2">
      <c r="A2528"/>
      <c r="B2528"/>
    </row>
    <row r="2529" spans="1:2" x14ac:dyDescent="0.2">
      <c r="A2529"/>
      <c r="B2529"/>
    </row>
    <row r="2530" spans="1:2" x14ac:dyDescent="0.2">
      <c r="A2530"/>
      <c r="B2530"/>
    </row>
    <row r="2531" spans="1:2" x14ac:dyDescent="0.2">
      <c r="A2531"/>
      <c r="B2531"/>
    </row>
    <row r="2532" spans="1:2" x14ac:dyDescent="0.2">
      <c r="A2532"/>
      <c r="B2532"/>
    </row>
    <row r="2533" spans="1:2" x14ac:dyDescent="0.2">
      <c r="A2533"/>
      <c r="B2533"/>
    </row>
    <row r="2534" spans="1:2" x14ac:dyDescent="0.2">
      <c r="A2534"/>
      <c r="B2534"/>
    </row>
    <row r="2535" spans="1:2" x14ac:dyDescent="0.2">
      <c r="A2535"/>
      <c r="B2535"/>
    </row>
    <row r="2536" spans="1:2" x14ac:dyDescent="0.2">
      <c r="A2536"/>
      <c r="B2536"/>
    </row>
    <row r="2537" spans="1:2" x14ac:dyDescent="0.2">
      <c r="A2537"/>
      <c r="B2537"/>
    </row>
    <row r="2538" spans="1:2" x14ac:dyDescent="0.2">
      <c r="A2538"/>
      <c r="B2538"/>
    </row>
    <row r="2539" spans="1:2" x14ac:dyDescent="0.2">
      <c r="A2539"/>
      <c r="B2539"/>
    </row>
    <row r="2540" spans="1:2" x14ac:dyDescent="0.2">
      <c r="A2540"/>
      <c r="B2540"/>
    </row>
    <row r="2541" spans="1:2" x14ac:dyDescent="0.2">
      <c r="A2541"/>
      <c r="B2541"/>
    </row>
    <row r="2542" spans="1:2" x14ac:dyDescent="0.2">
      <c r="A2542"/>
      <c r="B2542"/>
    </row>
    <row r="2543" spans="1:2" x14ac:dyDescent="0.2">
      <c r="A2543"/>
      <c r="B2543"/>
    </row>
    <row r="2544" spans="1:2" x14ac:dyDescent="0.2">
      <c r="A2544"/>
      <c r="B2544"/>
    </row>
    <row r="2545" spans="1:2" x14ac:dyDescent="0.2">
      <c r="A2545"/>
      <c r="B2545"/>
    </row>
    <row r="2546" spans="1:2" x14ac:dyDescent="0.2">
      <c r="A2546"/>
      <c r="B2546"/>
    </row>
    <row r="2547" spans="1:2" x14ac:dyDescent="0.2">
      <c r="A2547"/>
      <c r="B2547"/>
    </row>
    <row r="2548" spans="1:2" x14ac:dyDescent="0.2">
      <c r="A2548"/>
      <c r="B2548"/>
    </row>
    <row r="2549" spans="1:2" x14ac:dyDescent="0.2">
      <c r="A2549"/>
      <c r="B2549"/>
    </row>
    <row r="2550" spans="1:2" x14ac:dyDescent="0.2">
      <c r="A2550"/>
      <c r="B2550"/>
    </row>
    <row r="2551" spans="1:2" x14ac:dyDescent="0.2">
      <c r="A2551"/>
      <c r="B2551"/>
    </row>
    <row r="2552" spans="1:2" x14ac:dyDescent="0.2">
      <c r="A2552"/>
      <c r="B2552"/>
    </row>
    <row r="2553" spans="1:2" x14ac:dyDescent="0.2">
      <c r="A2553"/>
      <c r="B2553"/>
    </row>
    <row r="2554" spans="1:2" x14ac:dyDescent="0.2">
      <c r="A2554"/>
      <c r="B2554"/>
    </row>
    <row r="2555" spans="1:2" x14ac:dyDescent="0.2">
      <c r="A2555"/>
      <c r="B2555"/>
    </row>
    <row r="2556" spans="1:2" x14ac:dyDescent="0.2">
      <c r="A2556"/>
      <c r="B2556"/>
    </row>
    <row r="2557" spans="1:2" x14ac:dyDescent="0.2">
      <c r="A2557"/>
      <c r="B2557"/>
    </row>
    <row r="2558" spans="1:2" x14ac:dyDescent="0.2">
      <c r="A2558"/>
      <c r="B2558"/>
    </row>
    <row r="2559" spans="1:2" x14ac:dyDescent="0.2">
      <c r="A2559"/>
      <c r="B2559"/>
    </row>
    <row r="2560" spans="1:2" x14ac:dyDescent="0.2">
      <c r="A2560"/>
      <c r="B2560"/>
    </row>
    <row r="2561" spans="1:2" x14ac:dyDescent="0.2">
      <c r="A2561"/>
      <c r="B2561"/>
    </row>
    <row r="2562" spans="1:2" x14ac:dyDescent="0.2">
      <c r="A2562"/>
      <c r="B2562"/>
    </row>
    <row r="2563" spans="1:2" x14ac:dyDescent="0.2">
      <c r="A2563"/>
      <c r="B2563"/>
    </row>
    <row r="2564" spans="1:2" x14ac:dyDescent="0.2">
      <c r="A2564"/>
      <c r="B2564"/>
    </row>
    <row r="2565" spans="1:2" x14ac:dyDescent="0.2">
      <c r="A2565"/>
      <c r="B2565"/>
    </row>
    <row r="2566" spans="1:2" x14ac:dyDescent="0.2">
      <c r="A2566"/>
      <c r="B2566"/>
    </row>
    <row r="2567" spans="1:2" x14ac:dyDescent="0.2">
      <c r="A2567"/>
      <c r="B2567"/>
    </row>
    <row r="2568" spans="1:2" x14ac:dyDescent="0.2">
      <c r="A2568"/>
      <c r="B2568"/>
    </row>
    <row r="2569" spans="1:2" x14ac:dyDescent="0.2">
      <c r="A2569"/>
      <c r="B2569"/>
    </row>
    <row r="2570" spans="1:2" x14ac:dyDescent="0.2">
      <c r="A2570"/>
      <c r="B2570"/>
    </row>
    <row r="2571" spans="1:2" x14ac:dyDescent="0.2">
      <c r="A2571"/>
      <c r="B2571"/>
    </row>
    <row r="2572" spans="1:2" x14ac:dyDescent="0.2">
      <c r="A2572"/>
      <c r="B2572"/>
    </row>
    <row r="2573" spans="1:2" x14ac:dyDescent="0.2">
      <c r="A2573"/>
      <c r="B2573"/>
    </row>
    <row r="2574" spans="1:2" x14ac:dyDescent="0.2">
      <c r="A2574"/>
      <c r="B2574"/>
    </row>
    <row r="2575" spans="1:2" x14ac:dyDescent="0.2">
      <c r="A2575"/>
      <c r="B2575"/>
    </row>
    <row r="2576" spans="1:2" x14ac:dyDescent="0.2">
      <c r="A2576"/>
      <c r="B2576"/>
    </row>
    <row r="2577" spans="1:2" x14ac:dyDescent="0.2">
      <c r="A2577"/>
      <c r="B2577"/>
    </row>
    <row r="2578" spans="1:2" x14ac:dyDescent="0.2">
      <c r="A2578"/>
      <c r="B2578"/>
    </row>
    <row r="2579" spans="1:2" x14ac:dyDescent="0.2">
      <c r="A2579"/>
      <c r="B2579"/>
    </row>
    <row r="2580" spans="1:2" x14ac:dyDescent="0.2">
      <c r="A2580"/>
      <c r="B2580"/>
    </row>
    <row r="2581" spans="1:2" x14ac:dyDescent="0.2">
      <c r="A2581"/>
      <c r="B2581"/>
    </row>
    <row r="2582" spans="1:2" x14ac:dyDescent="0.2">
      <c r="A2582"/>
      <c r="B2582"/>
    </row>
    <row r="2583" spans="1:2" x14ac:dyDescent="0.2">
      <c r="A2583"/>
      <c r="B2583"/>
    </row>
    <row r="2584" spans="1:2" x14ac:dyDescent="0.2">
      <c r="A2584"/>
      <c r="B2584"/>
    </row>
    <row r="2585" spans="1:2" x14ac:dyDescent="0.2">
      <c r="A2585"/>
      <c r="B2585"/>
    </row>
    <row r="2586" spans="1:2" x14ac:dyDescent="0.2">
      <c r="A2586"/>
      <c r="B2586"/>
    </row>
    <row r="2587" spans="1:2" x14ac:dyDescent="0.2">
      <c r="A2587"/>
      <c r="B2587"/>
    </row>
    <row r="2588" spans="1:2" x14ac:dyDescent="0.2">
      <c r="A2588"/>
      <c r="B2588"/>
    </row>
    <row r="2589" spans="1:2" x14ac:dyDescent="0.2">
      <c r="A2589"/>
      <c r="B2589"/>
    </row>
    <row r="2590" spans="1:2" x14ac:dyDescent="0.2">
      <c r="A2590"/>
      <c r="B2590"/>
    </row>
    <row r="2591" spans="1:2" x14ac:dyDescent="0.2">
      <c r="A2591"/>
      <c r="B2591"/>
    </row>
    <row r="2592" spans="1:2" x14ac:dyDescent="0.2">
      <c r="A2592"/>
      <c r="B2592"/>
    </row>
    <row r="2593" spans="1:2" x14ac:dyDescent="0.2">
      <c r="A2593"/>
      <c r="B2593"/>
    </row>
    <row r="2594" spans="1:2" x14ac:dyDescent="0.2">
      <c r="A2594"/>
      <c r="B2594"/>
    </row>
    <row r="2595" spans="1:2" x14ac:dyDescent="0.2">
      <c r="A2595"/>
      <c r="B2595"/>
    </row>
    <row r="2596" spans="1:2" x14ac:dyDescent="0.2">
      <c r="A2596"/>
      <c r="B2596"/>
    </row>
    <row r="2597" spans="1:2" x14ac:dyDescent="0.2">
      <c r="A2597"/>
      <c r="B2597"/>
    </row>
    <row r="2598" spans="1:2" x14ac:dyDescent="0.2">
      <c r="A2598"/>
      <c r="B2598"/>
    </row>
    <row r="2599" spans="1:2" x14ac:dyDescent="0.2">
      <c r="A2599"/>
      <c r="B2599"/>
    </row>
    <row r="2600" spans="1:2" x14ac:dyDescent="0.2">
      <c r="A2600"/>
      <c r="B2600"/>
    </row>
    <row r="2601" spans="1:2" x14ac:dyDescent="0.2">
      <c r="A2601"/>
      <c r="B2601"/>
    </row>
    <row r="2602" spans="1:2" x14ac:dyDescent="0.2">
      <c r="A2602"/>
      <c r="B2602"/>
    </row>
    <row r="2603" spans="1:2" x14ac:dyDescent="0.2">
      <c r="A2603"/>
      <c r="B2603"/>
    </row>
    <row r="2604" spans="1:2" x14ac:dyDescent="0.2">
      <c r="A2604"/>
      <c r="B2604"/>
    </row>
    <row r="2605" spans="1:2" x14ac:dyDescent="0.2">
      <c r="A2605"/>
      <c r="B2605"/>
    </row>
    <row r="2606" spans="1:2" x14ac:dyDescent="0.2">
      <c r="A2606"/>
      <c r="B2606"/>
    </row>
    <row r="2607" spans="1:2" x14ac:dyDescent="0.2">
      <c r="A2607"/>
      <c r="B2607"/>
    </row>
    <row r="2608" spans="1:2" x14ac:dyDescent="0.2">
      <c r="A2608"/>
      <c r="B2608"/>
    </row>
    <row r="2609" spans="1:2" x14ac:dyDescent="0.2">
      <c r="A2609"/>
      <c r="B2609"/>
    </row>
    <row r="2610" spans="1:2" x14ac:dyDescent="0.2">
      <c r="A2610"/>
      <c r="B2610"/>
    </row>
    <row r="2611" spans="1:2" x14ac:dyDescent="0.2">
      <c r="A2611"/>
      <c r="B2611"/>
    </row>
    <row r="2612" spans="1:2" x14ac:dyDescent="0.2">
      <c r="A2612"/>
      <c r="B2612"/>
    </row>
    <row r="2613" spans="1:2" x14ac:dyDescent="0.2">
      <c r="A2613"/>
      <c r="B2613"/>
    </row>
    <row r="2614" spans="1:2" x14ac:dyDescent="0.2">
      <c r="A2614"/>
      <c r="B2614"/>
    </row>
    <row r="2615" spans="1:2" x14ac:dyDescent="0.2">
      <c r="A2615"/>
      <c r="B2615"/>
    </row>
    <row r="2616" spans="1:2" x14ac:dyDescent="0.2">
      <c r="A2616"/>
      <c r="B2616"/>
    </row>
    <row r="2617" spans="1:2" x14ac:dyDescent="0.2">
      <c r="A2617"/>
      <c r="B2617"/>
    </row>
    <row r="2618" spans="1:2" x14ac:dyDescent="0.2">
      <c r="A2618"/>
      <c r="B2618"/>
    </row>
    <row r="2619" spans="1:2" x14ac:dyDescent="0.2">
      <c r="A2619"/>
      <c r="B2619"/>
    </row>
    <row r="2620" spans="1:2" x14ac:dyDescent="0.2">
      <c r="A2620"/>
      <c r="B2620"/>
    </row>
    <row r="2621" spans="1:2" x14ac:dyDescent="0.2">
      <c r="A2621"/>
      <c r="B2621"/>
    </row>
    <row r="2622" spans="1:2" x14ac:dyDescent="0.2">
      <c r="A2622"/>
      <c r="B2622"/>
    </row>
    <row r="2623" spans="1:2" x14ac:dyDescent="0.2">
      <c r="A2623"/>
      <c r="B2623"/>
    </row>
    <row r="2624" spans="1:2" x14ac:dyDescent="0.2">
      <c r="A2624"/>
      <c r="B2624"/>
    </row>
    <row r="2625" spans="1:2" x14ac:dyDescent="0.2">
      <c r="A2625"/>
      <c r="B2625"/>
    </row>
    <row r="2626" spans="1:2" x14ac:dyDescent="0.2">
      <c r="A2626"/>
      <c r="B2626"/>
    </row>
    <row r="2627" spans="1:2" x14ac:dyDescent="0.2">
      <c r="A2627"/>
      <c r="B2627"/>
    </row>
    <row r="2628" spans="1:2" x14ac:dyDescent="0.2">
      <c r="A2628"/>
      <c r="B2628"/>
    </row>
    <row r="2629" spans="1:2" x14ac:dyDescent="0.2">
      <c r="A2629"/>
      <c r="B2629"/>
    </row>
    <row r="2630" spans="1:2" x14ac:dyDescent="0.2">
      <c r="A2630"/>
      <c r="B2630"/>
    </row>
    <row r="2631" spans="1:2" x14ac:dyDescent="0.2">
      <c r="A2631"/>
      <c r="B2631"/>
    </row>
    <row r="2632" spans="1:2" x14ac:dyDescent="0.2">
      <c r="A2632"/>
      <c r="B2632"/>
    </row>
    <row r="2633" spans="1:2" x14ac:dyDescent="0.2">
      <c r="A2633"/>
      <c r="B2633"/>
    </row>
    <row r="2634" spans="1:2" x14ac:dyDescent="0.2">
      <c r="A2634"/>
      <c r="B2634"/>
    </row>
    <row r="2635" spans="1:2" x14ac:dyDescent="0.2">
      <c r="A2635"/>
      <c r="B2635"/>
    </row>
    <row r="2636" spans="1:2" x14ac:dyDescent="0.2">
      <c r="A2636"/>
      <c r="B2636"/>
    </row>
    <row r="2637" spans="1:2" x14ac:dyDescent="0.2">
      <c r="A2637"/>
      <c r="B2637"/>
    </row>
    <row r="2638" spans="1:2" x14ac:dyDescent="0.2">
      <c r="A2638"/>
      <c r="B2638"/>
    </row>
    <row r="2639" spans="1:2" x14ac:dyDescent="0.2">
      <c r="A2639"/>
      <c r="B2639"/>
    </row>
    <row r="2640" spans="1:2" x14ac:dyDescent="0.2">
      <c r="A2640"/>
      <c r="B2640"/>
    </row>
    <row r="2641" spans="1:2" x14ac:dyDescent="0.2">
      <c r="A2641"/>
      <c r="B2641"/>
    </row>
    <row r="2642" spans="1:2" x14ac:dyDescent="0.2">
      <c r="A2642"/>
      <c r="B2642"/>
    </row>
    <row r="2643" spans="1:2" x14ac:dyDescent="0.2">
      <c r="A2643"/>
      <c r="B2643"/>
    </row>
    <row r="2644" spans="1:2" x14ac:dyDescent="0.2">
      <c r="A2644"/>
      <c r="B2644"/>
    </row>
    <row r="2645" spans="1:2" x14ac:dyDescent="0.2">
      <c r="A2645"/>
      <c r="B2645"/>
    </row>
    <row r="2646" spans="1:2" x14ac:dyDescent="0.2">
      <c r="A2646"/>
      <c r="B2646"/>
    </row>
    <row r="2647" spans="1:2" x14ac:dyDescent="0.2">
      <c r="A2647"/>
      <c r="B2647"/>
    </row>
    <row r="2648" spans="1:2" x14ac:dyDescent="0.2">
      <c r="A2648"/>
      <c r="B2648"/>
    </row>
    <row r="2649" spans="1:2" x14ac:dyDescent="0.2">
      <c r="A2649"/>
      <c r="B2649"/>
    </row>
    <row r="2650" spans="1:2" x14ac:dyDescent="0.2">
      <c r="A2650"/>
      <c r="B2650"/>
    </row>
    <row r="2651" spans="1:2" x14ac:dyDescent="0.2">
      <c r="A2651"/>
      <c r="B2651"/>
    </row>
    <row r="2652" spans="1:2" x14ac:dyDescent="0.2">
      <c r="A2652"/>
      <c r="B2652"/>
    </row>
    <row r="2653" spans="1:2" x14ac:dyDescent="0.2">
      <c r="A2653"/>
      <c r="B2653"/>
    </row>
    <row r="2654" spans="1:2" x14ac:dyDescent="0.2">
      <c r="A2654"/>
      <c r="B2654"/>
    </row>
    <row r="2655" spans="1:2" x14ac:dyDescent="0.2">
      <c r="A2655"/>
      <c r="B2655"/>
    </row>
    <row r="2656" spans="1:2" x14ac:dyDescent="0.2">
      <c r="A2656"/>
      <c r="B2656"/>
    </row>
    <row r="2657" spans="1:2" x14ac:dyDescent="0.2">
      <c r="A2657"/>
      <c r="B2657"/>
    </row>
    <row r="2658" spans="1:2" x14ac:dyDescent="0.2">
      <c r="A2658"/>
      <c r="B2658"/>
    </row>
    <row r="2659" spans="1:2" x14ac:dyDescent="0.2">
      <c r="A2659"/>
      <c r="B2659"/>
    </row>
    <row r="2660" spans="1:2" x14ac:dyDescent="0.2">
      <c r="A2660"/>
      <c r="B2660"/>
    </row>
    <row r="2661" spans="1:2" x14ac:dyDescent="0.2">
      <c r="A2661"/>
      <c r="B2661"/>
    </row>
    <row r="2662" spans="1:2" x14ac:dyDescent="0.2">
      <c r="A2662"/>
      <c r="B2662"/>
    </row>
    <row r="2663" spans="1:2" x14ac:dyDescent="0.2">
      <c r="A2663"/>
      <c r="B2663"/>
    </row>
    <row r="2664" spans="1:2" x14ac:dyDescent="0.2">
      <c r="A2664"/>
      <c r="B2664"/>
    </row>
    <row r="2665" spans="1:2" x14ac:dyDescent="0.2">
      <c r="A2665"/>
      <c r="B2665"/>
    </row>
    <row r="2666" spans="1:2" x14ac:dyDescent="0.2">
      <c r="A2666"/>
      <c r="B2666"/>
    </row>
    <row r="2667" spans="1:2" x14ac:dyDescent="0.2">
      <c r="A2667"/>
      <c r="B2667"/>
    </row>
    <row r="2668" spans="1:2" x14ac:dyDescent="0.2">
      <c r="A2668"/>
      <c r="B2668"/>
    </row>
    <row r="2669" spans="1:2" x14ac:dyDescent="0.2">
      <c r="A2669"/>
      <c r="B2669"/>
    </row>
    <row r="2670" spans="1:2" x14ac:dyDescent="0.2">
      <c r="A2670"/>
      <c r="B2670"/>
    </row>
    <row r="2671" spans="1:2" x14ac:dyDescent="0.2">
      <c r="A2671"/>
      <c r="B2671"/>
    </row>
    <row r="2672" spans="1:2" x14ac:dyDescent="0.2">
      <c r="A2672"/>
      <c r="B2672"/>
    </row>
    <row r="2673" spans="1:2" x14ac:dyDescent="0.2">
      <c r="A2673"/>
      <c r="B2673"/>
    </row>
    <row r="2674" spans="1:2" x14ac:dyDescent="0.2">
      <c r="A2674"/>
      <c r="B2674"/>
    </row>
    <row r="2675" spans="1:2" x14ac:dyDescent="0.2">
      <c r="A2675"/>
      <c r="B2675"/>
    </row>
    <row r="2676" spans="1:2" x14ac:dyDescent="0.2">
      <c r="A2676"/>
      <c r="B2676"/>
    </row>
    <row r="2677" spans="1:2" x14ac:dyDescent="0.2">
      <c r="A2677"/>
      <c r="B2677"/>
    </row>
    <row r="2678" spans="1:2" x14ac:dyDescent="0.2">
      <c r="A2678"/>
      <c r="B2678"/>
    </row>
    <row r="2679" spans="1:2" x14ac:dyDescent="0.2">
      <c r="A2679"/>
      <c r="B2679"/>
    </row>
    <row r="2680" spans="1:2" x14ac:dyDescent="0.2">
      <c r="A2680"/>
      <c r="B2680"/>
    </row>
    <row r="2681" spans="1:2" x14ac:dyDescent="0.2">
      <c r="A2681"/>
      <c r="B2681"/>
    </row>
    <row r="2682" spans="1:2" x14ac:dyDescent="0.2">
      <c r="A2682"/>
      <c r="B2682"/>
    </row>
    <row r="2683" spans="1:2" x14ac:dyDescent="0.2">
      <c r="A2683"/>
      <c r="B2683"/>
    </row>
    <row r="2684" spans="1:2" x14ac:dyDescent="0.2">
      <c r="A2684"/>
      <c r="B2684"/>
    </row>
    <row r="2685" spans="1:2" x14ac:dyDescent="0.2">
      <c r="A2685"/>
      <c r="B2685"/>
    </row>
    <row r="2686" spans="1:2" x14ac:dyDescent="0.2">
      <c r="A2686"/>
      <c r="B2686"/>
    </row>
    <row r="2687" spans="1:2" x14ac:dyDescent="0.2">
      <c r="A2687"/>
      <c r="B2687"/>
    </row>
    <row r="2688" spans="1:2" x14ac:dyDescent="0.2">
      <c r="A2688"/>
      <c r="B2688"/>
    </row>
    <row r="2689" spans="1:2" x14ac:dyDescent="0.2">
      <c r="A2689"/>
      <c r="B2689"/>
    </row>
    <row r="2690" spans="1:2" x14ac:dyDescent="0.2">
      <c r="A2690"/>
      <c r="B2690"/>
    </row>
    <row r="2691" spans="1:2" x14ac:dyDescent="0.2">
      <c r="A2691"/>
      <c r="B2691"/>
    </row>
    <row r="2692" spans="1:2" x14ac:dyDescent="0.2">
      <c r="A2692"/>
      <c r="B2692"/>
    </row>
    <row r="2693" spans="1:2" x14ac:dyDescent="0.2">
      <c r="A2693"/>
      <c r="B2693"/>
    </row>
    <row r="2694" spans="1:2" x14ac:dyDescent="0.2">
      <c r="A2694"/>
      <c r="B2694"/>
    </row>
    <row r="2695" spans="1:2" x14ac:dyDescent="0.2">
      <c r="A2695"/>
      <c r="B2695"/>
    </row>
    <row r="2696" spans="1:2" x14ac:dyDescent="0.2">
      <c r="A2696"/>
      <c r="B2696"/>
    </row>
    <row r="2697" spans="1:2" x14ac:dyDescent="0.2">
      <c r="A2697"/>
      <c r="B2697"/>
    </row>
    <row r="2698" spans="1:2" x14ac:dyDescent="0.2">
      <c r="A2698"/>
      <c r="B2698"/>
    </row>
    <row r="2699" spans="1:2" x14ac:dyDescent="0.2">
      <c r="A2699"/>
      <c r="B2699"/>
    </row>
    <row r="2700" spans="1:2" x14ac:dyDescent="0.2">
      <c r="A2700"/>
      <c r="B2700"/>
    </row>
    <row r="2701" spans="1:2" x14ac:dyDescent="0.2">
      <c r="A2701"/>
      <c r="B2701"/>
    </row>
    <row r="2702" spans="1:2" x14ac:dyDescent="0.2">
      <c r="A2702"/>
      <c r="B2702"/>
    </row>
    <row r="2703" spans="1:2" x14ac:dyDescent="0.2">
      <c r="A2703"/>
      <c r="B2703"/>
    </row>
    <row r="2704" spans="1:2" x14ac:dyDescent="0.2">
      <c r="A2704"/>
      <c r="B2704"/>
    </row>
    <row r="2705" spans="1:2" x14ac:dyDescent="0.2">
      <c r="A2705"/>
      <c r="B2705"/>
    </row>
    <row r="2706" spans="1:2" x14ac:dyDescent="0.2">
      <c r="A2706"/>
      <c r="B2706"/>
    </row>
    <row r="2707" spans="1:2" x14ac:dyDescent="0.2">
      <c r="A2707"/>
      <c r="B2707"/>
    </row>
    <row r="2708" spans="1:2" x14ac:dyDescent="0.2">
      <c r="A2708"/>
      <c r="B2708"/>
    </row>
    <row r="2709" spans="1:2" x14ac:dyDescent="0.2">
      <c r="A2709"/>
      <c r="B2709"/>
    </row>
    <row r="2710" spans="1:2" x14ac:dyDescent="0.2">
      <c r="A2710"/>
      <c r="B2710"/>
    </row>
    <row r="2711" spans="1:2" x14ac:dyDescent="0.2">
      <c r="A2711"/>
      <c r="B2711"/>
    </row>
    <row r="2712" spans="1:2" x14ac:dyDescent="0.2">
      <c r="A2712"/>
      <c r="B2712"/>
    </row>
    <row r="2713" spans="1:2" x14ac:dyDescent="0.2">
      <c r="A2713"/>
      <c r="B2713"/>
    </row>
    <row r="2714" spans="1:2" x14ac:dyDescent="0.2">
      <c r="A2714"/>
      <c r="B2714"/>
    </row>
    <row r="2715" spans="1:2" x14ac:dyDescent="0.2">
      <c r="A2715"/>
      <c r="B2715"/>
    </row>
    <row r="2716" spans="1:2" x14ac:dyDescent="0.2">
      <c r="A2716"/>
      <c r="B2716"/>
    </row>
    <row r="2717" spans="1:2" x14ac:dyDescent="0.2">
      <c r="A2717"/>
      <c r="B2717"/>
    </row>
    <row r="2718" spans="1:2" x14ac:dyDescent="0.2">
      <c r="A2718"/>
      <c r="B2718"/>
    </row>
    <row r="2719" spans="1:2" x14ac:dyDescent="0.2">
      <c r="A2719"/>
      <c r="B2719"/>
    </row>
    <row r="2720" spans="1:2" x14ac:dyDescent="0.2">
      <c r="A2720"/>
      <c r="B2720"/>
    </row>
    <row r="2721" spans="1:2" x14ac:dyDescent="0.2">
      <c r="A2721"/>
      <c r="B2721"/>
    </row>
    <row r="2722" spans="1:2" x14ac:dyDescent="0.2">
      <c r="A2722"/>
      <c r="B2722"/>
    </row>
    <row r="2723" spans="1:2" x14ac:dyDescent="0.2">
      <c r="A2723"/>
      <c r="B2723"/>
    </row>
    <row r="2724" spans="1:2" x14ac:dyDescent="0.2">
      <c r="A2724"/>
      <c r="B2724"/>
    </row>
    <row r="2725" spans="1:2" x14ac:dyDescent="0.2">
      <c r="A2725"/>
      <c r="B2725"/>
    </row>
    <row r="2726" spans="1:2" x14ac:dyDescent="0.2">
      <c r="A2726"/>
      <c r="B2726"/>
    </row>
    <row r="2727" spans="1:2" x14ac:dyDescent="0.2">
      <c r="A2727"/>
      <c r="B2727"/>
    </row>
    <row r="2728" spans="1:2" x14ac:dyDescent="0.2">
      <c r="A2728"/>
      <c r="B2728"/>
    </row>
    <row r="2729" spans="1:2" x14ac:dyDescent="0.2">
      <c r="A2729"/>
      <c r="B2729"/>
    </row>
    <row r="2730" spans="1:2" x14ac:dyDescent="0.2">
      <c r="A2730"/>
      <c r="B2730"/>
    </row>
    <row r="2731" spans="1:2" x14ac:dyDescent="0.2">
      <c r="A2731"/>
      <c r="B2731"/>
    </row>
    <row r="2732" spans="1:2" x14ac:dyDescent="0.2">
      <c r="A2732"/>
      <c r="B2732"/>
    </row>
    <row r="2733" spans="1:2" x14ac:dyDescent="0.2">
      <c r="A2733"/>
      <c r="B2733"/>
    </row>
    <row r="2734" spans="1:2" x14ac:dyDescent="0.2">
      <c r="A2734"/>
      <c r="B2734"/>
    </row>
    <row r="2735" spans="1:2" x14ac:dyDescent="0.2">
      <c r="A2735"/>
      <c r="B2735"/>
    </row>
    <row r="2736" spans="1:2" x14ac:dyDescent="0.2">
      <c r="A2736"/>
      <c r="B2736"/>
    </row>
    <row r="2737" spans="1:2" x14ac:dyDescent="0.2">
      <c r="A2737"/>
      <c r="B2737"/>
    </row>
    <row r="2738" spans="1:2" x14ac:dyDescent="0.2">
      <c r="A2738"/>
      <c r="B2738"/>
    </row>
    <row r="2739" spans="1:2" x14ac:dyDescent="0.2">
      <c r="A2739"/>
      <c r="B2739"/>
    </row>
    <row r="2740" spans="1:2" x14ac:dyDescent="0.2">
      <c r="A2740"/>
      <c r="B2740"/>
    </row>
    <row r="2741" spans="1:2" x14ac:dyDescent="0.2">
      <c r="A2741"/>
      <c r="B2741"/>
    </row>
    <row r="2742" spans="1:2" x14ac:dyDescent="0.2">
      <c r="A2742"/>
      <c r="B2742"/>
    </row>
    <row r="2743" spans="1:2" x14ac:dyDescent="0.2">
      <c r="A2743"/>
      <c r="B2743"/>
    </row>
    <row r="2744" spans="1:2" x14ac:dyDescent="0.2">
      <c r="A2744"/>
      <c r="B2744"/>
    </row>
    <row r="2745" spans="1:2" x14ac:dyDescent="0.2">
      <c r="A2745"/>
      <c r="B2745"/>
    </row>
    <row r="2746" spans="1:2" x14ac:dyDescent="0.2">
      <c r="A2746"/>
      <c r="B2746"/>
    </row>
    <row r="2747" spans="1:2" x14ac:dyDescent="0.2">
      <c r="A2747"/>
      <c r="B2747"/>
    </row>
    <row r="2748" spans="1:2" x14ac:dyDescent="0.2">
      <c r="A2748"/>
      <c r="B2748"/>
    </row>
    <row r="2749" spans="1:2" x14ac:dyDescent="0.2">
      <c r="A2749"/>
      <c r="B2749"/>
    </row>
    <row r="2750" spans="1:2" x14ac:dyDescent="0.2">
      <c r="A2750"/>
      <c r="B2750"/>
    </row>
    <row r="2751" spans="1:2" x14ac:dyDescent="0.2">
      <c r="A2751"/>
      <c r="B2751"/>
    </row>
    <row r="2752" spans="1:2" x14ac:dyDescent="0.2">
      <c r="A2752"/>
      <c r="B2752"/>
    </row>
    <row r="2753" spans="1:2" x14ac:dyDescent="0.2">
      <c r="A2753"/>
      <c r="B2753"/>
    </row>
    <row r="2754" spans="1:2" x14ac:dyDescent="0.2">
      <c r="A2754"/>
      <c r="B2754"/>
    </row>
    <row r="2755" spans="1:2" x14ac:dyDescent="0.2">
      <c r="A2755"/>
      <c r="B2755"/>
    </row>
    <row r="2756" spans="1:2" x14ac:dyDescent="0.2">
      <c r="A2756"/>
      <c r="B2756"/>
    </row>
    <row r="2757" spans="1:2" x14ac:dyDescent="0.2">
      <c r="A2757"/>
      <c r="B2757"/>
    </row>
    <row r="2758" spans="1:2" x14ac:dyDescent="0.2">
      <c r="A2758"/>
      <c r="B2758"/>
    </row>
    <row r="2759" spans="1:2" x14ac:dyDescent="0.2">
      <c r="A2759"/>
      <c r="B2759"/>
    </row>
    <row r="2760" spans="1:2" x14ac:dyDescent="0.2">
      <c r="A2760"/>
      <c r="B2760"/>
    </row>
    <row r="2761" spans="1:2" x14ac:dyDescent="0.2">
      <c r="A2761"/>
      <c r="B2761"/>
    </row>
    <row r="2762" spans="1:2" x14ac:dyDescent="0.2">
      <c r="A2762"/>
      <c r="B2762"/>
    </row>
    <row r="2763" spans="1:2" x14ac:dyDescent="0.2">
      <c r="A2763"/>
      <c r="B2763"/>
    </row>
    <row r="2764" spans="1:2" x14ac:dyDescent="0.2">
      <c r="A2764"/>
      <c r="B2764"/>
    </row>
    <row r="2765" spans="1:2" x14ac:dyDescent="0.2">
      <c r="A2765"/>
      <c r="B2765"/>
    </row>
    <row r="2766" spans="1:2" x14ac:dyDescent="0.2">
      <c r="A2766"/>
      <c r="B2766"/>
    </row>
    <row r="2767" spans="1:2" x14ac:dyDescent="0.2">
      <c r="A2767"/>
      <c r="B2767"/>
    </row>
    <row r="2768" spans="1:2" x14ac:dyDescent="0.2">
      <c r="A2768"/>
      <c r="B2768"/>
    </row>
    <row r="2769" spans="1:2" x14ac:dyDescent="0.2">
      <c r="A2769"/>
      <c r="B2769"/>
    </row>
    <row r="2770" spans="1:2" x14ac:dyDescent="0.2">
      <c r="A2770"/>
      <c r="B2770"/>
    </row>
    <row r="2771" spans="1:2" x14ac:dyDescent="0.2">
      <c r="A2771"/>
      <c r="B2771"/>
    </row>
    <row r="2772" spans="1:2" x14ac:dyDescent="0.2">
      <c r="A2772"/>
      <c r="B2772"/>
    </row>
    <row r="2773" spans="1:2" x14ac:dyDescent="0.2">
      <c r="A2773"/>
      <c r="B2773"/>
    </row>
    <row r="2774" spans="1:2" x14ac:dyDescent="0.2">
      <c r="A2774"/>
      <c r="B2774"/>
    </row>
    <row r="2775" spans="1:2" x14ac:dyDescent="0.2">
      <c r="A2775"/>
      <c r="B2775"/>
    </row>
    <row r="2776" spans="1:2" x14ac:dyDescent="0.2">
      <c r="A2776"/>
      <c r="B2776"/>
    </row>
    <row r="2777" spans="1:2" x14ac:dyDescent="0.2">
      <c r="A2777"/>
      <c r="B2777"/>
    </row>
    <row r="2778" spans="1:2" x14ac:dyDescent="0.2">
      <c r="A2778"/>
      <c r="B2778"/>
    </row>
    <row r="2779" spans="1:2" x14ac:dyDescent="0.2">
      <c r="A2779"/>
      <c r="B2779"/>
    </row>
    <row r="2780" spans="1:2" x14ac:dyDescent="0.2">
      <c r="A2780"/>
      <c r="B2780"/>
    </row>
    <row r="2781" spans="1:2" x14ac:dyDescent="0.2">
      <c r="A2781"/>
      <c r="B2781"/>
    </row>
    <row r="2782" spans="1:2" x14ac:dyDescent="0.2">
      <c r="A2782"/>
      <c r="B2782"/>
    </row>
    <row r="2783" spans="1:2" x14ac:dyDescent="0.2">
      <c r="A2783"/>
      <c r="B2783"/>
    </row>
    <row r="2784" spans="1:2" x14ac:dyDescent="0.2">
      <c r="A2784"/>
      <c r="B2784"/>
    </row>
    <row r="2785" spans="1:2" x14ac:dyDescent="0.2">
      <c r="A2785"/>
      <c r="B2785"/>
    </row>
    <row r="2786" spans="1:2" x14ac:dyDescent="0.2">
      <c r="A2786"/>
      <c r="B2786"/>
    </row>
    <row r="2787" spans="1:2" x14ac:dyDescent="0.2">
      <c r="A2787"/>
      <c r="B2787"/>
    </row>
    <row r="2788" spans="1:2" x14ac:dyDescent="0.2">
      <c r="A2788"/>
      <c r="B2788"/>
    </row>
    <row r="2789" spans="1:2" x14ac:dyDescent="0.2">
      <c r="A2789"/>
      <c r="B2789"/>
    </row>
    <row r="2790" spans="1:2" x14ac:dyDescent="0.2">
      <c r="A2790"/>
      <c r="B2790"/>
    </row>
    <row r="2791" spans="1:2" x14ac:dyDescent="0.2">
      <c r="A2791"/>
      <c r="B2791"/>
    </row>
    <row r="2792" spans="1:2" x14ac:dyDescent="0.2">
      <c r="A2792"/>
      <c r="B2792"/>
    </row>
    <row r="2793" spans="1:2" x14ac:dyDescent="0.2">
      <c r="A2793"/>
      <c r="B2793"/>
    </row>
    <row r="2794" spans="1:2" x14ac:dyDescent="0.2">
      <c r="A2794"/>
      <c r="B2794"/>
    </row>
    <row r="2795" spans="1:2" x14ac:dyDescent="0.2">
      <c r="A2795"/>
      <c r="B2795"/>
    </row>
    <row r="2796" spans="1:2" x14ac:dyDescent="0.2">
      <c r="A2796"/>
      <c r="B2796"/>
    </row>
    <row r="2797" spans="1:2" x14ac:dyDescent="0.2">
      <c r="A2797"/>
      <c r="B2797"/>
    </row>
    <row r="2798" spans="1:2" x14ac:dyDescent="0.2">
      <c r="A2798"/>
      <c r="B2798"/>
    </row>
    <row r="2799" spans="1:2" x14ac:dyDescent="0.2">
      <c r="A2799"/>
      <c r="B2799"/>
    </row>
    <row r="2800" spans="1:2" x14ac:dyDescent="0.2">
      <c r="A2800"/>
      <c r="B2800"/>
    </row>
    <row r="2801" spans="1:2" x14ac:dyDescent="0.2">
      <c r="A2801"/>
      <c r="B2801"/>
    </row>
    <row r="2802" spans="1:2" x14ac:dyDescent="0.2">
      <c r="A2802"/>
      <c r="B2802"/>
    </row>
    <row r="2803" spans="1:2" x14ac:dyDescent="0.2">
      <c r="A2803"/>
      <c r="B2803"/>
    </row>
    <row r="2804" spans="1:2" x14ac:dyDescent="0.2">
      <c r="A2804"/>
      <c r="B2804"/>
    </row>
    <row r="2805" spans="1:2" x14ac:dyDescent="0.2">
      <c r="A2805"/>
      <c r="B2805"/>
    </row>
    <row r="2806" spans="1:2" x14ac:dyDescent="0.2">
      <c r="A2806"/>
      <c r="B2806"/>
    </row>
    <row r="2807" spans="1:2" x14ac:dyDescent="0.2">
      <c r="A2807"/>
      <c r="B2807"/>
    </row>
    <row r="2808" spans="1:2" x14ac:dyDescent="0.2">
      <c r="A2808"/>
      <c r="B2808"/>
    </row>
    <row r="2809" spans="1:2" x14ac:dyDescent="0.2">
      <c r="A2809"/>
      <c r="B2809"/>
    </row>
    <row r="2810" spans="1:2" x14ac:dyDescent="0.2">
      <c r="A2810"/>
      <c r="B2810"/>
    </row>
    <row r="2811" spans="1:2" x14ac:dyDescent="0.2">
      <c r="A2811"/>
      <c r="B2811"/>
    </row>
    <row r="2812" spans="1:2" x14ac:dyDescent="0.2">
      <c r="A2812"/>
      <c r="B2812"/>
    </row>
    <row r="2813" spans="1:2" x14ac:dyDescent="0.2">
      <c r="A2813"/>
      <c r="B2813"/>
    </row>
    <row r="2814" spans="1:2" x14ac:dyDescent="0.2">
      <c r="A2814"/>
      <c r="B2814"/>
    </row>
    <row r="2815" spans="1:2" x14ac:dyDescent="0.2">
      <c r="A2815"/>
      <c r="B2815"/>
    </row>
    <row r="2816" spans="1:2" x14ac:dyDescent="0.2">
      <c r="A2816"/>
      <c r="B2816"/>
    </row>
    <row r="2817" spans="1:2" x14ac:dyDescent="0.2">
      <c r="A2817"/>
      <c r="B2817"/>
    </row>
    <row r="2818" spans="1:2" x14ac:dyDescent="0.2">
      <c r="A2818"/>
      <c r="B2818"/>
    </row>
    <row r="2819" spans="1:2" x14ac:dyDescent="0.2">
      <c r="A2819"/>
      <c r="B2819"/>
    </row>
    <row r="2820" spans="1:2" x14ac:dyDescent="0.2">
      <c r="A2820"/>
      <c r="B2820"/>
    </row>
    <row r="2821" spans="1:2" x14ac:dyDescent="0.2">
      <c r="A2821"/>
      <c r="B2821"/>
    </row>
    <row r="2822" spans="1:2" x14ac:dyDescent="0.2">
      <c r="A2822"/>
      <c r="B2822"/>
    </row>
    <row r="2823" spans="1:2" x14ac:dyDescent="0.2">
      <c r="A2823"/>
      <c r="B2823"/>
    </row>
    <row r="2824" spans="1:2" x14ac:dyDescent="0.2">
      <c r="A2824"/>
      <c r="B2824"/>
    </row>
    <row r="2825" spans="1:2" x14ac:dyDescent="0.2">
      <c r="A2825"/>
      <c r="B2825"/>
    </row>
    <row r="2826" spans="1:2" x14ac:dyDescent="0.2">
      <c r="A2826"/>
      <c r="B2826"/>
    </row>
    <row r="2827" spans="1:2" x14ac:dyDescent="0.2">
      <c r="A2827"/>
      <c r="B2827"/>
    </row>
    <row r="2828" spans="1:2" x14ac:dyDescent="0.2">
      <c r="A2828"/>
      <c r="B2828"/>
    </row>
    <row r="2829" spans="1:2" x14ac:dyDescent="0.2">
      <c r="A2829"/>
      <c r="B2829"/>
    </row>
    <row r="2830" spans="1:2" x14ac:dyDescent="0.2">
      <c r="A2830"/>
      <c r="B2830"/>
    </row>
    <row r="2831" spans="1:2" x14ac:dyDescent="0.2">
      <c r="A2831"/>
      <c r="B2831"/>
    </row>
    <row r="2832" spans="1:2" x14ac:dyDescent="0.2">
      <c r="A2832"/>
      <c r="B2832"/>
    </row>
    <row r="2833" spans="1:2" x14ac:dyDescent="0.2">
      <c r="A2833"/>
      <c r="B2833"/>
    </row>
    <row r="2834" spans="1:2" x14ac:dyDescent="0.2">
      <c r="A2834"/>
      <c r="B2834"/>
    </row>
    <row r="2835" spans="1:2" x14ac:dyDescent="0.2">
      <c r="A2835"/>
      <c r="B2835"/>
    </row>
    <row r="2836" spans="1:2" x14ac:dyDescent="0.2">
      <c r="A2836"/>
      <c r="B2836"/>
    </row>
    <row r="2837" spans="1:2" x14ac:dyDescent="0.2">
      <c r="A2837"/>
      <c r="B2837"/>
    </row>
    <row r="2838" spans="1:2" x14ac:dyDescent="0.2">
      <c r="A2838"/>
      <c r="B2838"/>
    </row>
    <row r="2839" spans="1:2" x14ac:dyDescent="0.2">
      <c r="A2839"/>
      <c r="B2839"/>
    </row>
    <row r="2840" spans="1:2" x14ac:dyDescent="0.2">
      <c r="A2840"/>
      <c r="B2840"/>
    </row>
    <row r="2841" spans="1:2" x14ac:dyDescent="0.2">
      <c r="A2841"/>
      <c r="B2841"/>
    </row>
    <row r="2842" spans="1:2" x14ac:dyDescent="0.2">
      <c r="A2842"/>
      <c r="B2842"/>
    </row>
    <row r="2843" spans="1:2" x14ac:dyDescent="0.2">
      <c r="A2843"/>
      <c r="B2843"/>
    </row>
    <row r="2844" spans="1:2" x14ac:dyDescent="0.2">
      <c r="A2844"/>
      <c r="B2844"/>
    </row>
    <row r="2845" spans="1:2" x14ac:dyDescent="0.2">
      <c r="A2845"/>
      <c r="B2845"/>
    </row>
    <row r="2846" spans="1:2" x14ac:dyDescent="0.2">
      <c r="A2846"/>
      <c r="B2846"/>
    </row>
    <row r="2847" spans="1:2" x14ac:dyDescent="0.2">
      <c r="A2847"/>
      <c r="B2847"/>
    </row>
    <row r="2848" spans="1:2" x14ac:dyDescent="0.2">
      <c r="A2848"/>
      <c r="B2848"/>
    </row>
    <row r="2849" spans="1:2" x14ac:dyDescent="0.2">
      <c r="A2849"/>
      <c r="B2849"/>
    </row>
    <row r="2850" spans="1:2" x14ac:dyDescent="0.2">
      <c r="A2850"/>
      <c r="B2850"/>
    </row>
    <row r="2851" spans="1:2" x14ac:dyDescent="0.2">
      <c r="A2851"/>
      <c r="B2851"/>
    </row>
    <row r="2852" spans="1:2" x14ac:dyDescent="0.2">
      <c r="A2852"/>
      <c r="B2852"/>
    </row>
    <row r="2853" spans="1:2" x14ac:dyDescent="0.2">
      <c r="A2853"/>
      <c r="B2853"/>
    </row>
    <row r="2854" spans="1:2" x14ac:dyDescent="0.2">
      <c r="A2854"/>
      <c r="B2854"/>
    </row>
    <row r="2855" spans="1:2" x14ac:dyDescent="0.2">
      <c r="A2855"/>
      <c r="B2855"/>
    </row>
    <row r="2856" spans="1:2" x14ac:dyDescent="0.2">
      <c r="A2856"/>
      <c r="B2856"/>
    </row>
    <row r="2857" spans="1:2" x14ac:dyDescent="0.2">
      <c r="A2857"/>
      <c r="B2857"/>
    </row>
    <row r="2858" spans="1:2" x14ac:dyDescent="0.2">
      <c r="A2858"/>
      <c r="B2858"/>
    </row>
    <row r="2859" spans="1:2" x14ac:dyDescent="0.2">
      <c r="A2859"/>
      <c r="B2859"/>
    </row>
    <row r="2860" spans="1:2" x14ac:dyDescent="0.2">
      <c r="A2860"/>
      <c r="B2860"/>
    </row>
    <row r="2861" spans="1:2" x14ac:dyDescent="0.2">
      <c r="A2861"/>
      <c r="B2861"/>
    </row>
    <row r="2862" spans="1:2" x14ac:dyDescent="0.2">
      <c r="A2862"/>
      <c r="B2862"/>
    </row>
    <row r="2863" spans="1:2" x14ac:dyDescent="0.2">
      <c r="A2863"/>
      <c r="B2863"/>
    </row>
    <row r="2864" spans="1:2" x14ac:dyDescent="0.2">
      <c r="A2864"/>
      <c r="B2864"/>
    </row>
    <row r="2865" spans="1:2" x14ac:dyDescent="0.2">
      <c r="A2865"/>
      <c r="B2865"/>
    </row>
    <row r="2866" spans="1:2" x14ac:dyDescent="0.2">
      <c r="A2866"/>
      <c r="B2866"/>
    </row>
    <row r="2867" spans="1:2" x14ac:dyDescent="0.2">
      <c r="A2867"/>
      <c r="B2867"/>
    </row>
    <row r="2868" spans="1:2" x14ac:dyDescent="0.2">
      <c r="A2868"/>
      <c r="B2868"/>
    </row>
    <row r="2869" spans="1:2" x14ac:dyDescent="0.2">
      <c r="A2869"/>
      <c r="B2869"/>
    </row>
    <row r="2870" spans="1:2" x14ac:dyDescent="0.2">
      <c r="A2870"/>
      <c r="B2870"/>
    </row>
    <row r="2871" spans="1:2" x14ac:dyDescent="0.2">
      <c r="A2871"/>
      <c r="B2871"/>
    </row>
    <row r="2872" spans="1:2" x14ac:dyDescent="0.2">
      <c r="A2872"/>
      <c r="B2872"/>
    </row>
    <row r="2873" spans="1:2" x14ac:dyDescent="0.2">
      <c r="A2873"/>
      <c r="B2873"/>
    </row>
    <row r="2874" spans="1:2" x14ac:dyDescent="0.2">
      <c r="A2874"/>
      <c r="B2874"/>
    </row>
    <row r="2875" spans="1:2" x14ac:dyDescent="0.2">
      <c r="A2875"/>
      <c r="B2875"/>
    </row>
    <row r="2876" spans="1:2" x14ac:dyDescent="0.2">
      <c r="A2876"/>
      <c r="B2876"/>
    </row>
    <row r="2877" spans="1:2" x14ac:dyDescent="0.2">
      <c r="A2877"/>
      <c r="B2877"/>
    </row>
    <row r="2878" spans="1:2" x14ac:dyDescent="0.2">
      <c r="A2878"/>
      <c r="B2878"/>
    </row>
    <row r="2879" spans="1:2" x14ac:dyDescent="0.2">
      <c r="A2879"/>
      <c r="B2879"/>
    </row>
    <row r="2880" spans="1:2" x14ac:dyDescent="0.2">
      <c r="A2880"/>
      <c r="B2880"/>
    </row>
    <row r="2881" spans="1:2" x14ac:dyDescent="0.2">
      <c r="A2881"/>
      <c r="B2881"/>
    </row>
    <row r="2882" spans="1:2" x14ac:dyDescent="0.2">
      <c r="A2882"/>
      <c r="B2882"/>
    </row>
    <row r="2883" spans="1:2" x14ac:dyDescent="0.2">
      <c r="A2883"/>
      <c r="B2883"/>
    </row>
    <row r="2884" spans="1:2" x14ac:dyDescent="0.2">
      <c r="A2884"/>
      <c r="B2884"/>
    </row>
    <row r="2885" spans="1:2" x14ac:dyDescent="0.2">
      <c r="A2885"/>
      <c r="B2885"/>
    </row>
    <row r="2886" spans="1:2" x14ac:dyDescent="0.2">
      <c r="A2886"/>
      <c r="B2886"/>
    </row>
    <row r="2887" spans="1:2" x14ac:dyDescent="0.2">
      <c r="A2887"/>
      <c r="B2887"/>
    </row>
    <row r="2888" spans="1:2" x14ac:dyDescent="0.2">
      <c r="A2888"/>
      <c r="B2888"/>
    </row>
    <row r="2889" spans="1:2" x14ac:dyDescent="0.2">
      <c r="A2889"/>
      <c r="B2889"/>
    </row>
    <row r="2890" spans="1:2" x14ac:dyDescent="0.2">
      <c r="A2890"/>
      <c r="B2890"/>
    </row>
    <row r="2891" spans="1:2" x14ac:dyDescent="0.2">
      <c r="A2891"/>
      <c r="B2891"/>
    </row>
    <row r="2892" spans="1:2" x14ac:dyDescent="0.2">
      <c r="A2892"/>
      <c r="B2892"/>
    </row>
    <row r="2893" spans="1:2" x14ac:dyDescent="0.2">
      <c r="A2893"/>
      <c r="B2893"/>
    </row>
    <row r="2894" spans="1:2" x14ac:dyDescent="0.2">
      <c r="A2894"/>
      <c r="B2894"/>
    </row>
    <row r="2895" spans="1:2" x14ac:dyDescent="0.2">
      <c r="A2895"/>
      <c r="B2895"/>
    </row>
    <row r="2896" spans="1:2" x14ac:dyDescent="0.2">
      <c r="A2896"/>
      <c r="B2896"/>
    </row>
    <row r="2897" spans="1:2" x14ac:dyDescent="0.2">
      <c r="A2897"/>
      <c r="B2897"/>
    </row>
    <row r="2898" spans="1:2" x14ac:dyDescent="0.2">
      <c r="A2898"/>
      <c r="B2898"/>
    </row>
    <row r="2899" spans="1:2" x14ac:dyDescent="0.2">
      <c r="A2899"/>
      <c r="B2899"/>
    </row>
    <row r="2900" spans="1:2" x14ac:dyDescent="0.2">
      <c r="A2900"/>
      <c r="B2900"/>
    </row>
    <row r="2901" spans="1:2" x14ac:dyDescent="0.2">
      <c r="A2901"/>
      <c r="B2901"/>
    </row>
    <row r="2902" spans="1:2" x14ac:dyDescent="0.2">
      <c r="A2902"/>
      <c r="B2902"/>
    </row>
    <row r="2903" spans="1:2" x14ac:dyDescent="0.2">
      <c r="A2903"/>
      <c r="B2903"/>
    </row>
    <row r="2904" spans="1:2" x14ac:dyDescent="0.2">
      <c r="A2904"/>
      <c r="B2904"/>
    </row>
    <row r="2905" spans="1:2" x14ac:dyDescent="0.2">
      <c r="A2905"/>
      <c r="B2905"/>
    </row>
    <row r="2906" spans="1:2" x14ac:dyDescent="0.2">
      <c r="A2906"/>
      <c r="B2906"/>
    </row>
    <row r="2907" spans="1:2" x14ac:dyDescent="0.2">
      <c r="A2907"/>
      <c r="B2907"/>
    </row>
    <row r="2908" spans="1:2" x14ac:dyDescent="0.2">
      <c r="A2908"/>
      <c r="B2908"/>
    </row>
    <row r="2909" spans="1:2" x14ac:dyDescent="0.2">
      <c r="A2909"/>
      <c r="B2909"/>
    </row>
    <row r="2910" spans="1:2" x14ac:dyDescent="0.2">
      <c r="A2910"/>
      <c r="B2910"/>
    </row>
    <row r="2911" spans="1:2" x14ac:dyDescent="0.2">
      <c r="A2911"/>
      <c r="B2911"/>
    </row>
    <row r="2912" spans="1:2" x14ac:dyDescent="0.2">
      <c r="A2912"/>
      <c r="B2912"/>
    </row>
    <row r="2913" spans="1:2" x14ac:dyDescent="0.2">
      <c r="A2913"/>
      <c r="B2913"/>
    </row>
    <row r="2914" spans="1:2" x14ac:dyDescent="0.2">
      <c r="A2914"/>
      <c r="B2914"/>
    </row>
    <row r="2915" spans="1:2" x14ac:dyDescent="0.2">
      <c r="A2915"/>
      <c r="B2915"/>
    </row>
    <row r="2916" spans="1:2" x14ac:dyDescent="0.2">
      <c r="A2916"/>
      <c r="B2916"/>
    </row>
    <row r="2917" spans="1:2" x14ac:dyDescent="0.2">
      <c r="A2917"/>
      <c r="B2917"/>
    </row>
    <row r="2918" spans="1:2" x14ac:dyDescent="0.2">
      <c r="A2918"/>
      <c r="B2918"/>
    </row>
    <row r="2919" spans="1:2" x14ac:dyDescent="0.2">
      <c r="A2919"/>
      <c r="B2919"/>
    </row>
    <row r="2920" spans="1:2" x14ac:dyDescent="0.2">
      <c r="A2920"/>
      <c r="B2920"/>
    </row>
    <row r="2921" spans="1:2" x14ac:dyDescent="0.2">
      <c r="A2921"/>
      <c r="B2921"/>
    </row>
    <row r="2922" spans="1:2" x14ac:dyDescent="0.2">
      <c r="A2922"/>
      <c r="B2922"/>
    </row>
    <row r="2923" spans="1:2" x14ac:dyDescent="0.2">
      <c r="A2923"/>
      <c r="B2923"/>
    </row>
    <row r="2924" spans="1:2" x14ac:dyDescent="0.2">
      <c r="A2924"/>
      <c r="B2924"/>
    </row>
    <row r="2925" spans="1:2" x14ac:dyDescent="0.2">
      <c r="A2925"/>
      <c r="B2925"/>
    </row>
    <row r="2926" spans="1:2" x14ac:dyDescent="0.2">
      <c r="A2926"/>
      <c r="B2926"/>
    </row>
    <row r="2927" spans="1:2" x14ac:dyDescent="0.2">
      <c r="A2927"/>
      <c r="B2927"/>
    </row>
    <row r="2928" spans="1:2" x14ac:dyDescent="0.2">
      <c r="A2928"/>
      <c r="B2928"/>
    </row>
    <row r="2929" spans="1:2" x14ac:dyDescent="0.2">
      <c r="A2929"/>
      <c r="B2929"/>
    </row>
    <row r="2930" spans="1:2" x14ac:dyDescent="0.2">
      <c r="A2930"/>
      <c r="B2930"/>
    </row>
    <row r="2931" spans="1:2" x14ac:dyDescent="0.2">
      <c r="A2931"/>
      <c r="B2931"/>
    </row>
    <row r="2932" spans="1:2" x14ac:dyDescent="0.2">
      <c r="A2932"/>
      <c r="B2932"/>
    </row>
    <row r="2933" spans="1:2" x14ac:dyDescent="0.2">
      <c r="A2933"/>
      <c r="B2933"/>
    </row>
    <row r="2934" spans="1:2" x14ac:dyDescent="0.2">
      <c r="A2934"/>
      <c r="B2934"/>
    </row>
    <row r="2935" spans="1:2" x14ac:dyDescent="0.2">
      <c r="A2935"/>
      <c r="B2935"/>
    </row>
    <row r="2936" spans="1:2" x14ac:dyDescent="0.2">
      <c r="A2936"/>
      <c r="B2936"/>
    </row>
    <row r="2937" spans="1:2" x14ac:dyDescent="0.2">
      <c r="A2937"/>
      <c r="B2937"/>
    </row>
    <row r="2938" spans="1:2" x14ac:dyDescent="0.2">
      <c r="A2938"/>
      <c r="B2938"/>
    </row>
    <row r="2939" spans="1:2" x14ac:dyDescent="0.2">
      <c r="A2939"/>
      <c r="B2939"/>
    </row>
    <row r="2940" spans="1:2" x14ac:dyDescent="0.2">
      <c r="A2940"/>
      <c r="B2940"/>
    </row>
    <row r="2941" spans="1:2" x14ac:dyDescent="0.2">
      <c r="A2941"/>
      <c r="B2941"/>
    </row>
    <row r="2942" spans="1:2" x14ac:dyDescent="0.2">
      <c r="A2942"/>
      <c r="B2942"/>
    </row>
    <row r="2943" spans="1:2" x14ac:dyDescent="0.2">
      <c r="A2943"/>
      <c r="B2943"/>
    </row>
    <row r="2944" spans="1:2" x14ac:dyDescent="0.2">
      <c r="A2944"/>
      <c r="B2944"/>
    </row>
    <row r="2945" spans="1:2" x14ac:dyDescent="0.2">
      <c r="A2945"/>
      <c r="B2945"/>
    </row>
    <row r="2946" spans="1:2" x14ac:dyDescent="0.2">
      <c r="A2946"/>
      <c r="B2946"/>
    </row>
    <row r="2947" spans="1:2" x14ac:dyDescent="0.2">
      <c r="A2947"/>
      <c r="B2947"/>
    </row>
    <row r="2948" spans="1:2" x14ac:dyDescent="0.2">
      <c r="A2948"/>
      <c r="B2948"/>
    </row>
    <row r="2949" spans="1:2" x14ac:dyDescent="0.2">
      <c r="A2949"/>
      <c r="B2949"/>
    </row>
    <row r="2950" spans="1:2" x14ac:dyDescent="0.2">
      <c r="A2950"/>
      <c r="B2950"/>
    </row>
    <row r="2951" spans="1:2" x14ac:dyDescent="0.2">
      <c r="A2951"/>
      <c r="B2951"/>
    </row>
    <row r="2952" spans="1:2" x14ac:dyDescent="0.2">
      <c r="A2952"/>
      <c r="B2952"/>
    </row>
    <row r="2953" spans="1:2" x14ac:dyDescent="0.2">
      <c r="A2953"/>
      <c r="B2953"/>
    </row>
    <row r="2954" spans="1:2" x14ac:dyDescent="0.2">
      <c r="A2954"/>
      <c r="B2954"/>
    </row>
    <row r="2955" spans="1:2" x14ac:dyDescent="0.2">
      <c r="A2955"/>
      <c r="B2955"/>
    </row>
    <row r="2956" spans="1:2" x14ac:dyDescent="0.2">
      <c r="A2956"/>
      <c r="B2956"/>
    </row>
    <row r="2957" spans="1:2" x14ac:dyDescent="0.2">
      <c r="A2957"/>
      <c r="B2957"/>
    </row>
    <row r="2958" spans="1:2" x14ac:dyDescent="0.2">
      <c r="A2958"/>
      <c r="B2958"/>
    </row>
    <row r="2959" spans="1:2" x14ac:dyDescent="0.2">
      <c r="A2959"/>
      <c r="B2959"/>
    </row>
    <row r="2960" spans="1:2" x14ac:dyDescent="0.2">
      <c r="A2960"/>
      <c r="B2960"/>
    </row>
    <row r="2961" spans="1:2" x14ac:dyDescent="0.2">
      <c r="A2961"/>
      <c r="B2961"/>
    </row>
    <row r="2962" spans="1:2" x14ac:dyDescent="0.2">
      <c r="A2962"/>
      <c r="B2962"/>
    </row>
    <row r="2963" spans="1:2" x14ac:dyDescent="0.2">
      <c r="A2963"/>
      <c r="B2963"/>
    </row>
    <row r="2964" spans="1:2" x14ac:dyDescent="0.2">
      <c r="A2964"/>
      <c r="B2964"/>
    </row>
    <row r="2965" spans="1:2" x14ac:dyDescent="0.2">
      <c r="A2965"/>
      <c r="B2965"/>
    </row>
    <row r="2966" spans="1:2" x14ac:dyDescent="0.2">
      <c r="A2966"/>
      <c r="B2966"/>
    </row>
    <row r="2967" spans="1:2" x14ac:dyDescent="0.2">
      <c r="A2967"/>
      <c r="B2967"/>
    </row>
    <row r="2968" spans="1:2" x14ac:dyDescent="0.2">
      <c r="A2968"/>
      <c r="B2968"/>
    </row>
    <row r="2969" spans="1:2" x14ac:dyDescent="0.2">
      <c r="A2969"/>
      <c r="B2969"/>
    </row>
    <row r="2970" spans="1:2" x14ac:dyDescent="0.2">
      <c r="A2970"/>
      <c r="B2970"/>
    </row>
    <row r="2971" spans="1:2" x14ac:dyDescent="0.2">
      <c r="A2971"/>
      <c r="B2971"/>
    </row>
    <row r="2972" spans="1:2" x14ac:dyDescent="0.2">
      <c r="A2972"/>
      <c r="B2972"/>
    </row>
    <row r="2973" spans="1:2" x14ac:dyDescent="0.2">
      <c r="A2973"/>
      <c r="B2973"/>
    </row>
    <row r="2974" spans="1:2" x14ac:dyDescent="0.2">
      <c r="A2974"/>
      <c r="B2974"/>
    </row>
    <row r="2975" spans="1:2" x14ac:dyDescent="0.2">
      <c r="A2975"/>
      <c r="B2975"/>
    </row>
    <row r="2976" spans="1:2" x14ac:dyDescent="0.2">
      <c r="A2976"/>
      <c r="B2976"/>
    </row>
    <row r="2977" spans="1:2" x14ac:dyDescent="0.2">
      <c r="A2977"/>
      <c r="B2977"/>
    </row>
    <row r="2978" spans="1:2" x14ac:dyDescent="0.2">
      <c r="A2978"/>
      <c r="B2978"/>
    </row>
    <row r="2979" spans="1:2" x14ac:dyDescent="0.2">
      <c r="A2979"/>
      <c r="B2979"/>
    </row>
    <row r="2980" spans="1:2" x14ac:dyDescent="0.2">
      <c r="A2980"/>
      <c r="B2980"/>
    </row>
    <row r="2981" spans="1:2" x14ac:dyDescent="0.2">
      <c r="A2981"/>
      <c r="B2981"/>
    </row>
    <row r="2982" spans="1:2" x14ac:dyDescent="0.2">
      <c r="A2982"/>
      <c r="B2982"/>
    </row>
    <row r="2983" spans="1:2" x14ac:dyDescent="0.2">
      <c r="A2983"/>
      <c r="B2983"/>
    </row>
    <row r="2984" spans="1:2" x14ac:dyDescent="0.2">
      <c r="A2984"/>
      <c r="B2984"/>
    </row>
    <row r="2985" spans="1:2" x14ac:dyDescent="0.2">
      <c r="A2985"/>
      <c r="B2985"/>
    </row>
    <row r="2986" spans="1:2" x14ac:dyDescent="0.2">
      <c r="A2986"/>
      <c r="B2986"/>
    </row>
    <row r="2987" spans="1:2" x14ac:dyDescent="0.2">
      <c r="A2987"/>
      <c r="B2987"/>
    </row>
    <row r="2988" spans="1:2" x14ac:dyDescent="0.2">
      <c r="A2988"/>
      <c r="B2988"/>
    </row>
    <row r="2989" spans="1:2" x14ac:dyDescent="0.2">
      <c r="A2989"/>
      <c r="B2989"/>
    </row>
    <row r="2990" spans="1:2" x14ac:dyDescent="0.2">
      <c r="A2990"/>
      <c r="B2990"/>
    </row>
    <row r="2991" spans="1:2" x14ac:dyDescent="0.2">
      <c r="A2991"/>
      <c r="B2991"/>
    </row>
    <row r="2992" spans="1:2" x14ac:dyDescent="0.2">
      <c r="A2992"/>
      <c r="B2992"/>
    </row>
    <row r="2993" spans="1:2" x14ac:dyDescent="0.2">
      <c r="A2993"/>
      <c r="B2993"/>
    </row>
    <row r="2994" spans="1:2" x14ac:dyDescent="0.2">
      <c r="A2994"/>
      <c r="B2994"/>
    </row>
    <row r="2995" spans="1:2" x14ac:dyDescent="0.2">
      <c r="A2995"/>
      <c r="B2995"/>
    </row>
    <row r="2996" spans="1:2" x14ac:dyDescent="0.2">
      <c r="A2996"/>
      <c r="B2996"/>
    </row>
    <row r="2997" spans="1:2" x14ac:dyDescent="0.2">
      <c r="A2997"/>
      <c r="B2997"/>
    </row>
    <row r="2998" spans="1:2" x14ac:dyDescent="0.2">
      <c r="A2998"/>
      <c r="B2998"/>
    </row>
    <row r="2999" spans="1:2" x14ac:dyDescent="0.2">
      <c r="A2999"/>
      <c r="B2999"/>
    </row>
    <row r="3000" spans="1:2" x14ac:dyDescent="0.2">
      <c r="A3000"/>
      <c r="B3000"/>
    </row>
    <row r="3001" spans="1:2" x14ac:dyDescent="0.2">
      <c r="A3001"/>
      <c r="B3001"/>
    </row>
    <row r="3002" spans="1:2" x14ac:dyDescent="0.2">
      <c r="A3002"/>
      <c r="B3002"/>
    </row>
    <row r="3003" spans="1:2" x14ac:dyDescent="0.2">
      <c r="A3003"/>
      <c r="B3003"/>
    </row>
    <row r="3004" spans="1:2" x14ac:dyDescent="0.2">
      <c r="A3004"/>
      <c r="B3004"/>
    </row>
    <row r="3005" spans="1:2" x14ac:dyDescent="0.2">
      <c r="A3005"/>
      <c r="B3005"/>
    </row>
    <row r="3006" spans="1:2" x14ac:dyDescent="0.2">
      <c r="A3006"/>
      <c r="B3006"/>
    </row>
    <row r="3007" spans="1:2" x14ac:dyDescent="0.2">
      <c r="A3007"/>
      <c r="B3007"/>
    </row>
    <row r="3008" spans="1:2" x14ac:dyDescent="0.2">
      <c r="A3008"/>
      <c r="B3008"/>
    </row>
    <row r="3009" spans="1:1" x14ac:dyDescent="0.2">
      <c r="A3009"/>
    </row>
    <row r="3010" spans="1:1" x14ac:dyDescent="0.2">
      <c r="A3010"/>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M41"/>
  <sheetViews>
    <sheetView showGridLines="0" tabSelected="1" zoomScaleNormal="100" workbookViewId="0">
      <selection activeCell="B29" sqref="B29"/>
    </sheetView>
  </sheetViews>
  <sheetFormatPr defaultColWidth="3.7109375" defaultRowHeight="15" x14ac:dyDescent="0.2"/>
  <cols>
    <col min="1" max="2" width="4.42578125" style="72" customWidth="1"/>
    <col min="3" max="3" width="4.42578125" style="19" customWidth="1"/>
    <col min="4" max="5" width="6.42578125" style="1" customWidth="1"/>
    <col min="6" max="34" width="3.7109375" style="1" customWidth="1"/>
    <col min="35" max="39" width="3.7109375" customWidth="1"/>
    <col min="40" max="65" width="3.7109375" style="1" customWidth="1"/>
    <col min="66" max="16384" width="3.7109375" style="1"/>
  </cols>
  <sheetData>
    <row r="1" spans="1:65" s="28" customFormat="1" ht="12.75" x14ac:dyDescent="0.2">
      <c r="A1" s="82"/>
      <c r="B1" s="82"/>
      <c r="C1" s="29"/>
      <c r="F1" s="29"/>
      <c r="G1" s="29"/>
      <c r="H1" s="29"/>
      <c r="I1" s="29"/>
      <c r="J1" s="29"/>
      <c r="K1" s="29"/>
      <c r="L1" s="29"/>
      <c r="M1" s="29"/>
      <c r="N1" s="29"/>
      <c r="O1" s="29"/>
      <c r="P1" s="29"/>
      <c r="Q1" s="29"/>
      <c r="R1" s="29"/>
      <c r="S1" s="29"/>
      <c r="T1" s="29"/>
      <c r="U1" s="29"/>
      <c r="V1" s="29"/>
      <c r="W1" s="29"/>
      <c r="X1" s="29"/>
      <c r="Y1" s="29"/>
      <c r="Z1" s="29"/>
      <c r="AA1" s="29"/>
      <c r="AB1" s="29"/>
    </row>
    <row r="2" spans="1:65" x14ac:dyDescent="0.2">
      <c r="A2" s="72" t="s">
        <v>1</v>
      </c>
      <c r="B2" s="72" t="s">
        <v>1</v>
      </c>
    </row>
    <row r="3" spans="1:65" ht="12.75" customHeight="1" x14ac:dyDescent="0.2">
      <c r="A3" s="71" t="s">
        <v>7</v>
      </c>
      <c r="B3" s="71" t="s">
        <v>1</v>
      </c>
      <c r="C3" s="24">
        <f>COUNTIF($F$4:$BM$15,A3)</f>
        <v>23</v>
      </c>
      <c r="D3" s="26"/>
      <c r="E3" s="26" t="s">
        <v>648</v>
      </c>
      <c r="G3" s="19"/>
      <c r="H3" s="19"/>
      <c r="I3" s="19"/>
      <c r="J3" s="19"/>
      <c r="K3" s="19"/>
      <c r="L3" s="19"/>
      <c r="M3" s="19"/>
      <c r="N3" s="19"/>
      <c r="O3" s="19"/>
      <c r="P3" s="19"/>
      <c r="Q3" s="19"/>
      <c r="R3" s="19"/>
      <c r="S3" s="19"/>
      <c r="T3" s="19"/>
      <c r="U3" s="19"/>
      <c r="V3" s="19"/>
      <c r="W3" s="19"/>
      <c r="X3" s="19"/>
      <c r="Y3" s="19"/>
      <c r="Z3" s="19"/>
      <c r="AA3" s="19"/>
      <c r="AB3" s="19"/>
    </row>
    <row r="4" spans="1:65" ht="13.5" customHeight="1" x14ac:dyDescent="0.2">
      <c r="A4" s="71" t="s">
        <v>5</v>
      </c>
      <c r="B4" s="71" t="s">
        <v>1</v>
      </c>
      <c r="C4" s="24">
        <f t="shared" ref="C4:C28" si="0">COUNTIF($F$4:$BM$15,A4)</f>
        <v>9</v>
      </c>
      <c r="F4" s="62" t="str">
        <f>IFERROR(LOOKUP(CODE(GENERATOR!T8),'SUBSTITUTION KEY'!$A$1:$A$59,'SUBSTITUTION KEY'!$C$1:$C$59),"")</f>
        <v>O</v>
      </c>
      <c r="G4" s="62" t="str">
        <f>IFERROR(LOOKUP(CODE(GENERATOR!U8),'SUBSTITUTION KEY'!$A$1:$A$59,'SUBSTITUTION KEY'!$C$1:$C$59),"")</f>
        <v>P</v>
      </c>
      <c r="H4" s="62" t="str">
        <f>IFERROR(LOOKUP(CODE(GENERATOR!V8),'SUBSTITUTION KEY'!$A$1:$A$59,'SUBSTITUTION KEY'!$C$1:$C$59),"")</f>
        <v>X</v>
      </c>
      <c r="I4" s="62" t="str">
        <f>IFERROR(LOOKUP(CODE(GENERATOR!W8),'SUBSTITUTION KEY'!$A$1:$A$59,'SUBSTITUTION KEY'!$C$1:$C$59),"")</f>
        <v>X</v>
      </c>
      <c r="J4" s="62" t="str">
        <f>IFERROR(LOOKUP(CODE(GENERATOR!X8),'SUBSTITUTION KEY'!$A$1:$A$59,'SUBSTITUTION KEY'!$C$1:$C$59),"")</f>
        <v>A</v>
      </c>
      <c r="K4" s="62" t="str">
        <f>IFERROR(LOOKUP(CODE(GENERATOR!Y8),'SUBSTITUTION KEY'!$A$1:$A$59,'SUBSTITUTION KEY'!$C$1:$C$59),"")</f>
        <v>N</v>
      </c>
      <c r="L4" s="62" t="str">
        <f>IFERROR(LOOKUP(CODE(GENERATOR!Z8),'SUBSTITUTION KEY'!$A$1:$A$59,'SUBSTITUTION KEY'!$C$1:$C$59),"")</f>
        <v>G</v>
      </c>
      <c r="M4" s="62" t="str">
        <f>IFERROR(LOOKUP(CODE(GENERATOR!AA8),'SUBSTITUTION KEY'!$A$1:$A$59,'SUBSTITUTION KEY'!$C$1:$C$59),"")</f>
        <v>K</v>
      </c>
      <c r="N4" s="62" t="str">
        <f>IFERROR(LOOKUP(CODE(GENERATOR!AB8),'SUBSTITUTION KEY'!$A$1:$A$59,'SUBSTITUTION KEY'!$C$1:$C$59),"")</f>
        <v>P</v>
      </c>
      <c r="O4" s="62" t="str">
        <f>IFERROR(LOOKUP(CODE(GENERATOR!AC8),'SUBSTITUTION KEY'!$A$1:$A$59,'SUBSTITUTION KEY'!$C$1:$C$59),"")</f>
        <v>A</v>
      </c>
      <c r="P4" s="62" t="str">
        <f>IFERROR(LOOKUP(CODE(GENERATOR!AD8),'SUBSTITUTION KEY'!$A$1:$A$59,'SUBSTITUTION KEY'!$C$1:$C$59),"")</f>
        <v>X</v>
      </c>
      <c r="Q4" s="62" t="str">
        <f>IFERROR(LOOKUP(CODE(GENERATOR!AE8),'SUBSTITUTION KEY'!$A$1:$A$59,'SUBSTITUTION KEY'!$C$1:$C$59),"")</f>
        <v>O</v>
      </c>
      <c r="R4" s="62" t="str">
        <f>IFERROR(LOOKUP(CODE(GENERATOR!AF8),'SUBSTITUTION KEY'!$A$1:$A$59,'SUBSTITUTION KEY'!$C$1:$C$59),"")</f>
        <v xml:space="preserve"> </v>
      </c>
      <c r="S4" s="62" t="str">
        <f>IFERROR(LOOKUP(CODE(GENERATOR!AG8),'SUBSTITUTION KEY'!$A$1:$A$59,'SUBSTITUTION KEY'!$C$1:$C$59),"")</f>
        <v>U</v>
      </c>
      <c r="T4" s="62" t="str">
        <f>IFERROR(LOOKUP(CODE(GENERATOR!AH8),'SUBSTITUTION KEY'!$A$1:$A$59,'SUBSTITUTION KEY'!$C$1:$C$59),"")</f>
        <v>A</v>
      </c>
      <c r="U4" s="62" t="str">
        <f>IFERROR(LOOKUP(CODE(GENERATOR!AI8),'SUBSTITUTION KEY'!$A$1:$A$59,'SUBSTITUTION KEY'!$C$1:$C$59),"")</f>
        <v>Y</v>
      </c>
      <c r="V4" s="62" t="str">
        <f>IFERROR(LOOKUP(CODE(GENERATOR!AJ8),'SUBSTITUTION KEY'!$A$1:$A$59,'SUBSTITUTION KEY'!$C$1:$C$59),"")</f>
        <v>S</v>
      </c>
      <c r="W4" s="62" t="str">
        <f>IFERROR(LOOKUP(CODE(GENERATOR!AK8),'SUBSTITUTION KEY'!$A$1:$A$59,'SUBSTITUTION KEY'!$C$1:$C$59),"")</f>
        <v>B</v>
      </c>
      <c r="X4" s="62" t="str">
        <f>IFERROR(LOOKUP(CODE(GENERATOR!AL8),'SUBSTITUTION KEY'!$A$1:$A$59,'SUBSTITUTION KEY'!$C$1:$C$59),"")</f>
        <v xml:space="preserve"> </v>
      </c>
      <c r="Y4" s="62" t="str">
        <f>IFERROR(LOOKUP(CODE(GENERATOR!AM8),'SUBSTITUTION KEY'!$A$1:$A$59,'SUBSTITUTION KEY'!$C$1:$C$59),"")</f>
        <v>L</v>
      </c>
      <c r="Z4" s="62" t="str">
        <f>IFERROR(LOOKUP(CODE(GENERATOR!AN8),'SUBSTITUTION KEY'!$A$1:$A$59,'SUBSTITUTION KEY'!$C$1:$C$59),"")</f>
        <v>F</v>
      </c>
      <c r="AA4" s="62" t="str">
        <f>IFERROR(LOOKUP(CODE(GENERATOR!AO8),'SUBSTITUTION KEY'!$A$1:$A$59,'SUBSTITUTION KEY'!$C$1:$C$59),"")</f>
        <v>A</v>
      </c>
      <c r="AB4" s="62" t="str">
        <f>IFERROR(LOOKUP(CODE(GENERATOR!AP8),'SUBSTITUTION KEY'!$A$1:$A$59,'SUBSTITUTION KEY'!$C$1:$C$59),"")</f>
        <v>Y</v>
      </c>
      <c r="AC4" s="62" t="str">
        <f>IFERROR(LOOKUP(CODE(GENERATOR!AQ8),'SUBSTITUTION KEY'!$A$1:$A$59,'SUBSTITUTION KEY'!$C$1:$C$59),"")</f>
        <v xml:space="preserve"> </v>
      </c>
      <c r="AD4" s="62" t="str">
        <f>IFERROR(LOOKUP(CODE(GENERATOR!AR8),'SUBSTITUTION KEY'!$A$1:$A$59,'SUBSTITUTION KEY'!$C$1:$C$59),"")</f>
        <v>B</v>
      </c>
      <c r="AE4" s="62" t="str">
        <f>IFERROR(LOOKUP(CODE(GENERATOR!AS8),'SUBSTITUTION KEY'!$A$1:$A$59,'SUBSTITUTION KEY'!$C$1:$C$59),"")</f>
        <v>G</v>
      </c>
      <c r="AF4" s="62" t="str">
        <f>IFERROR(LOOKUP(CODE(GENERATOR!AT8),'SUBSTITUTION KEY'!$A$1:$A$59,'SUBSTITUTION KEY'!$C$1:$C$59),"")</f>
        <v>Z</v>
      </c>
      <c r="AG4" s="62" t="str">
        <f>IFERROR(LOOKUP(CODE(GENERATOR!AU8),'SUBSTITUTION KEY'!$A$1:$A$59,'SUBSTITUTION KEY'!$C$1:$C$59),"")</f>
        <v>P</v>
      </c>
      <c r="AH4" s="62" t="str">
        <f>IFERROR(LOOKUP(CODE(GENERATOR!AV8),'SUBSTITUTION KEY'!$A$1:$A$59,'SUBSTITUTION KEY'!$C$1:$C$59),"")</f>
        <v>X</v>
      </c>
      <c r="AI4" s="62" t="str">
        <f>IFERROR(LOOKUP(CODE(GENERATOR!AW8),'SUBSTITUTION KEY'!$A$1:$A$59,'SUBSTITUTION KEY'!$C$1:$C$59),"")</f>
        <v>E</v>
      </c>
      <c r="AJ4" s="62" t="str">
        <f>IFERROR(LOOKUP(CODE(GENERATOR!AX8),'SUBSTITUTION KEY'!$A$1:$A$59,'SUBSTITUTION KEY'!$C$1:$C$59),"")</f>
        <v xml:space="preserve"> </v>
      </c>
      <c r="AK4" s="62" t="str">
        <f>IFERROR(LOOKUP(CODE(GENERATOR!AY8),'SUBSTITUTION KEY'!$A$1:$A$59,'SUBSTITUTION KEY'!$C$1:$C$59),"")</f>
        <v>X</v>
      </c>
      <c r="AL4" s="62" t="str">
        <f>IFERROR(LOOKUP(CODE(GENERATOR!AZ8),'SUBSTITUTION KEY'!$A$1:$A$59,'SUBSTITUTION KEY'!$C$1:$C$59),"")</f>
        <v>A</v>
      </c>
      <c r="AM4" s="62" t="str">
        <f>IFERROR(LOOKUP(CODE(GENERATOR!BA8),'SUBSTITUTION KEY'!$A$1:$A$59,'SUBSTITUTION KEY'!$C$1:$C$59),"")</f>
        <v xml:space="preserve"> </v>
      </c>
      <c r="AN4" s="62" t="str">
        <f>IFERROR(LOOKUP(CODE(GENERATOR!BB8),'SUBSTITUTION KEY'!$A$1:$A$59,'SUBSTITUTION KEY'!$C$1:$C$59),"")</f>
        <v>K</v>
      </c>
      <c r="AO4" s="62" t="str">
        <f>IFERROR(LOOKUP(CODE(GENERATOR!BC8),'SUBSTITUTION KEY'!$A$1:$A$59,'SUBSTITUTION KEY'!$C$1:$C$59),"")</f>
        <v>A</v>
      </c>
      <c r="AP4" s="62" t="str">
        <f>IFERROR(LOOKUP(CODE(GENERATOR!BD8),'SUBSTITUTION KEY'!$A$1:$A$59,'SUBSTITUTION KEY'!$C$1:$C$59),"")</f>
        <v xml:space="preserve"> </v>
      </c>
      <c r="AQ4" s="62" t="str">
        <f>IFERROR(LOOKUP(CODE(GENERATOR!BE8),'SUBSTITUTION KEY'!$A$1:$A$59,'SUBSTITUTION KEY'!$C$1:$C$59),"")</f>
        <v/>
      </c>
      <c r="AR4" s="62" t="str">
        <f>IFERROR(LOOKUP(CODE(GENERATOR!BF8),'SUBSTITUTION KEY'!$A$1:$A$59,'SUBSTITUTION KEY'!$C$1:$C$59),"")</f>
        <v/>
      </c>
      <c r="AS4" s="62" t="str">
        <f>IFERROR(LOOKUP(CODE(GENERATOR!BG8),'SUBSTITUTION KEY'!$A$1:$A$59,'SUBSTITUTION KEY'!$C$1:$C$59),"")</f>
        <v/>
      </c>
      <c r="AT4" s="62" t="str">
        <f>IFERROR(LOOKUP(CODE(GENERATOR!BH8),'SUBSTITUTION KEY'!$A$1:$A$59,'SUBSTITUTION KEY'!$C$1:$C$59),"")</f>
        <v/>
      </c>
      <c r="AU4" s="62" t="str">
        <f>IFERROR(LOOKUP(CODE(GENERATOR!BI8),'SUBSTITUTION KEY'!$A$1:$A$59,'SUBSTITUTION KEY'!$C$1:$C$59),"")</f>
        <v/>
      </c>
      <c r="AV4" s="62" t="str">
        <f>IFERROR(LOOKUP(CODE(GENERATOR!BJ8),'SUBSTITUTION KEY'!$A$1:$A$59,'SUBSTITUTION KEY'!$C$1:$C$59),"")</f>
        <v/>
      </c>
      <c r="AW4" s="62" t="str">
        <f>IFERROR(LOOKUP(CODE(GENERATOR!BK8),'SUBSTITUTION KEY'!$A$1:$A$59,'SUBSTITUTION KEY'!$C$1:$C$59),"")</f>
        <v/>
      </c>
      <c r="AX4" s="62" t="str">
        <f>IFERROR(LOOKUP(CODE(GENERATOR!BL8),'SUBSTITUTION KEY'!$A$1:$A$59,'SUBSTITUTION KEY'!$C$1:$C$59),"")</f>
        <v/>
      </c>
      <c r="AY4" s="62" t="str">
        <f>IFERROR(LOOKUP(CODE(GENERATOR!BM8),'SUBSTITUTION KEY'!$A$1:$A$59,'SUBSTITUTION KEY'!$C$1:$C$59),"")</f>
        <v/>
      </c>
      <c r="AZ4" s="62" t="str">
        <f>IFERROR(LOOKUP(CODE(GENERATOR!BN8),'SUBSTITUTION KEY'!$A$1:$A$59,'SUBSTITUTION KEY'!$C$1:$C$59),"")</f>
        <v/>
      </c>
      <c r="BA4" s="62" t="str">
        <f>IFERROR(LOOKUP(CODE(GENERATOR!BO8),'SUBSTITUTION KEY'!$A$1:$A$59,'SUBSTITUTION KEY'!$C$1:$C$59),"")</f>
        <v/>
      </c>
      <c r="BB4" s="62" t="str">
        <f>IFERROR(LOOKUP(CODE(GENERATOR!BP8),'SUBSTITUTION KEY'!$A$1:$A$59,'SUBSTITUTION KEY'!$C$1:$C$59),"")</f>
        <v/>
      </c>
      <c r="BC4" s="62" t="str">
        <f>IFERROR(LOOKUP(CODE(GENERATOR!BQ8),'SUBSTITUTION KEY'!$A$1:$A$59,'SUBSTITUTION KEY'!$C$1:$C$59),"")</f>
        <v/>
      </c>
      <c r="BD4" s="62" t="str">
        <f>IFERROR(LOOKUP(CODE(GENERATOR!BR8),'SUBSTITUTION KEY'!$A$1:$A$59,'SUBSTITUTION KEY'!$C$1:$C$59),"")</f>
        <v/>
      </c>
      <c r="BE4" s="62" t="str">
        <f>IFERROR(LOOKUP(CODE(GENERATOR!BS8),'SUBSTITUTION KEY'!$A$1:$A$59,'SUBSTITUTION KEY'!$C$1:$C$59),"")</f>
        <v/>
      </c>
      <c r="BF4" s="62" t="str">
        <f>IFERROR(LOOKUP(CODE(GENERATOR!BT8),'SUBSTITUTION KEY'!$A$1:$A$59,'SUBSTITUTION KEY'!$C$1:$C$59),"")</f>
        <v/>
      </c>
      <c r="BG4" s="62" t="str">
        <f>IFERROR(LOOKUP(CODE(GENERATOR!BU8),'SUBSTITUTION KEY'!$A$1:$A$59,'SUBSTITUTION KEY'!$C$1:$C$59),"")</f>
        <v/>
      </c>
      <c r="BH4" s="62" t="str">
        <f>IFERROR(LOOKUP(CODE(GENERATOR!BV8),'SUBSTITUTION KEY'!$A$1:$A$59,'SUBSTITUTION KEY'!$C$1:$C$59),"")</f>
        <v/>
      </c>
      <c r="BI4" s="62" t="str">
        <f>IFERROR(LOOKUP(CODE(GENERATOR!BW8),'SUBSTITUTION KEY'!$A$1:$A$59,'SUBSTITUTION KEY'!$C$1:$C$59),"")</f>
        <v/>
      </c>
      <c r="BJ4" s="62" t="str">
        <f>IFERROR(LOOKUP(CODE(GENERATOR!BX8),'SUBSTITUTION KEY'!$A$1:$A$59,'SUBSTITUTION KEY'!$C$1:$C$59),"")</f>
        <v/>
      </c>
      <c r="BK4" s="62" t="str">
        <f>IFERROR(LOOKUP(CODE(GENERATOR!BY8),'SUBSTITUTION KEY'!$A$1:$A$59,'SUBSTITUTION KEY'!$C$1:$C$59),"")</f>
        <v/>
      </c>
      <c r="BL4" s="62" t="str">
        <f>IFERROR(LOOKUP(CODE(GENERATOR!BZ8),'SUBSTITUTION KEY'!$A$1:$A$59,'SUBSTITUTION KEY'!$C$1:$C$59),"")</f>
        <v/>
      </c>
      <c r="BM4" s="62" t="str">
        <f>IFERROR(LOOKUP(CODE(GENERATOR!CA8),'SUBSTITUTION KEY'!$A$1:$A$59,'SUBSTITUTION KEY'!$C$1:$C$59),"")</f>
        <v/>
      </c>
    </row>
    <row r="5" spans="1:65" ht="13.5" customHeight="1" x14ac:dyDescent="0.2">
      <c r="A5" s="71" t="s">
        <v>18</v>
      </c>
      <c r="B5" s="71" t="s">
        <v>1</v>
      </c>
      <c r="C5" s="24">
        <f t="shared" si="0"/>
        <v>6</v>
      </c>
      <c r="F5" s="62" t="str">
        <f>IFERROR(LOOKUP(CODE(GENERATOR!T9),'SUBSTITUTION KEY'!$A$1:$A$59,'SUBSTITUTION KEY'!$C$1:$C$59),"")</f>
        <v>1</v>
      </c>
      <c r="G5" s="62" t="str">
        <f>IFERROR(LOOKUP(CODE(GENERATOR!U9),'SUBSTITUTION KEY'!$A$1:$A$59,'SUBSTITUTION KEY'!$C$1:$C$59),"")</f>
        <v>,</v>
      </c>
      <c r="H5" s="62" t="str">
        <f>IFERROR(LOOKUP(CODE(GENERATOR!V9),'SUBSTITUTION KEY'!$A$1:$A$59,'SUBSTITUTION KEY'!$C$1:$C$59),"")</f>
        <v>0</v>
      </c>
      <c r="I5" s="62" t="str">
        <f>IFERROR(LOOKUP(CODE(GENERATOR!W9),'SUBSTITUTION KEY'!$A$1:$A$59,'SUBSTITUTION KEY'!$C$1:$C$59),"")</f>
        <v>0</v>
      </c>
      <c r="J5" s="62" t="str">
        <f>IFERROR(LOOKUP(CODE(GENERATOR!X9),'SUBSTITUTION KEY'!$A$1:$A$59,'SUBSTITUTION KEY'!$C$1:$C$59),"")</f>
        <v>0</v>
      </c>
      <c r="K5" s="62" t="str">
        <f>IFERROR(LOOKUP(CODE(GENERATOR!Y9),'SUBSTITUTION KEY'!$A$1:$A$59,'SUBSTITUTION KEY'!$C$1:$C$59),"")</f>
        <v xml:space="preserve"> </v>
      </c>
      <c r="L5" s="62" t="str">
        <f>IFERROR(LOOKUP(CODE(GENERATOR!Z9),'SUBSTITUTION KEY'!$A$1:$A$59,'SUBSTITUTION KEY'!$C$1:$C$59),"")</f>
        <v>K</v>
      </c>
      <c r="M5" s="62" t="str">
        <f>IFERROR(LOOKUP(CODE(GENERATOR!AA9),'SUBSTITUTION KEY'!$A$1:$A$59,'SUBSTITUTION KEY'!$C$1:$C$59),"")</f>
        <v>J</v>
      </c>
      <c r="N5" s="62" t="str">
        <f>IFERROR(LOOKUP(CODE(GENERATOR!AB9),'SUBSTITUTION KEY'!$A$1:$A$59,'SUBSTITUTION KEY'!$C$1:$C$59),"")</f>
        <v>P</v>
      </c>
      <c r="O5" s="62" t="str">
        <f>IFERROR(LOOKUP(CODE(GENERATOR!AC9),'SUBSTITUTION KEY'!$A$1:$A$59,'SUBSTITUTION KEY'!$C$1:$C$59),"")</f>
        <v>X</v>
      </c>
      <c r="P5" s="62" t="str">
        <f>IFERROR(LOOKUP(CODE(GENERATOR!AD9),'SUBSTITUTION KEY'!$A$1:$A$59,'SUBSTITUTION KEY'!$C$1:$C$59),"")</f>
        <v>E</v>
      </c>
      <c r="Q5" s="62" t="str">
        <f>IFERROR(LOOKUP(CODE(GENERATOR!AE9),'SUBSTITUTION KEY'!$A$1:$A$59,'SUBSTITUTION KEY'!$C$1:$C$59),"")</f>
        <v>B</v>
      </c>
      <c r="R5" s="62" t="str">
        <f>IFERROR(LOOKUP(CODE(GENERATOR!AF9),'SUBSTITUTION KEY'!$A$1:$A$59,'SUBSTITUTION KEY'!$C$1:$C$59),"")</f>
        <v xml:space="preserve"> </v>
      </c>
      <c r="S5" s="62" t="str">
        <f>IFERROR(LOOKUP(CODE(GENERATOR!AG9),'SUBSTITUTION KEY'!$A$1:$A$59,'SUBSTITUTION KEY'!$C$1:$C$59),"")</f>
        <v>K</v>
      </c>
      <c r="T5" s="62" t="str">
        <f>IFERROR(LOOKUP(CODE(GENERATOR!AH9),'SUBSTITUTION KEY'!$A$1:$A$59,'SUBSTITUTION KEY'!$C$1:$C$59),"")</f>
        <v>A</v>
      </c>
      <c r="U5" s="62" t="str">
        <f>IFERROR(LOOKUP(CODE(GENERATOR!AI9),'SUBSTITUTION KEY'!$A$1:$A$59,'SUBSTITUTION KEY'!$C$1:$C$59),"")</f>
        <v xml:space="preserve"> </v>
      </c>
      <c r="V5" s="62" t="str">
        <f>IFERROR(LOOKUP(CODE(GENERATOR!AJ9),'SUBSTITUTION KEY'!$A$1:$A$59,'SUBSTITUTION KEY'!$C$1:$C$59),"")</f>
        <v>Y</v>
      </c>
      <c r="W5" s="62" t="str">
        <f>IFERROR(LOOKUP(CODE(GENERATOR!AK9),'SUBSTITUTION KEY'!$A$1:$A$59,'SUBSTITUTION KEY'!$C$1:$C$59),"")</f>
        <v>G</v>
      </c>
      <c r="X5" s="62" t="str">
        <f>IFERROR(LOOKUP(CODE(GENERATOR!AL9),'SUBSTITUTION KEY'!$A$1:$A$59,'SUBSTITUTION KEY'!$C$1:$C$59),"")</f>
        <v>M</v>
      </c>
      <c r="Y5" s="62" t="str">
        <f>IFERROR(LOOKUP(CODE(GENERATOR!AM9),'SUBSTITUTION KEY'!$A$1:$A$59,'SUBSTITUTION KEY'!$C$1:$C$59),"")</f>
        <v>S</v>
      </c>
      <c r="Z5" s="62" t="str">
        <f>IFERROR(LOOKUP(CODE(GENERATOR!AN9),'SUBSTITUTION KEY'!$A$1:$A$59,'SUBSTITUTION KEY'!$C$1:$C$59),"")</f>
        <v xml:space="preserve"> </v>
      </c>
      <c r="AA5" s="62" t="str">
        <f>IFERROR(LOOKUP(CODE(GENERATOR!AO9),'SUBSTITUTION KEY'!$A$1:$A$59,'SUBSTITUTION KEY'!$C$1:$C$59),"")</f>
        <v>B</v>
      </c>
      <c r="AB5" s="62" t="str">
        <f>IFERROR(LOOKUP(CODE(GENERATOR!AP9),'SUBSTITUTION KEY'!$A$1:$A$59,'SUBSTITUTION KEY'!$C$1:$C$59),"")</f>
        <v>H</v>
      </c>
      <c r="AC5" s="62" t="str">
        <f>IFERROR(LOOKUP(CODE(GENERATOR!AQ9),'SUBSTITUTION KEY'!$A$1:$A$59,'SUBSTITUTION KEY'!$C$1:$C$59),"")</f>
        <v>F</v>
      </c>
      <c r="AD5" s="62" t="str">
        <f>IFERROR(LOOKUP(CODE(GENERATOR!AR9),'SUBSTITUTION KEY'!$A$1:$A$59,'SUBSTITUTION KEY'!$C$1:$C$59),"")</f>
        <v>S</v>
      </c>
      <c r="AE5" s="62" t="str">
        <f>IFERROR(LOOKUP(CODE(GENERATOR!AS9),'SUBSTITUTION KEY'!$A$1:$A$59,'SUBSTITUTION KEY'!$C$1:$C$59),"")</f>
        <v xml:space="preserve"> </v>
      </c>
      <c r="AF5" s="62" t="str">
        <f>IFERROR(LOOKUP(CODE(GENERATOR!AT9),'SUBSTITUTION KEY'!$A$1:$A$59,'SUBSTITUTION KEY'!$C$1:$C$59),"")</f>
        <v>C</v>
      </c>
      <c r="AG5" s="62" t="str">
        <f>IFERROR(LOOKUP(CODE(GENERATOR!AU9),'SUBSTITUTION KEY'!$A$1:$A$59,'SUBSTITUTION KEY'!$C$1:$C$59),"")</f>
        <v>S</v>
      </c>
      <c r="AH5" s="62" t="str">
        <f>IFERROR(LOOKUP(CODE(GENERATOR!AV9),'SUBSTITUTION KEY'!$A$1:$A$59,'SUBSTITUTION KEY'!$C$1:$C$59),"")</f>
        <v xml:space="preserve"> </v>
      </c>
      <c r="AI5" s="62" t="str">
        <f>IFERROR(LOOKUP(CODE(GENERATOR!AW9),'SUBSTITUTION KEY'!$A$1:$A$59,'SUBSTITUTION KEY'!$C$1:$C$59),"")</f>
        <v>R</v>
      </c>
      <c r="AJ5" s="62" t="str">
        <f>IFERROR(LOOKUP(CODE(GENERATOR!AX9),'SUBSTITUTION KEY'!$A$1:$A$59,'SUBSTITUTION KEY'!$C$1:$C$59),"")</f>
        <v>A</v>
      </c>
      <c r="AK5" s="62" t="str">
        <f>IFERROR(LOOKUP(CODE(GENERATOR!AY9),'SUBSTITUTION KEY'!$A$1:$A$59,'SUBSTITUTION KEY'!$C$1:$C$59),"")</f>
        <v>X</v>
      </c>
      <c r="AL5" s="62" t="str">
        <f>IFERROR(LOOKUP(CODE(GENERATOR!AZ9),'SUBSTITUTION KEY'!$A$1:$A$59,'SUBSTITUTION KEY'!$C$1:$C$59),"")</f>
        <v>'</v>
      </c>
      <c r="AM5" s="62" t="str">
        <f>IFERROR(LOOKUP(CODE(GENERATOR!BA9),'SUBSTITUTION KEY'!$A$1:$A$59,'SUBSTITUTION KEY'!$C$1:$C$59),"")</f>
        <v>K</v>
      </c>
      <c r="AN5" s="62" t="str">
        <f>IFERROR(LOOKUP(CODE(GENERATOR!BB9),'SUBSTITUTION KEY'!$A$1:$A$59,'SUBSTITUTION KEY'!$C$1:$C$59),"")</f>
        <v xml:space="preserve"> </v>
      </c>
      <c r="AO5" s="62" t="str">
        <f>IFERROR(LOOKUP(CODE(GENERATOR!BC9),'SUBSTITUTION KEY'!$A$1:$A$59,'SUBSTITUTION KEY'!$C$1:$C$59),"")</f>
        <v>E</v>
      </c>
      <c r="AP5" s="62" t="str">
        <f>IFERROR(LOOKUP(CODE(GENERATOR!BD9),'SUBSTITUTION KEY'!$A$1:$A$59,'SUBSTITUTION KEY'!$C$1:$C$59),"")</f>
        <v>S</v>
      </c>
      <c r="AQ5" s="62" t="str">
        <f>IFERROR(LOOKUP(CODE(GENERATOR!BE9),'SUBSTITUTION KEY'!$A$1:$A$59,'SUBSTITUTION KEY'!$C$1:$C$59),"")</f>
        <v>K</v>
      </c>
      <c r="AR5" s="62" t="str">
        <f>IFERROR(LOOKUP(CODE(GENERATOR!BF9),'SUBSTITUTION KEY'!$A$1:$A$59,'SUBSTITUTION KEY'!$C$1:$C$59),"")</f>
        <v xml:space="preserve"> </v>
      </c>
      <c r="AS5" s="62" t="str">
        <f>IFERROR(LOOKUP(CODE(GENERATOR!BG9),'SUBSTITUTION KEY'!$A$1:$A$59,'SUBSTITUTION KEY'!$C$1:$C$59),"")</f>
        <v/>
      </c>
      <c r="AT5" s="62" t="str">
        <f>IFERROR(LOOKUP(CODE(GENERATOR!BH9),'SUBSTITUTION KEY'!$A$1:$A$59,'SUBSTITUTION KEY'!$C$1:$C$59),"")</f>
        <v/>
      </c>
      <c r="AU5" s="62" t="str">
        <f>IFERROR(LOOKUP(CODE(GENERATOR!BI9),'SUBSTITUTION KEY'!$A$1:$A$59,'SUBSTITUTION KEY'!$C$1:$C$59),"")</f>
        <v/>
      </c>
      <c r="AV5" s="62" t="str">
        <f>IFERROR(LOOKUP(CODE(GENERATOR!BJ9),'SUBSTITUTION KEY'!$A$1:$A$59,'SUBSTITUTION KEY'!$C$1:$C$59),"")</f>
        <v/>
      </c>
      <c r="AW5" s="62" t="str">
        <f>IFERROR(LOOKUP(CODE(GENERATOR!BK9),'SUBSTITUTION KEY'!$A$1:$A$59,'SUBSTITUTION KEY'!$C$1:$C$59),"")</f>
        <v/>
      </c>
      <c r="AX5" s="62" t="str">
        <f>IFERROR(LOOKUP(CODE(GENERATOR!BL9),'SUBSTITUTION KEY'!$A$1:$A$59,'SUBSTITUTION KEY'!$C$1:$C$59),"")</f>
        <v/>
      </c>
      <c r="AY5" s="62" t="str">
        <f>IFERROR(LOOKUP(CODE(GENERATOR!BM9),'SUBSTITUTION KEY'!$A$1:$A$59,'SUBSTITUTION KEY'!$C$1:$C$59),"")</f>
        <v/>
      </c>
      <c r="AZ5" s="62" t="str">
        <f>IFERROR(LOOKUP(CODE(GENERATOR!BN9),'SUBSTITUTION KEY'!$A$1:$A$59,'SUBSTITUTION KEY'!$C$1:$C$59),"")</f>
        <v/>
      </c>
      <c r="BA5" s="62" t="str">
        <f>IFERROR(LOOKUP(CODE(GENERATOR!BO9),'SUBSTITUTION KEY'!$A$1:$A$59,'SUBSTITUTION KEY'!$C$1:$C$59),"")</f>
        <v/>
      </c>
      <c r="BB5" s="62" t="str">
        <f>IFERROR(LOOKUP(CODE(GENERATOR!BP9),'SUBSTITUTION KEY'!$A$1:$A$59,'SUBSTITUTION KEY'!$C$1:$C$59),"")</f>
        <v/>
      </c>
      <c r="BC5" s="62" t="str">
        <f>IFERROR(LOOKUP(CODE(GENERATOR!BQ9),'SUBSTITUTION KEY'!$A$1:$A$59,'SUBSTITUTION KEY'!$C$1:$C$59),"")</f>
        <v/>
      </c>
      <c r="BD5" s="62" t="str">
        <f>IFERROR(LOOKUP(CODE(GENERATOR!BR9),'SUBSTITUTION KEY'!$A$1:$A$59,'SUBSTITUTION KEY'!$C$1:$C$59),"")</f>
        <v/>
      </c>
      <c r="BE5" s="62" t="str">
        <f>IFERROR(LOOKUP(CODE(GENERATOR!BS9),'SUBSTITUTION KEY'!$A$1:$A$59,'SUBSTITUTION KEY'!$C$1:$C$59),"")</f>
        <v/>
      </c>
      <c r="BF5" s="62" t="str">
        <f>IFERROR(LOOKUP(CODE(GENERATOR!BT9),'SUBSTITUTION KEY'!$A$1:$A$59,'SUBSTITUTION KEY'!$C$1:$C$59),"")</f>
        <v/>
      </c>
      <c r="BG5" s="62" t="str">
        <f>IFERROR(LOOKUP(CODE(GENERATOR!BU9),'SUBSTITUTION KEY'!$A$1:$A$59,'SUBSTITUTION KEY'!$C$1:$C$59),"")</f>
        <v/>
      </c>
      <c r="BH5" s="62" t="str">
        <f>IFERROR(LOOKUP(CODE(GENERATOR!BV9),'SUBSTITUTION KEY'!$A$1:$A$59,'SUBSTITUTION KEY'!$C$1:$C$59),"")</f>
        <v/>
      </c>
      <c r="BI5" s="62" t="str">
        <f>IFERROR(LOOKUP(CODE(GENERATOR!BW9),'SUBSTITUTION KEY'!$A$1:$A$59,'SUBSTITUTION KEY'!$C$1:$C$59),"")</f>
        <v/>
      </c>
      <c r="BJ5" s="62" t="str">
        <f>IFERROR(LOOKUP(CODE(GENERATOR!BX9),'SUBSTITUTION KEY'!$A$1:$A$59,'SUBSTITUTION KEY'!$C$1:$C$59),"")</f>
        <v/>
      </c>
      <c r="BK5" s="62" t="str">
        <f>IFERROR(LOOKUP(CODE(GENERATOR!BY9),'SUBSTITUTION KEY'!$A$1:$A$59,'SUBSTITUTION KEY'!$C$1:$C$59),"")</f>
        <v/>
      </c>
      <c r="BL5" s="62" t="str">
        <f>IFERROR(LOOKUP(CODE(GENERATOR!BZ9),'SUBSTITUTION KEY'!$A$1:$A$59,'SUBSTITUTION KEY'!$C$1:$C$59),"")</f>
        <v/>
      </c>
      <c r="BM5" s="62" t="str">
        <f>IFERROR(LOOKUP(CODE(GENERATOR!CA9),'SUBSTITUTION KEY'!$A$1:$A$59,'SUBSTITUTION KEY'!$C$1:$C$59),"")</f>
        <v/>
      </c>
    </row>
    <row r="6" spans="1:65" ht="13.5" customHeight="1" x14ac:dyDescent="0.2">
      <c r="A6" s="71" t="s">
        <v>8</v>
      </c>
      <c r="B6" s="71" t="s">
        <v>1</v>
      </c>
      <c r="C6" s="24">
        <f t="shared" si="0"/>
        <v>0</v>
      </c>
      <c r="F6" s="62" t="str">
        <f>IFERROR(LOOKUP(CODE(GENERATOR!T10),'SUBSTITUTION KEY'!$A$1:$A$59,'SUBSTITUTION KEY'!$C$1:$C$59),"")</f>
        <v>A</v>
      </c>
      <c r="G6" s="62" t="str">
        <f>IFERROR(LOOKUP(CODE(GENERATOR!U10),'SUBSTITUTION KEY'!$A$1:$A$59,'SUBSTITUTION KEY'!$C$1:$C$59),"")</f>
        <v>X</v>
      </c>
      <c r="H6" s="62" t="str">
        <f>IFERROR(LOOKUP(CODE(GENERATOR!V10),'SUBSTITUTION KEY'!$A$1:$A$59,'SUBSTITUTION KEY'!$C$1:$C$59),"")</f>
        <v xml:space="preserve"> </v>
      </c>
      <c r="I6" s="62" t="str">
        <f>IFERROR(LOOKUP(CODE(GENERATOR!W10),'SUBSTITUTION KEY'!$A$1:$A$59,'SUBSTITUTION KEY'!$C$1:$C$59),"")</f>
        <v>K</v>
      </c>
      <c r="J6" s="62" t="str">
        <f>IFERROR(LOOKUP(CODE(GENERATOR!X10),'SUBSTITUTION KEY'!$A$1:$A$59,'SUBSTITUTION KEY'!$C$1:$C$59),"")</f>
        <v>J</v>
      </c>
      <c r="K6" s="62" t="str">
        <f>IFERROR(LOOKUP(CODE(GENERATOR!Y10),'SUBSTITUTION KEY'!$A$1:$A$59,'SUBSTITUTION KEY'!$C$1:$C$59),"")</f>
        <v>S</v>
      </c>
      <c r="L6" s="62" t="str">
        <f>IFERROR(LOOKUP(CODE(GENERATOR!Z10),'SUBSTITUTION KEY'!$A$1:$A$59,'SUBSTITUTION KEY'!$C$1:$C$59),"")</f>
        <v xml:space="preserve"> </v>
      </c>
      <c r="M6" s="62" t="str">
        <f>IFERROR(LOOKUP(CODE(GENERATOR!AA10),'SUBSTITUTION KEY'!$A$1:$A$59,'SUBSTITUTION KEY'!$C$1:$C$59),"")</f>
        <v>C</v>
      </c>
      <c r="N6" s="62" t="str">
        <f>IFERROR(LOOKUP(CODE(GENERATOR!AB10),'SUBSTITUTION KEY'!$A$1:$A$59,'SUBSTITUTION KEY'!$C$1:$C$59),"")</f>
        <v>F</v>
      </c>
      <c r="O6" s="62" t="str">
        <f>IFERROR(LOOKUP(CODE(GENERATOR!AC10),'SUBSTITUTION KEY'!$A$1:$A$59,'SUBSTITUTION KEY'!$C$1:$C$59),"")</f>
        <v>A</v>
      </c>
      <c r="P6" s="62" t="str">
        <f>IFERROR(LOOKUP(CODE(GENERATOR!AD10),'SUBSTITUTION KEY'!$A$1:$A$59,'SUBSTITUTION KEY'!$C$1:$C$59),"")</f>
        <v>X</v>
      </c>
      <c r="Q6" s="62" t="str">
        <f>IFERROR(LOOKUP(CODE(GENERATOR!AE10),'SUBSTITUTION KEY'!$A$1:$A$59,'SUBSTITUTION KEY'!$C$1:$C$59),"")</f>
        <v>E</v>
      </c>
      <c r="R6" s="62" t="str">
        <f>IFERROR(LOOKUP(CODE(GENERATOR!AF10),'SUBSTITUTION KEY'!$A$1:$A$59,'SUBSTITUTION KEY'!$C$1:$C$59),"")</f>
        <v xml:space="preserve"> </v>
      </c>
      <c r="S6" s="62" t="str">
        <f>IFERROR(LOOKUP(CODE(GENERATOR!AG10),'SUBSTITUTION KEY'!$A$1:$A$59,'SUBSTITUTION KEY'!$C$1:$C$59),"")</f>
        <v>K</v>
      </c>
      <c r="T6" s="62" t="str">
        <f>IFERROR(LOOKUP(CODE(GENERATOR!AH10),'SUBSTITUTION KEY'!$A$1:$A$59,'SUBSTITUTION KEY'!$C$1:$C$59),"")</f>
        <v>F</v>
      </c>
      <c r="U6" s="62" t="str">
        <f>IFERROR(LOOKUP(CODE(GENERATOR!AI10),'SUBSTITUTION KEY'!$A$1:$A$59,'SUBSTITUTION KEY'!$C$1:$C$59),"")</f>
        <v>G</v>
      </c>
      <c r="V6" s="62" t="str">
        <f>IFERROR(LOOKUP(CODE(GENERATOR!AJ10),'SUBSTITUTION KEY'!$A$1:$A$59,'SUBSTITUTION KEY'!$C$1:$C$59),"")</f>
        <v>U</v>
      </c>
      <c r="W6" s="62" t="str">
        <f>IFERROR(LOOKUP(CODE(GENERATOR!AK10),'SUBSTITUTION KEY'!$A$1:$A$59,'SUBSTITUTION KEY'!$C$1:$C$59),"")</f>
        <v>M</v>
      </c>
      <c r="X6" s="62" t="str">
        <f>IFERROR(LOOKUP(CODE(GENERATOR!AL10),'SUBSTITUTION KEY'!$A$1:$A$59,'SUBSTITUTION KEY'!$C$1:$C$59),"")</f>
        <v xml:space="preserve"> </v>
      </c>
      <c r="Y6" s="62" t="str">
        <f>IFERROR(LOOKUP(CODE(GENERATOR!AM10),'SUBSTITUTION KEY'!$A$1:$A$59,'SUBSTITUTION KEY'!$C$1:$C$59),"")</f>
        <v>A</v>
      </c>
      <c r="Z6" s="62" t="str">
        <f>IFERROR(LOOKUP(CODE(GENERATOR!AN10),'SUBSTITUTION KEY'!$A$1:$A$59,'SUBSTITUTION KEY'!$C$1:$C$59),"")</f>
        <v>F</v>
      </c>
      <c r="AA6" s="62" t="str">
        <f>IFERROR(LOOKUP(CODE(GENERATOR!AO10),'SUBSTITUTION KEY'!$A$1:$A$59,'SUBSTITUTION KEY'!$C$1:$C$59),"")</f>
        <v xml:space="preserve"> </v>
      </c>
      <c r="AB6" s="62" t="str">
        <f>IFERROR(LOOKUP(CODE(GENERATOR!AP10),'SUBSTITUTION KEY'!$A$1:$A$59,'SUBSTITUTION KEY'!$C$1:$C$59),"")</f>
        <v>K</v>
      </c>
      <c r="AC6" s="62" t="str">
        <f>IFERROR(LOOKUP(CODE(GENERATOR!AQ10),'SUBSTITUTION KEY'!$A$1:$A$59,'SUBSTITUTION KEY'!$C$1:$C$59),"")</f>
        <v>F</v>
      </c>
      <c r="AD6" s="62" t="str">
        <f>IFERROR(LOOKUP(CODE(GENERATOR!AR10),'SUBSTITUTION KEY'!$A$1:$A$59,'SUBSTITUTION KEY'!$C$1:$C$59),"")</f>
        <v>Z</v>
      </c>
      <c r="AE6" s="62" t="str">
        <f>IFERROR(LOOKUP(CODE(GENERATOR!AS10),'SUBSTITUTION KEY'!$A$1:$A$59,'SUBSTITUTION KEY'!$C$1:$C$59),"")</f>
        <v xml:space="preserve"> </v>
      </c>
      <c r="AF6" s="62" t="str">
        <f>IFERROR(LOOKUP(CODE(GENERATOR!AT10),'SUBSTITUTION KEY'!$A$1:$A$59,'SUBSTITUTION KEY'!$C$1:$C$59),"")</f>
        <v>K</v>
      </c>
      <c r="AG6" s="62" t="str">
        <f>IFERROR(LOOKUP(CODE(GENERATOR!AU10),'SUBSTITUTION KEY'!$A$1:$A$59,'SUBSTITUTION KEY'!$C$1:$C$59),"")</f>
        <v>A</v>
      </c>
      <c r="AH6" s="62" t="str">
        <f>IFERROR(LOOKUP(CODE(GENERATOR!AV10),'SUBSTITUTION KEY'!$A$1:$A$59,'SUBSTITUTION KEY'!$C$1:$C$59),"")</f>
        <v xml:space="preserve"> </v>
      </c>
      <c r="AI6" s="62" t="str">
        <f>IFERROR(LOOKUP(CODE(GENERATOR!AW10),'SUBSTITUTION KEY'!$A$1:$A$59,'SUBSTITUTION KEY'!$C$1:$C$59),"")</f>
        <v>R</v>
      </c>
      <c r="AJ6" s="62" t="str">
        <f>IFERROR(LOOKUP(CODE(GENERATOR!AX10),'SUBSTITUTION KEY'!$A$1:$A$59,'SUBSTITUTION KEY'!$C$1:$C$59),"")</f>
        <v>A</v>
      </c>
      <c r="AK6" s="62" t="str">
        <f>IFERROR(LOOKUP(CODE(GENERATOR!AY10),'SUBSTITUTION KEY'!$A$1:$A$59,'SUBSTITUTION KEY'!$C$1:$C$59),"")</f>
        <v xml:space="preserve"> </v>
      </c>
      <c r="AL6" s="62" t="str">
        <f>IFERROR(LOOKUP(CODE(GENERATOR!AZ10),'SUBSTITUTION KEY'!$A$1:$A$59,'SUBSTITUTION KEY'!$C$1:$C$59),"")</f>
        <v>K</v>
      </c>
      <c r="AM6" s="62" t="str">
        <f>IFERROR(LOOKUP(CODE(GENERATOR!BA10),'SUBSTITUTION KEY'!$A$1:$A$59,'SUBSTITUTION KEY'!$C$1:$C$59),"")</f>
        <v>A</v>
      </c>
      <c r="AN6" s="62" t="str">
        <f>IFERROR(LOOKUP(CODE(GENERATOR!BB10),'SUBSTITUTION KEY'!$A$1:$A$59,'SUBSTITUTION KEY'!$C$1:$C$59),"")</f>
        <v>A</v>
      </c>
      <c r="AO6" s="62" t="str">
        <f>IFERROR(LOOKUP(CODE(GENERATOR!BC10),'SUBSTITUTION KEY'!$A$1:$A$59,'SUBSTITUTION KEY'!$C$1:$C$59),"")</f>
        <v xml:space="preserve"> </v>
      </c>
      <c r="AP6" s="62" t="str">
        <f>IFERROR(LOOKUP(CODE(GENERATOR!BD10),'SUBSTITUTION KEY'!$A$1:$A$59,'SUBSTITUTION KEY'!$C$1:$C$59),"")</f>
        <v/>
      </c>
      <c r="AQ6" s="62" t="str">
        <f>IFERROR(LOOKUP(CODE(GENERATOR!BE10),'SUBSTITUTION KEY'!$A$1:$A$59,'SUBSTITUTION KEY'!$C$1:$C$59),"")</f>
        <v/>
      </c>
      <c r="AR6" s="62" t="str">
        <f>IFERROR(LOOKUP(CODE(GENERATOR!BF10),'SUBSTITUTION KEY'!$A$1:$A$59,'SUBSTITUTION KEY'!$C$1:$C$59),"")</f>
        <v/>
      </c>
      <c r="AS6" s="62" t="str">
        <f>IFERROR(LOOKUP(CODE(GENERATOR!BG10),'SUBSTITUTION KEY'!$A$1:$A$59,'SUBSTITUTION KEY'!$C$1:$C$59),"")</f>
        <v/>
      </c>
      <c r="AT6" s="62" t="str">
        <f>IFERROR(LOOKUP(CODE(GENERATOR!BH10),'SUBSTITUTION KEY'!$A$1:$A$59,'SUBSTITUTION KEY'!$C$1:$C$59),"")</f>
        <v/>
      </c>
      <c r="AU6" s="62" t="str">
        <f>IFERROR(LOOKUP(CODE(GENERATOR!BI10),'SUBSTITUTION KEY'!$A$1:$A$59,'SUBSTITUTION KEY'!$C$1:$C$59),"")</f>
        <v/>
      </c>
      <c r="AV6" s="62" t="str">
        <f>IFERROR(LOOKUP(CODE(GENERATOR!BJ10),'SUBSTITUTION KEY'!$A$1:$A$59,'SUBSTITUTION KEY'!$C$1:$C$59),"")</f>
        <v/>
      </c>
      <c r="AW6" s="62" t="str">
        <f>IFERROR(LOOKUP(CODE(GENERATOR!BK10),'SUBSTITUTION KEY'!$A$1:$A$59,'SUBSTITUTION KEY'!$C$1:$C$59),"")</f>
        <v/>
      </c>
      <c r="AX6" s="62" t="str">
        <f>IFERROR(LOOKUP(CODE(GENERATOR!BL10),'SUBSTITUTION KEY'!$A$1:$A$59,'SUBSTITUTION KEY'!$C$1:$C$59),"")</f>
        <v/>
      </c>
      <c r="AY6" s="62" t="str">
        <f>IFERROR(LOOKUP(CODE(GENERATOR!BM10),'SUBSTITUTION KEY'!$A$1:$A$59,'SUBSTITUTION KEY'!$C$1:$C$59),"")</f>
        <v/>
      </c>
      <c r="AZ6" s="62" t="str">
        <f>IFERROR(LOOKUP(CODE(GENERATOR!BN10),'SUBSTITUTION KEY'!$A$1:$A$59,'SUBSTITUTION KEY'!$C$1:$C$59),"")</f>
        <v/>
      </c>
      <c r="BA6" s="62" t="str">
        <f>IFERROR(LOOKUP(CODE(GENERATOR!BO10),'SUBSTITUTION KEY'!$A$1:$A$59,'SUBSTITUTION KEY'!$C$1:$C$59),"")</f>
        <v/>
      </c>
      <c r="BB6" s="62" t="str">
        <f>IFERROR(LOOKUP(CODE(GENERATOR!BP10),'SUBSTITUTION KEY'!$A$1:$A$59,'SUBSTITUTION KEY'!$C$1:$C$59),"")</f>
        <v/>
      </c>
      <c r="BC6" s="62" t="str">
        <f>IFERROR(LOOKUP(CODE(GENERATOR!BQ10),'SUBSTITUTION KEY'!$A$1:$A$59,'SUBSTITUTION KEY'!$C$1:$C$59),"")</f>
        <v/>
      </c>
      <c r="BD6" s="62" t="str">
        <f>IFERROR(LOOKUP(CODE(GENERATOR!BR10),'SUBSTITUTION KEY'!$A$1:$A$59,'SUBSTITUTION KEY'!$C$1:$C$59),"")</f>
        <v/>
      </c>
      <c r="BE6" s="62" t="str">
        <f>IFERROR(LOOKUP(CODE(GENERATOR!BS10),'SUBSTITUTION KEY'!$A$1:$A$59,'SUBSTITUTION KEY'!$C$1:$C$59),"")</f>
        <v/>
      </c>
      <c r="BF6" s="62" t="str">
        <f>IFERROR(LOOKUP(CODE(GENERATOR!BT10),'SUBSTITUTION KEY'!$A$1:$A$59,'SUBSTITUTION KEY'!$C$1:$C$59),"")</f>
        <v/>
      </c>
      <c r="BG6" s="62" t="str">
        <f>IFERROR(LOOKUP(CODE(GENERATOR!BU10),'SUBSTITUTION KEY'!$A$1:$A$59,'SUBSTITUTION KEY'!$C$1:$C$59),"")</f>
        <v/>
      </c>
      <c r="BH6" s="62" t="str">
        <f>IFERROR(LOOKUP(CODE(GENERATOR!BV10),'SUBSTITUTION KEY'!$A$1:$A$59,'SUBSTITUTION KEY'!$C$1:$C$59),"")</f>
        <v/>
      </c>
      <c r="BI6" s="62" t="str">
        <f>IFERROR(LOOKUP(CODE(GENERATOR!BW10),'SUBSTITUTION KEY'!$A$1:$A$59,'SUBSTITUTION KEY'!$C$1:$C$59),"")</f>
        <v/>
      </c>
      <c r="BJ6" s="62" t="str">
        <f>IFERROR(LOOKUP(CODE(GENERATOR!BX10),'SUBSTITUTION KEY'!$A$1:$A$59,'SUBSTITUTION KEY'!$C$1:$C$59),"")</f>
        <v/>
      </c>
      <c r="BK6" s="62" t="str">
        <f>IFERROR(LOOKUP(CODE(GENERATOR!BY10),'SUBSTITUTION KEY'!$A$1:$A$59,'SUBSTITUTION KEY'!$C$1:$C$59),"")</f>
        <v/>
      </c>
      <c r="BL6" s="62" t="str">
        <f>IFERROR(LOOKUP(CODE(GENERATOR!BZ10),'SUBSTITUTION KEY'!$A$1:$A$59,'SUBSTITUTION KEY'!$C$1:$C$59),"")</f>
        <v/>
      </c>
      <c r="BM6" s="62" t="str">
        <f>IFERROR(LOOKUP(CODE(GENERATOR!CA10),'SUBSTITUTION KEY'!$A$1:$A$59,'SUBSTITUTION KEY'!$C$1:$C$59),"")</f>
        <v/>
      </c>
    </row>
    <row r="7" spans="1:65" ht="13.5" customHeight="1" x14ac:dyDescent="0.2">
      <c r="A7" s="71" t="s">
        <v>4</v>
      </c>
      <c r="B7" s="71" t="s">
        <v>1</v>
      </c>
      <c r="C7" s="24">
        <f t="shared" si="0"/>
        <v>7</v>
      </c>
      <c r="F7" s="62" t="str">
        <f>IFERROR(LOOKUP(CODE(GENERATOR!T11),'SUBSTITUTION KEY'!$A$1:$A$59,'SUBSTITUTION KEY'!$C$1:$C$59),"")</f>
        <v>Y</v>
      </c>
      <c r="G7" s="62" t="str">
        <f>IFERROR(LOOKUP(CODE(GENERATOR!U11),'SUBSTITUTION KEY'!$A$1:$A$59,'SUBSTITUTION KEY'!$C$1:$C$59),"")</f>
        <v>H</v>
      </c>
      <c r="H7" s="62" t="str">
        <f>IFERROR(LOOKUP(CODE(GENERATOR!V11),'SUBSTITUTION KEY'!$A$1:$A$59,'SUBSTITUTION KEY'!$C$1:$C$59),"")</f>
        <v>U</v>
      </c>
      <c r="I7" s="62" t="str">
        <f>IFERROR(LOOKUP(CODE(GENERATOR!W11),'SUBSTITUTION KEY'!$A$1:$A$59,'SUBSTITUTION KEY'!$C$1:$C$59),"")</f>
        <v>J</v>
      </c>
      <c r="J7" s="62" t="str">
        <f>IFERROR(LOOKUP(CODE(GENERATOR!X11),'SUBSTITUTION KEY'!$A$1:$A$59,'SUBSTITUTION KEY'!$C$1:$C$59),"")</f>
        <v>.</v>
      </c>
      <c r="K7" s="62" t="str">
        <f>IFERROR(LOOKUP(CODE(GENERATOR!Y11),'SUBSTITUTION KEY'!$A$1:$A$59,'SUBSTITUTION KEY'!$C$1:$C$59),"")</f>
        <v xml:space="preserve"> </v>
      </c>
      <c r="L7" s="62" t="str">
        <f>IFERROR(LOOKUP(CODE(GENERATOR!Z11),'SUBSTITUTION KEY'!$A$1:$A$59,'SUBSTITUTION KEY'!$C$1:$C$59),"")</f>
        <v>C</v>
      </c>
      <c r="M7" s="62" t="str">
        <f>IFERROR(LOOKUP(CODE(GENERATOR!AA11),'SUBSTITUTION KEY'!$A$1:$A$59,'SUBSTITUTION KEY'!$C$1:$C$59),"")</f>
        <v>S</v>
      </c>
      <c r="N7" s="62" t="str">
        <f>IFERROR(LOOKUP(CODE(GENERATOR!AB11),'SUBSTITUTION KEY'!$A$1:$A$59,'SUBSTITUTION KEY'!$C$1:$C$59),"")</f>
        <v>'</v>
      </c>
      <c r="O7" s="62" t="str">
        <f>IFERROR(LOOKUP(CODE(GENERATOR!AC11),'SUBSTITUTION KEY'!$A$1:$A$59,'SUBSTITUTION KEY'!$C$1:$C$59),"")</f>
        <v>F</v>
      </c>
      <c r="P7" s="62" t="str">
        <f>IFERROR(LOOKUP(CODE(GENERATOR!AD11),'SUBSTITUTION KEY'!$A$1:$A$59,'SUBSTITUTION KEY'!$C$1:$C$59),"")</f>
        <v>S</v>
      </c>
      <c r="Q7" s="62" t="str">
        <f>IFERROR(LOOKUP(CODE(GENERATOR!AE11),'SUBSTITUTION KEY'!$A$1:$A$59,'SUBSTITUTION KEY'!$C$1:$C$59),"")</f>
        <v xml:space="preserve"> </v>
      </c>
      <c r="R7" s="62" t="str">
        <f>IFERROR(LOOKUP(CODE(GENERATOR!AF11),'SUBSTITUTION KEY'!$A$1:$A$59,'SUBSTITUTION KEY'!$C$1:$C$59),"")</f>
        <v>G</v>
      </c>
      <c r="S7" s="62" t="str">
        <f>IFERROR(LOOKUP(CODE(GENERATOR!AG11),'SUBSTITUTION KEY'!$A$1:$A$59,'SUBSTITUTION KEY'!$C$1:$C$59),"")</f>
        <v>I</v>
      </c>
      <c r="T7" s="62" t="str">
        <f>IFERROR(LOOKUP(CODE(GENERATOR!AH11),'SUBSTITUTION KEY'!$A$1:$A$59,'SUBSTITUTION KEY'!$C$1:$C$59),"")</f>
        <v>C</v>
      </c>
      <c r="U7" s="62" t="str">
        <f>IFERROR(LOOKUP(CODE(GENERATOR!AI11),'SUBSTITUTION KEY'!$A$1:$A$59,'SUBSTITUTION KEY'!$C$1:$C$59),"")</f>
        <v>G</v>
      </c>
      <c r="V7" s="62" t="str">
        <f>IFERROR(LOOKUP(CODE(GENERATOR!AJ11),'SUBSTITUTION KEY'!$A$1:$A$59,'SUBSTITUTION KEY'!$C$1:$C$59),"")</f>
        <v>Z</v>
      </c>
      <c r="W7" s="62" t="str">
        <f>IFERROR(LOOKUP(CODE(GENERATOR!AK11),'SUBSTITUTION KEY'!$A$1:$A$59,'SUBSTITUTION KEY'!$C$1:$C$59),"")</f>
        <v>B</v>
      </c>
      <c r="X7" s="62" t="str">
        <f>IFERROR(LOOKUP(CODE(GENERATOR!AL11),'SUBSTITUTION KEY'!$A$1:$A$59,'SUBSTITUTION KEY'!$C$1:$C$59),"")</f>
        <v xml:space="preserve"> </v>
      </c>
      <c r="Y7" s="62" t="str">
        <f>IFERROR(LOOKUP(CODE(GENERATOR!AM11),'SUBSTITUTION KEY'!$A$1:$A$59,'SUBSTITUTION KEY'!$C$1:$C$59),"")</f>
        <v>K</v>
      </c>
      <c r="Z7" s="62" t="str">
        <f>IFERROR(LOOKUP(CODE(GENERATOR!AN11),'SUBSTITUTION KEY'!$A$1:$A$59,'SUBSTITUTION KEY'!$C$1:$C$59),"")</f>
        <v>J</v>
      </c>
      <c r="AA7" s="62" t="str">
        <f>IFERROR(LOOKUP(CODE(GENERATOR!AO11),'SUBSTITUTION KEY'!$A$1:$A$59,'SUBSTITUTION KEY'!$C$1:$C$59),"")</f>
        <v>P</v>
      </c>
      <c r="AB7" s="62" t="str">
        <f>IFERROR(LOOKUP(CODE(GENERATOR!AP11),'SUBSTITUTION KEY'!$A$1:$A$59,'SUBSTITUTION KEY'!$C$1:$C$59),"")</f>
        <v>X</v>
      </c>
      <c r="AC7" s="62" t="str">
        <f>IFERROR(LOOKUP(CODE(GENERATOR!AQ11),'SUBSTITUTION KEY'!$A$1:$A$59,'SUBSTITUTION KEY'!$C$1:$C$59),"")</f>
        <v>M</v>
      </c>
      <c r="AD7" s="62" t="str">
        <f>IFERROR(LOOKUP(CODE(GENERATOR!AR11),'SUBSTITUTION KEY'!$A$1:$A$59,'SUBSTITUTION KEY'!$C$1:$C$59),"")</f>
        <v>P</v>
      </c>
      <c r="AE7" s="62" t="str">
        <f>IFERROR(LOOKUP(CODE(GENERATOR!AS11),'SUBSTITUTION KEY'!$A$1:$A$59,'SUBSTITUTION KEY'!$C$1:$C$59),"")</f>
        <v>X</v>
      </c>
      <c r="AF7" s="62" t="str">
        <f>IFERROR(LOOKUP(CODE(GENERATOR!AT11),'SUBSTITUTION KEY'!$A$1:$A$59,'SUBSTITUTION KEY'!$C$1:$C$59),"")</f>
        <v>E</v>
      </c>
      <c r="AG7" s="62" t="str">
        <f>IFERROR(LOOKUP(CODE(GENERATOR!AU11),'SUBSTITUTION KEY'!$A$1:$A$59,'SUBSTITUTION KEY'!$C$1:$C$59),"")</f>
        <v xml:space="preserve"> </v>
      </c>
      <c r="AH7" s="62" t="str">
        <f>IFERROR(LOOKUP(CODE(GENERATOR!AV11),'SUBSTITUTION KEY'!$A$1:$A$59,'SUBSTITUTION KEY'!$C$1:$C$59),"")</f>
        <v>G</v>
      </c>
      <c r="AI7" s="62" t="str">
        <f>IFERROR(LOOKUP(CODE(GENERATOR!AW11),'SUBSTITUTION KEY'!$A$1:$A$59,'SUBSTITUTION KEY'!$C$1:$C$59),"")</f>
        <v>Q</v>
      </c>
      <c r="AJ7" s="62" t="str">
        <f>IFERROR(LOOKUP(CODE(GENERATOR!AX11),'SUBSTITUTION KEY'!$A$1:$A$59,'SUBSTITUTION KEY'!$C$1:$C$59),"")</f>
        <v>A</v>
      </c>
      <c r="AK7" s="62" t="str">
        <f>IFERROR(LOOKUP(CODE(GENERATOR!AY11),'SUBSTITUTION KEY'!$A$1:$A$59,'SUBSTITUTION KEY'!$C$1:$C$59),"")</f>
        <v>H</v>
      </c>
      <c r="AL7" s="62" t="str">
        <f>IFERROR(LOOKUP(CODE(GENERATOR!AZ11),'SUBSTITUTION KEY'!$A$1:$A$59,'SUBSTITUTION KEY'!$C$1:$C$59),"")</f>
        <v>K</v>
      </c>
      <c r="AM7" s="62" t="str">
        <f>IFERROR(LOOKUP(CODE(GENERATOR!BA11),'SUBSTITUTION KEY'!$A$1:$A$59,'SUBSTITUTION KEY'!$C$1:$C$59),"")</f>
        <v xml:space="preserve"> </v>
      </c>
      <c r="AN7" s="62" t="str">
        <f>IFERROR(LOOKUP(CODE(GENERATOR!BB11),'SUBSTITUTION KEY'!$A$1:$A$59,'SUBSTITUTION KEY'!$C$1:$C$59),"")</f>
        <v>X</v>
      </c>
      <c r="AO7" s="62" t="str">
        <f>IFERROR(LOOKUP(CODE(GENERATOR!BC11),'SUBSTITUTION KEY'!$A$1:$A$59,'SUBSTITUTION KEY'!$C$1:$C$59),"")</f>
        <v>S</v>
      </c>
      <c r="AP7" s="62" t="str">
        <f>IFERROR(LOOKUP(CODE(GENERATOR!BD11),'SUBSTITUTION KEY'!$A$1:$A$59,'SUBSTITUTION KEY'!$C$1:$C$59),"")</f>
        <v>C</v>
      </c>
      <c r="AQ7" s="62" t="str">
        <f>IFERROR(LOOKUP(CODE(GENERATOR!BE11),'SUBSTITUTION KEY'!$A$1:$A$59,'SUBSTITUTION KEY'!$C$1:$C$59),"")</f>
        <v xml:space="preserve"> </v>
      </c>
      <c r="AR7" s="62" t="str">
        <f>IFERROR(LOOKUP(CODE(GENERATOR!BF11),'SUBSTITUTION KEY'!$A$1:$A$59,'SUBSTITUTION KEY'!$C$1:$C$59),"")</f>
        <v/>
      </c>
      <c r="AS7" s="62" t="str">
        <f>IFERROR(LOOKUP(CODE(GENERATOR!BG11),'SUBSTITUTION KEY'!$A$1:$A$59,'SUBSTITUTION KEY'!$C$1:$C$59),"")</f>
        <v/>
      </c>
      <c r="AT7" s="62" t="str">
        <f>IFERROR(LOOKUP(CODE(GENERATOR!BH11),'SUBSTITUTION KEY'!$A$1:$A$59,'SUBSTITUTION KEY'!$C$1:$C$59),"")</f>
        <v/>
      </c>
      <c r="AU7" s="62" t="str">
        <f>IFERROR(LOOKUP(CODE(GENERATOR!BI11),'SUBSTITUTION KEY'!$A$1:$A$59,'SUBSTITUTION KEY'!$C$1:$C$59),"")</f>
        <v/>
      </c>
      <c r="AV7" s="62" t="str">
        <f>IFERROR(LOOKUP(CODE(GENERATOR!BJ11),'SUBSTITUTION KEY'!$A$1:$A$59,'SUBSTITUTION KEY'!$C$1:$C$59),"")</f>
        <v/>
      </c>
      <c r="AW7" s="62" t="str">
        <f>IFERROR(LOOKUP(CODE(GENERATOR!BK11),'SUBSTITUTION KEY'!$A$1:$A$59,'SUBSTITUTION KEY'!$C$1:$C$59),"")</f>
        <v/>
      </c>
      <c r="AX7" s="62" t="str">
        <f>IFERROR(LOOKUP(CODE(GENERATOR!BL11),'SUBSTITUTION KEY'!$A$1:$A$59,'SUBSTITUTION KEY'!$C$1:$C$59),"")</f>
        <v/>
      </c>
      <c r="AY7" s="62" t="str">
        <f>IFERROR(LOOKUP(CODE(GENERATOR!BM11),'SUBSTITUTION KEY'!$A$1:$A$59,'SUBSTITUTION KEY'!$C$1:$C$59),"")</f>
        <v/>
      </c>
      <c r="AZ7" s="62" t="str">
        <f>IFERROR(LOOKUP(CODE(GENERATOR!BN11),'SUBSTITUTION KEY'!$A$1:$A$59,'SUBSTITUTION KEY'!$C$1:$C$59),"")</f>
        <v/>
      </c>
      <c r="BA7" s="62" t="str">
        <f>IFERROR(LOOKUP(CODE(GENERATOR!BO11),'SUBSTITUTION KEY'!$A$1:$A$59,'SUBSTITUTION KEY'!$C$1:$C$59),"")</f>
        <v/>
      </c>
      <c r="BB7" s="62" t="str">
        <f>IFERROR(LOOKUP(CODE(GENERATOR!BP11),'SUBSTITUTION KEY'!$A$1:$A$59,'SUBSTITUTION KEY'!$C$1:$C$59),"")</f>
        <v/>
      </c>
      <c r="BC7" s="62" t="str">
        <f>IFERROR(LOOKUP(CODE(GENERATOR!BQ11),'SUBSTITUTION KEY'!$A$1:$A$59,'SUBSTITUTION KEY'!$C$1:$C$59),"")</f>
        <v/>
      </c>
      <c r="BD7" s="62" t="str">
        <f>IFERROR(LOOKUP(CODE(GENERATOR!BR11),'SUBSTITUTION KEY'!$A$1:$A$59,'SUBSTITUTION KEY'!$C$1:$C$59),"")</f>
        <v/>
      </c>
      <c r="BE7" s="62" t="str">
        <f>IFERROR(LOOKUP(CODE(GENERATOR!BS11),'SUBSTITUTION KEY'!$A$1:$A$59,'SUBSTITUTION KEY'!$C$1:$C$59),"")</f>
        <v/>
      </c>
      <c r="BF7" s="62" t="str">
        <f>IFERROR(LOOKUP(CODE(GENERATOR!BT11),'SUBSTITUTION KEY'!$A$1:$A$59,'SUBSTITUTION KEY'!$C$1:$C$59),"")</f>
        <v/>
      </c>
      <c r="BG7" s="62" t="str">
        <f>IFERROR(LOOKUP(CODE(GENERATOR!BU11),'SUBSTITUTION KEY'!$A$1:$A$59,'SUBSTITUTION KEY'!$C$1:$C$59),"")</f>
        <v/>
      </c>
      <c r="BH7" s="62" t="str">
        <f>IFERROR(LOOKUP(CODE(GENERATOR!BV11),'SUBSTITUTION KEY'!$A$1:$A$59,'SUBSTITUTION KEY'!$C$1:$C$59),"")</f>
        <v/>
      </c>
      <c r="BI7" s="62" t="str">
        <f>IFERROR(LOOKUP(CODE(GENERATOR!BW11),'SUBSTITUTION KEY'!$A$1:$A$59,'SUBSTITUTION KEY'!$C$1:$C$59),"")</f>
        <v/>
      </c>
      <c r="BJ7" s="62" t="str">
        <f>IFERROR(LOOKUP(CODE(GENERATOR!BX11),'SUBSTITUTION KEY'!$A$1:$A$59,'SUBSTITUTION KEY'!$C$1:$C$59),"")</f>
        <v/>
      </c>
      <c r="BK7" s="62" t="str">
        <f>IFERROR(LOOKUP(CODE(GENERATOR!BY11),'SUBSTITUTION KEY'!$A$1:$A$59,'SUBSTITUTION KEY'!$C$1:$C$59),"")</f>
        <v/>
      </c>
      <c r="BL7" s="62" t="str">
        <f>IFERROR(LOOKUP(CODE(GENERATOR!BZ11),'SUBSTITUTION KEY'!$A$1:$A$59,'SUBSTITUTION KEY'!$C$1:$C$59),"")</f>
        <v/>
      </c>
      <c r="BM7" s="62" t="str">
        <f>IFERROR(LOOKUP(CODE(GENERATOR!CA11),'SUBSTITUTION KEY'!$A$1:$A$59,'SUBSTITUTION KEY'!$C$1:$C$59),"")</f>
        <v/>
      </c>
    </row>
    <row r="8" spans="1:65" ht="13.5" customHeight="1" x14ac:dyDescent="0.2">
      <c r="A8" s="71" t="s">
        <v>13</v>
      </c>
      <c r="B8" s="71" t="s">
        <v>1</v>
      </c>
      <c r="C8" s="24">
        <f t="shared" si="0"/>
        <v>13</v>
      </c>
      <c r="F8" s="62" t="str">
        <f>IFERROR(LOOKUP(CODE(GENERATOR!T12),'SUBSTITUTION KEY'!$A$1:$A$59,'SUBSTITUTION KEY'!$C$1:$C$59),"")</f>
        <v>Y</v>
      </c>
      <c r="G8" s="62" t="str">
        <f>IFERROR(LOOKUP(CODE(GENERATOR!U12),'SUBSTITUTION KEY'!$A$1:$A$59,'SUBSTITUTION KEY'!$C$1:$C$59),"")</f>
        <v>G</v>
      </c>
      <c r="H8" s="62" t="str">
        <f>IFERROR(LOOKUP(CODE(GENERATOR!V12),'SUBSTITUTION KEY'!$A$1:$A$59,'SUBSTITUTION KEY'!$C$1:$C$59),"")</f>
        <v>F</v>
      </c>
      <c r="I8" s="62" t="str">
        <f>IFERROR(LOOKUP(CODE(GENERATOR!W12),'SUBSTITUTION KEY'!$A$1:$A$59,'SUBSTITUTION KEY'!$C$1:$C$59),"")</f>
        <v>M</v>
      </c>
      <c r="J8" s="62" t="str">
        <f>IFERROR(LOOKUP(CODE(GENERATOR!X12),'SUBSTITUTION KEY'!$A$1:$A$59,'SUBSTITUTION KEY'!$C$1:$C$59),"")</f>
        <v>S</v>
      </c>
      <c r="K8" s="62" t="str">
        <f>IFERROR(LOOKUP(CODE(GENERATOR!Y12),'SUBSTITUTION KEY'!$A$1:$A$59,'SUBSTITUTION KEY'!$C$1:$C$59),"")</f>
        <v>K</v>
      </c>
      <c r="L8" s="62" t="str">
        <f>IFERROR(LOOKUP(CODE(GENERATOR!Z12),'SUBSTITUTION KEY'!$A$1:$A$59,'SUBSTITUTION KEY'!$C$1:$C$59),"")</f>
        <v>B</v>
      </c>
      <c r="M8" s="62" t="str">
        <f>IFERROR(LOOKUP(CODE(GENERATOR!AA12),'SUBSTITUTION KEY'!$A$1:$A$59,'SUBSTITUTION KEY'!$C$1:$C$59),"")</f>
        <v xml:space="preserve"> </v>
      </c>
      <c r="N8" s="62" t="str">
        <f>IFERROR(LOOKUP(CODE(GENERATOR!AB12),'SUBSTITUTION KEY'!$A$1:$A$59,'SUBSTITUTION KEY'!$C$1:$C$59),"")</f>
        <v>C</v>
      </c>
      <c r="O8" s="62" t="str">
        <f>IFERROR(LOOKUP(CODE(GENERATOR!AC12),'SUBSTITUTION KEY'!$A$1:$A$59,'SUBSTITUTION KEY'!$C$1:$C$59),"")</f>
        <v>S</v>
      </c>
      <c r="P8" s="62" t="str">
        <f>IFERROR(LOOKUP(CODE(GENERATOR!AD12),'SUBSTITUTION KEY'!$A$1:$A$59,'SUBSTITUTION KEY'!$C$1:$C$59),"")</f>
        <v xml:space="preserve"> </v>
      </c>
      <c r="Q8" s="62" t="str">
        <f>IFERROR(LOOKUP(CODE(GENERATOR!AE12),'SUBSTITUTION KEY'!$A$1:$A$59,'SUBSTITUTION KEY'!$C$1:$C$59),"")</f>
        <v>U</v>
      </c>
      <c r="R8" s="62" t="str">
        <f>IFERROR(LOOKUP(CODE(GENERATOR!AF12),'SUBSTITUTION KEY'!$A$1:$A$59,'SUBSTITUTION KEY'!$C$1:$C$59),"")</f>
        <v>A</v>
      </c>
      <c r="S8" s="62" t="str">
        <f>IFERROR(LOOKUP(CODE(GENERATOR!AG12),'SUBSTITUTION KEY'!$A$1:$A$59,'SUBSTITUTION KEY'!$C$1:$C$59),"")</f>
        <v>H</v>
      </c>
      <c r="T8" s="62" t="str">
        <f>IFERROR(LOOKUP(CODE(GENERATOR!AH12),'SUBSTITUTION KEY'!$A$1:$A$59,'SUBSTITUTION KEY'!$C$1:$C$59),"")</f>
        <v>I</v>
      </c>
      <c r="U8" s="62" t="str">
        <f>IFERROR(LOOKUP(CODE(GENERATOR!AI12),'SUBSTITUTION KEY'!$A$1:$A$59,'SUBSTITUTION KEY'!$C$1:$C$59),"")</f>
        <v>R</v>
      </c>
      <c r="V8" s="62" t="str">
        <f>IFERROR(LOOKUP(CODE(GENERATOR!AJ12),'SUBSTITUTION KEY'!$A$1:$A$59,'SUBSTITUTION KEY'!$C$1:$C$59),"")</f>
        <v xml:space="preserve"> </v>
      </c>
      <c r="W8" s="62" t="str">
        <f>IFERROR(LOOKUP(CODE(GENERATOR!AK12),'SUBSTITUTION KEY'!$A$1:$A$59,'SUBSTITUTION KEY'!$C$1:$C$59),"")</f>
        <v>S</v>
      </c>
      <c r="X8" s="62" t="str">
        <f>IFERROR(LOOKUP(CODE(GENERATOR!AL12),'SUBSTITUTION KEY'!$A$1:$A$59,'SUBSTITUTION KEY'!$C$1:$C$59),"")</f>
        <v>X</v>
      </c>
      <c r="Y8" s="62" t="str">
        <f>IFERROR(LOOKUP(CODE(GENERATOR!AM12),'SUBSTITUTION KEY'!$A$1:$A$59,'SUBSTITUTION KEY'!$C$1:$C$59),"")</f>
        <v>K</v>
      </c>
      <c r="Z8" s="62" t="str">
        <f>IFERROR(LOOKUP(CODE(GENERATOR!AN12),'SUBSTITUTION KEY'!$A$1:$A$59,'SUBSTITUTION KEY'!$C$1:$C$59),"")</f>
        <v>S</v>
      </c>
      <c r="AA8" s="62" t="str">
        <f>IFERROR(LOOKUP(CODE(GENERATOR!AO12),'SUBSTITUTION KEY'!$A$1:$A$59,'SUBSTITUTION KEY'!$C$1:$C$59),"")</f>
        <v>F</v>
      </c>
      <c r="AB8" s="62" t="str">
        <f>IFERROR(LOOKUP(CODE(GENERATOR!AP12),'SUBSTITUTION KEY'!$A$1:$A$59,'SUBSTITUTION KEY'!$C$1:$C$59),"")</f>
        <v>,</v>
      </c>
      <c r="AC8" s="62" t="str">
        <f>IFERROR(LOOKUP(CODE(GENERATOR!AQ12),'SUBSTITUTION KEY'!$A$1:$A$59,'SUBSTITUTION KEY'!$C$1:$C$59),"")</f>
        <v xml:space="preserve"> </v>
      </c>
      <c r="AD8" s="62" t="str">
        <f>IFERROR(LOOKUP(CODE(GENERATOR!AR12),'SUBSTITUTION KEY'!$A$1:$A$59,'SUBSTITUTION KEY'!$C$1:$C$59),"")</f>
        <v>Q</v>
      </c>
      <c r="AE8" s="62" t="str">
        <f>IFERROR(LOOKUP(CODE(GENERATOR!AS12),'SUBSTITUTION KEY'!$A$1:$A$59,'SUBSTITUTION KEY'!$C$1:$C$59),"")</f>
        <v>H</v>
      </c>
      <c r="AF8" s="62" t="str">
        <f>IFERROR(LOOKUP(CODE(GENERATOR!AT12),'SUBSTITUTION KEY'!$A$1:$A$59,'SUBSTITUTION KEY'!$C$1:$C$59),"")</f>
        <v>K</v>
      </c>
      <c r="AG8" s="62" t="str">
        <f>IFERROR(LOOKUP(CODE(GENERATOR!AU12),'SUBSTITUTION KEY'!$A$1:$A$59,'SUBSTITUTION KEY'!$C$1:$C$59),"")</f>
        <v xml:space="preserve"> </v>
      </c>
      <c r="AH8" s="62" t="str">
        <f>IFERROR(LOOKUP(CODE(GENERATOR!AV12),'SUBSTITUTION KEY'!$A$1:$A$59,'SUBSTITUTION KEY'!$C$1:$C$59),"")</f>
        <v>P</v>
      </c>
      <c r="AI8" s="62" t="str">
        <f>IFERROR(LOOKUP(CODE(GENERATOR!AW12),'SUBSTITUTION KEY'!$A$1:$A$59,'SUBSTITUTION KEY'!$C$1:$C$59),"")</f>
        <v>K</v>
      </c>
      <c r="AJ8" s="62" t="str">
        <f>IFERROR(LOOKUP(CODE(GENERATOR!AX12),'SUBSTITUTION KEY'!$A$1:$A$59,'SUBSTITUTION KEY'!$C$1:$C$59),"")</f>
        <v>'</v>
      </c>
      <c r="AK8" s="62" t="str">
        <f>IFERROR(LOOKUP(CODE(GENERATOR!AY12),'SUBSTITUTION KEY'!$A$1:$A$59,'SUBSTITUTION KEY'!$C$1:$C$59),"")</f>
        <v>B</v>
      </c>
      <c r="AL8" s="62" t="str">
        <f>IFERROR(LOOKUP(CODE(GENERATOR!AZ12),'SUBSTITUTION KEY'!$A$1:$A$59,'SUBSTITUTION KEY'!$C$1:$C$59),"")</f>
        <v xml:space="preserve"> </v>
      </c>
      <c r="AM8" s="62" t="str">
        <f>IFERROR(LOOKUP(CODE(GENERATOR!BA12),'SUBSTITUTION KEY'!$A$1:$A$59,'SUBSTITUTION KEY'!$C$1:$C$59),"")</f>
        <v>A</v>
      </c>
      <c r="AN8" s="62" t="str">
        <f>IFERROR(LOOKUP(CODE(GENERATOR!BB12),'SUBSTITUTION KEY'!$A$1:$A$59,'SUBSTITUTION KEY'!$C$1:$C$59),"")</f>
        <v>X</v>
      </c>
      <c r="AO8" s="62" t="str">
        <f>IFERROR(LOOKUP(CODE(GENERATOR!BC12),'SUBSTITUTION KEY'!$A$1:$A$59,'SUBSTITUTION KEY'!$C$1:$C$59),"")</f>
        <v>I</v>
      </c>
      <c r="AP8" s="62" t="str">
        <f>IFERROR(LOOKUP(CODE(GENERATOR!BD12),'SUBSTITUTION KEY'!$A$1:$A$59,'SUBSTITUTION KEY'!$C$1:$C$59),"")</f>
        <v>Z</v>
      </c>
      <c r="AQ8" s="62" t="str">
        <f>IFERROR(LOOKUP(CODE(GENERATOR!BE12),'SUBSTITUTION KEY'!$A$1:$A$59,'SUBSTITUTION KEY'!$C$1:$C$59),"")</f>
        <v xml:space="preserve"> </v>
      </c>
      <c r="AR8" s="62" t="str">
        <f>IFERROR(LOOKUP(CODE(GENERATOR!BF12),'SUBSTITUTION KEY'!$A$1:$A$59,'SUBSTITUTION KEY'!$C$1:$C$59),"")</f>
        <v/>
      </c>
      <c r="AS8" s="62" t="str">
        <f>IFERROR(LOOKUP(CODE(GENERATOR!BG12),'SUBSTITUTION KEY'!$A$1:$A$59,'SUBSTITUTION KEY'!$C$1:$C$59),"")</f>
        <v/>
      </c>
      <c r="AT8" s="62" t="str">
        <f>IFERROR(LOOKUP(CODE(GENERATOR!BH12),'SUBSTITUTION KEY'!$A$1:$A$59,'SUBSTITUTION KEY'!$C$1:$C$59),"")</f>
        <v/>
      </c>
      <c r="AU8" s="62" t="str">
        <f>IFERROR(LOOKUP(CODE(GENERATOR!BI12),'SUBSTITUTION KEY'!$A$1:$A$59,'SUBSTITUTION KEY'!$C$1:$C$59),"")</f>
        <v/>
      </c>
      <c r="AV8" s="62" t="str">
        <f>IFERROR(LOOKUP(CODE(GENERATOR!BJ12),'SUBSTITUTION KEY'!$A$1:$A$59,'SUBSTITUTION KEY'!$C$1:$C$59),"")</f>
        <v/>
      </c>
      <c r="AW8" s="62" t="str">
        <f>IFERROR(LOOKUP(CODE(GENERATOR!BK12),'SUBSTITUTION KEY'!$A$1:$A$59,'SUBSTITUTION KEY'!$C$1:$C$59),"")</f>
        <v/>
      </c>
      <c r="AX8" s="62" t="str">
        <f>IFERROR(LOOKUP(CODE(GENERATOR!BL12),'SUBSTITUTION KEY'!$A$1:$A$59,'SUBSTITUTION KEY'!$C$1:$C$59),"")</f>
        <v/>
      </c>
      <c r="AY8" s="62" t="str">
        <f>IFERROR(LOOKUP(CODE(GENERATOR!BM12),'SUBSTITUTION KEY'!$A$1:$A$59,'SUBSTITUTION KEY'!$C$1:$C$59),"")</f>
        <v/>
      </c>
      <c r="AZ8" s="62" t="str">
        <f>IFERROR(LOOKUP(CODE(GENERATOR!BN12),'SUBSTITUTION KEY'!$A$1:$A$59,'SUBSTITUTION KEY'!$C$1:$C$59),"")</f>
        <v/>
      </c>
      <c r="BA8" s="62" t="str">
        <f>IFERROR(LOOKUP(CODE(GENERATOR!BO12),'SUBSTITUTION KEY'!$A$1:$A$59,'SUBSTITUTION KEY'!$C$1:$C$59),"")</f>
        <v/>
      </c>
      <c r="BB8" s="62" t="str">
        <f>IFERROR(LOOKUP(CODE(GENERATOR!BP12),'SUBSTITUTION KEY'!$A$1:$A$59,'SUBSTITUTION KEY'!$C$1:$C$59),"")</f>
        <v/>
      </c>
      <c r="BC8" s="62" t="str">
        <f>IFERROR(LOOKUP(CODE(GENERATOR!BQ12),'SUBSTITUTION KEY'!$A$1:$A$59,'SUBSTITUTION KEY'!$C$1:$C$59),"")</f>
        <v/>
      </c>
      <c r="BD8" s="62" t="str">
        <f>IFERROR(LOOKUP(CODE(GENERATOR!BR12),'SUBSTITUTION KEY'!$A$1:$A$59,'SUBSTITUTION KEY'!$C$1:$C$59),"")</f>
        <v/>
      </c>
      <c r="BE8" s="62" t="str">
        <f>IFERROR(LOOKUP(CODE(GENERATOR!BS12),'SUBSTITUTION KEY'!$A$1:$A$59,'SUBSTITUTION KEY'!$C$1:$C$59),"")</f>
        <v/>
      </c>
      <c r="BF8" s="62" t="str">
        <f>IFERROR(LOOKUP(CODE(GENERATOR!BT12),'SUBSTITUTION KEY'!$A$1:$A$59,'SUBSTITUTION KEY'!$C$1:$C$59),"")</f>
        <v/>
      </c>
      <c r="BG8" s="62" t="str">
        <f>IFERROR(LOOKUP(CODE(GENERATOR!BU12),'SUBSTITUTION KEY'!$A$1:$A$59,'SUBSTITUTION KEY'!$C$1:$C$59),"")</f>
        <v/>
      </c>
      <c r="BH8" s="62" t="str">
        <f>IFERROR(LOOKUP(CODE(GENERATOR!BV12),'SUBSTITUTION KEY'!$A$1:$A$59,'SUBSTITUTION KEY'!$C$1:$C$59),"")</f>
        <v/>
      </c>
      <c r="BI8" s="62" t="str">
        <f>IFERROR(LOOKUP(CODE(GENERATOR!BW12),'SUBSTITUTION KEY'!$A$1:$A$59,'SUBSTITUTION KEY'!$C$1:$C$59),"")</f>
        <v/>
      </c>
      <c r="BJ8" s="62" t="str">
        <f>IFERROR(LOOKUP(CODE(GENERATOR!BX12),'SUBSTITUTION KEY'!$A$1:$A$59,'SUBSTITUTION KEY'!$C$1:$C$59),"")</f>
        <v/>
      </c>
      <c r="BK8" s="62" t="str">
        <f>IFERROR(LOOKUP(CODE(GENERATOR!BY12),'SUBSTITUTION KEY'!$A$1:$A$59,'SUBSTITUTION KEY'!$C$1:$C$59),"")</f>
        <v/>
      </c>
      <c r="BL8" s="62" t="str">
        <f>IFERROR(LOOKUP(CODE(GENERATOR!BZ12),'SUBSTITUTION KEY'!$A$1:$A$59,'SUBSTITUTION KEY'!$C$1:$C$59),"")</f>
        <v/>
      </c>
      <c r="BM8" s="62" t="str">
        <f>IFERROR(LOOKUP(CODE(GENERATOR!CA12),'SUBSTITUTION KEY'!$A$1:$A$59,'SUBSTITUTION KEY'!$C$1:$C$59),"")</f>
        <v/>
      </c>
    </row>
    <row r="9" spans="1:65" ht="13.5" customHeight="1" x14ac:dyDescent="0.2">
      <c r="A9" s="71" t="s">
        <v>19</v>
      </c>
      <c r="B9" s="71" t="s">
        <v>1</v>
      </c>
      <c r="C9" s="24">
        <f t="shared" si="0"/>
        <v>16</v>
      </c>
      <c r="F9" s="62" t="str">
        <f>IFERROR(LOOKUP(CODE(GENERATOR!T13),'SUBSTITUTION KEY'!$A$1:$A$59,'SUBSTITUTION KEY'!$C$1:$C$59),"")</f>
        <v>Q</v>
      </c>
      <c r="G9" s="62" t="str">
        <f>IFERROR(LOOKUP(CODE(GENERATOR!U13),'SUBSTITUTION KEY'!$A$1:$A$59,'SUBSTITUTION KEY'!$C$1:$C$59),"")</f>
        <v>Z</v>
      </c>
      <c r="H9" s="62" t="str">
        <f>IFERROR(LOOKUP(CODE(GENERATOR!V13),'SUBSTITUTION KEY'!$A$1:$A$59,'SUBSTITUTION KEY'!$C$1:$C$59),"")</f>
        <v xml:space="preserve"> </v>
      </c>
      <c r="I9" s="62" t="str">
        <f>IFERROR(LOOKUP(CODE(GENERATOR!W13),'SUBSTITUTION KEY'!$A$1:$A$59,'SUBSTITUTION KEY'!$C$1:$C$59),"")</f>
        <v>B</v>
      </c>
      <c r="J9" s="62" t="str">
        <f>IFERROR(LOOKUP(CODE(GENERATOR!X13),'SUBSTITUTION KEY'!$A$1:$A$59,'SUBSTITUTION KEY'!$C$1:$C$59),"")</f>
        <v>G</v>
      </c>
      <c r="K9" s="62" t="str">
        <f>IFERROR(LOOKUP(CODE(GENERATOR!Y13),'SUBSTITUTION KEY'!$A$1:$A$59,'SUBSTITUTION KEY'!$C$1:$C$59),"")</f>
        <v>Z</v>
      </c>
      <c r="L9" s="62" t="str">
        <f>IFERROR(LOOKUP(CODE(GENERATOR!Z13),'SUBSTITUTION KEY'!$A$1:$A$59,'SUBSTITUTION KEY'!$C$1:$C$59),"")</f>
        <v>P</v>
      </c>
      <c r="M9" s="62" t="str">
        <f>IFERROR(LOOKUP(CODE(GENERATOR!AA13),'SUBSTITUTION KEY'!$A$1:$A$59,'SUBSTITUTION KEY'!$C$1:$C$59),"")</f>
        <v>X</v>
      </c>
      <c r="N9" s="62" t="str">
        <f>IFERROR(LOOKUP(CODE(GENERATOR!AB13),'SUBSTITUTION KEY'!$A$1:$A$59,'SUBSTITUTION KEY'!$C$1:$C$59),"")</f>
        <v>E</v>
      </c>
      <c r="O9" s="62" t="str">
        <f>IFERROR(LOOKUP(CODE(GENERATOR!AC13),'SUBSTITUTION KEY'!$A$1:$A$59,'SUBSTITUTION KEY'!$C$1:$C$59),"")</f>
        <v xml:space="preserve"> </v>
      </c>
      <c r="P9" s="62" t="str">
        <f>IFERROR(LOOKUP(CODE(GENERATOR!AD13),'SUBSTITUTION KEY'!$A$1:$A$59,'SUBSTITUTION KEY'!$C$1:$C$59),"")</f>
        <v>X</v>
      </c>
      <c r="Q9" s="62" t="str">
        <f>IFERROR(LOOKUP(CODE(GENERATOR!AE13),'SUBSTITUTION KEY'!$A$1:$A$59,'SUBSTITUTION KEY'!$C$1:$C$59),"")</f>
        <v>A</v>
      </c>
      <c r="R9" s="62" t="str">
        <f>IFERROR(LOOKUP(CODE(GENERATOR!AF13),'SUBSTITUTION KEY'!$A$1:$A$59,'SUBSTITUTION KEY'!$C$1:$C$59),"")</f>
        <v xml:space="preserve"> </v>
      </c>
      <c r="S9" s="62" t="str">
        <f>IFERROR(LOOKUP(CODE(GENERATOR!AG13),'SUBSTITUTION KEY'!$A$1:$A$59,'SUBSTITUTION KEY'!$C$1:$C$59),"")</f>
        <v>K</v>
      </c>
      <c r="T9" s="62" t="str">
        <f>IFERROR(LOOKUP(CODE(GENERATOR!AH13),'SUBSTITUTION KEY'!$A$1:$A$59,'SUBSTITUTION KEY'!$C$1:$C$59),"")</f>
        <v>J</v>
      </c>
      <c r="U9" s="62" t="str">
        <f>IFERROR(LOOKUP(CODE(GENERATOR!AI13),'SUBSTITUTION KEY'!$A$1:$A$59,'SUBSTITUTION KEY'!$C$1:$C$59),"")</f>
        <v>G</v>
      </c>
      <c r="V9" s="62" t="str">
        <f>IFERROR(LOOKUP(CODE(GENERATOR!AJ13),'SUBSTITUTION KEY'!$A$1:$A$59,'SUBSTITUTION KEY'!$C$1:$C$59),"")</f>
        <v>K</v>
      </c>
      <c r="W9" s="62" t="str">
        <f>IFERROR(LOOKUP(CODE(GENERATOR!AK13),'SUBSTITUTION KEY'!$A$1:$A$59,'SUBSTITUTION KEY'!$C$1:$C$59),"")</f>
        <v xml:space="preserve"> </v>
      </c>
      <c r="X9" s="62" t="str">
        <f>IFERROR(LOOKUP(CODE(GENERATOR!AL13),'SUBSTITUTION KEY'!$A$1:$A$59,'SUBSTITUTION KEY'!$C$1:$C$59),"")</f>
        <v>Z</v>
      </c>
      <c r="Y9" s="62" t="str">
        <f>IFERROR(LOOKUP(CODE(GENERATOR!AM13),'SUBSTITUTION KEY'!$A$1:$A$59,'SUBSTITUTION KEY'!$C$1:$C$59),"")</f>
        <v>A</v>
      </c>
      <c r="Z9" s="62" t="str">
        <f>IFERROR(LOOKUP(CODE(GENERATOR!AN13),'SUBSTITUTION KEY'!$A$1:$A$59,'SUBSTITUTION KEY'!$C$1:$C$59),"")</f>
        <v>H</v>
      </c>
      <c r="AA9" s="62" t="str">
        <f>IFERROR(LOOKUP(CODE(GENERATOR!AO13),'SUBSTITUTION KEY'!$A$1:$A$59,'SUBSTITUTION KEY'!$C$1:$C$59),"")</f>
        <v xml:space="preserve"> </v>
      </c>
      <c r="AB9" s="62" t="str">
        <f>IFERROR(LOOKUP(CODE(GENERATOR!AP13),'SUBSTITUTION KEY'!$A$1:$A$59,'SUBSTITUTION KEY'!$C$1:$C$59),"")</f>
        <v>U</v>
      </c>
      <c r="AC9" s="62" t="str">
        <f>IFERROR(LOOKUP(CODE(GENERATOR!AQ13),'SUBSTITUTION KEY'!$A$1:$A$59,'SUBSTITUTION KEY'!$C$1:$C$59),"")</f>
        <v>G</v>
      </c>
      <c r="AD9" s="62" t="str">
        <f>IFERROR(LOOKUP(CODE(GENERATOR!AR13),'SUBSTITUTION KEY'!$A$1:$A$59,'SUBSTITUTION KEY'!$C$1:$C$59),"")</f>
        <v>X</v>
      </c>
      <c r="AE9" s="62" t="str">
        <f>IFERROR(LOOKUP(CODE(GENERATOR!AS13),'SUBSTITUTION KEY'!$A$1:$A$59,'SUBSTITUTION KEY'!$C$1:$C$59),"")</f>
        <v xml:space="preserve"> </v>
      </c>
      <c r="AF9" s="62" t="str">
        <f>IFERROR(LOOKUP(CODE(GENERATOR!AT13),'SUBSTITUTION KEY'!$A$1:$A$59,'SUBSTITUTION KEY'!$C$1:$C$59),"")</f>
        <v>U</v>
      </c>
      <c r="AG9" s="62" t="str">
        <f>IFERROR(LOOKUP(CODE(GENERATOR!AU13),'SUBSTITUTION KEY'!$A$1:$A$59,'SUBSTITUTION KEY'!$C$1:$C$59),"")</f>
        <v>A</v>
      </c>
      <c r="AH9" s="62" t="str">
        <f>IFERROR(LOOKUP(CODE(GENERATOR!AV13),'SUBSTITUTION KEY'!$A$1:$A$59,'SUBSTITUTION KEY'!$C$1:$C$59),"")</f>
        <v>X</v>
      </c>
      <c r="AI9" s="62" t="str">
        <f>IFERROR(LOOKUP(CODE(GENERATOR!AW13),'SUBSTITUTION KEY'!$A$1:$A$59,'SUBSTITUTION KEY'!$C$1:$C$59),"")</f>
        <v>U</v>
      </c>
      <c r="AJ9" s="62" t="str">
        <f>IFERROR(LOOKUP(CODE(GENERATOR!AX13),'SUBSTITUTION KEY'!$A$1:$A$59,'SUBSTITUTION KEY'!$C$1:$C$59),"")</f>
        <v>S</v>
      </c>
      <c r="AK9" s="62" t="str">
        <f>IFERROR(LOOKUP(CODE(GENERATOR!AY13),'SUBSTITUTION KEY'!$A$1:$A$59,'SUBSTITUTION KEY'!$C$1:$C$59),"")</f>
        <v>X</v>
      </c>
      <c r="AL9" s="62" t="str">
        <f>IFERROR(LOOKUP(CODE(GENERATOR!AZ13),'SUBSTITUTION KEY'!$A$1:$A$59,'SUBSTITUTION KEY'!$C$1:$C$59),"")</f>
        <v>K</v>
      </c>
      <c r="AM9" s="62" t="str">
        <f>IFERROR(LOOKUP(CODE(GENERATOR!BA13),'SUBSTITUTION KEY'!$A$1:$A$59,'SUBSTITUTION KEY'!$C$1:$C$59),"")</f>
        <v>F</v>
      </c>
      <c r="AN9" s="62" t="str">
        <f>IFERROR(LOOKUP(CODE(GENERATOR!BB13),'SUBSTITUTION KEY'!$A$1:$A$59,'SUBSTITUTION KEY'!$C$1:$C$59),"")</f>
        <v>G</v>
      </c>
      <c r="AO9" s="62" t="str">
        <f>IFERROR(LOOKUP(CODE(GENERATOR!BC13),'SUBSTITUTION KEY'!$A$1:$A$59,'SUBSTITUTION KEY'!$C$1:$C$59),"")</f>
        <v>K</v>
      </c>
      <c r="AP9" s="62" t="str">
        <f>IFERROR(LOOKUP(CODE(GENERATOR!BD13),'SUBSTITUTION KEY'!$A$1:$A$59,'SUBSTITUTION KEY'!$C$1:$C$59),"")</f>
        <v>S</v>
      </c>
      <c r="AQ9" s="62" t="str">
        <f>IFERROR(LOOKUP(CODE(GENERATOR!BE13),'SUBSTITUTION KEY'!$A$1:$A$59,'SUBSTITUTION KEY'!$C$1:$C$59),"")</f>
        <v xml:space="preserve"> </v>
      </c>
      <c r="AR9" s="62" t="str">
        <f>IFERROR(LOOKUP(CODE(GENERATOR!BF13),'SUBSTITUTION KEY'!$A$1:$A$59,'SUBSTITUTION KEY'!$C$1:$C$59),"")</f>
        <v/>
      </c>
      <c r="AS9" s="62" t="str">
        <f>IFERROR(LOOKUP(CODE(GENERATOR!BG13),'SUBSTITUTION KEY'!$A$1:$A$59,'SUBSTITUTION KEY'!$C$1:$C$59),"")</f>
        <v/>
      </c>
      <c r="AT9" s="62" t="str">
        <f>IFERROR(LOOKUP(CODE(GENERATOR!BH13),'SUBSTITUTION KEY'!$A$1:$A$59,'SUBSTITUTION KEY'!$C$1:$C$59),"")</f>
        <v/>
      </c>
      <c r="AU9" s="62" t="str">
        <f>IFERROR(LOOKUP(CODE(GENERATOR!BI13),'SUBSTITUTION KEY'!$A$1:$A$59,'SUBSTITUTION KEY'!$C$1:$C$59),"")</f>
        <v/>
      </c>
      <c r="AV9" s="62" t="str">
        <f>IFERROR(LOOKUP(CODE(GENERATOR!BJ13),'SUBSTITUTION KEY'!$A$1:$A$59,'SUBSTITUTION KEY'!$C$1:$C$59),"")</f>
        <v/>
      </c>
      <c r="AW9" s="62" t="str">
        <f>IFERROR(LOOKUP(CODE(GENERATOR!BK13),'SUBSTITUTION KEY'!$A$1:$A$59,'SUBSTITUTION KEY'!$C$1:$C$59),"")</f>
        <v/>
      </c>
      <c r="AX9" s="62" t="str">
        <f>IFERROR(LOOKUP(CODE(GENERATOR!BL13),'SUBSTITUTION KEY'!$A$1:$A$59,'SUBSTITUTION KEY'!$C$1:$C$59),"")</f>
        <v/>
      </c>
      <c r="AY9" s="62" t="str">
        <f>IFERROR(LOOKUP(CODE(GENERATOR!BM13),'SUBSTITUTION KEY'!$A$1:$A$59,'SUBSTITUTION KEY'!$C$1:$C$59),"")</f>
        <v/>
      </c>
      <c r="AZ9" s="62" t="str">
        <f>IFERROR(LOOKUP(CODE(GENERATOR!BN13),'SUBSTITUTION KEY'!$A$1:$A$59,'SUBSTITUTION KEY'!$C$1:$C$59),"")</f>
        <v/>
      </c>
      <c r="BA9" s="62" t="str">
        <f>IFERROR(LOOKUP(CODE(GENERATOR!BO13),'SUBSTITUTION KEY'!$A$1:$A$59,'SUBSTITUTION KEY'!$C$1:$C$59),"")</f>
        <v/>
      </c>
      <c r="BB9" s="62" t="str">
        <f>IFERROR(LOOKUP(CODE(GENERATOR!BP13),'SUBSTITUTION KEY'!$A$1:$A$59,'SUBSTITUTION KEY'!$C$1:$C$59),"")</f>
        <v/>
      </c>
      <c r="BC9" s="62" t="str">
        <f>IFERROR(LOOKUP(CODE(GENERATOR!BQ13),'SUBSTITUTION KEY'!$A$1:$A$59,'SUBSTITUTION KEY'!$C$1:$C$59),"")</f>
        <v/>
      </c>
      <c r="BD9" s="62" t="str">
        <f>IFERROR(LOOKUP(CODE(GENERATOR!BR13),'SUBSTITUTION KEY'!$A$1:$A$59,'SUBSTITUTION KEY'!$C$1:$C$59),"")</f>
        <v/>
      </c>
      <c r="BE9" s="62" t="str">
        <f>IFERROR(LOOKUP(CODE(GENERATOR!BS13),'SUBSTITUTION KEY'!$A$1:$A$59,'SUBSTITUTION KEY'!$C$1:$C$59),"")</f>
        <v/>
      </c>
      <c r="BF9" s="62" t="str">
        <f>IFERROR(LOOKUP(CODE(GENERATOR!BT13),'SUBSTITUTION KEY'!$A$1:$A$59,'SUBSTITUTION KEY'!$C$1:$C$59),"")</f>
        <v/>
      </c>
      <c r="BG9" s="62" t="str">
        <f>IFERROR(LOOKUP(CODE(GENERATOR!BU13),'SUBSTITUTION KEY'!$A$1:$A$59,'SUBSTITUTION KEY'!$C$1:$C$59),"")</f>
        <v/>
      </c>
      <c r="BH9" s="62" t="str">
        <f>IFERROR(LOOKUP(CODE(GENERATOR!BV13),'SUBSTITUTION KEY'!$A$1:$A$59,'SUBSTITUTION KEY'!$C$1:$C$59),"")</f>
        <v/>
      </c>
      <c r="BI9" s="62" t="str">
        <f>IFERROR(LOOKUP(CODE(GENERATOR!BW13),'SUBSTITUTION KEY'!$A$1:$A$59,'SUBSTITUTION KEY'!$C$1:$C$59),"")</f>
        <v/>
      </c>
      <c r="BJ9" s="62" t="str">
        <f>IFERROR(LOOKUP(CODE(GENERATOR!BX13),'SUBSTITUTION KEY'!$A$1:$A$59,'SUBSTITUTION KEY'!$C$1:$C$59),"")</f>
        <v/>
      </c>
      <c r="BK9" s="62" t="str">
        <f>IFERROR(LOOKUP(CODE(GENERATOR!BY13),'SUBSTITUTION KEY'!$A$1:$A$59,'SUBSTITUTION KEY'!$C$1:$C$59),"")</f>
        <v/>
      </c>
      <c r="BL9" s="62" t="str">
        <f>IFERROR(LOOKUP(CODE(GENERATOR!BZ13),'SUBSTITUTION KEY'!$A$1:$A$59,'SUBSTITUTION KEY'!$C$1:$C$59),"")</f>
        <v/>
      </c>
      <c r="BM9" s="62" t="str">
        <f>IFERROR(LOOKUP(CODE(GENERATOR!CA13),'SUBSTITUTION KEY'!$A$1:$A$59,'SUBSTITUTION KEY'!$C$1:$C$59),"")</f>
        <v/>
      </c>
    </row>
    <row r="10" spans="1:65" ht="13.5" customHeight="1" x14ac:dyDescent="0.2">
      <c r="A10" s="71" t="s">
        <v>20</v>
      </c>
      <c r="B10" s="71" t="s">
        <v>1</v>
      </c>
      <c r="C10" s="24">
        <f t="shared" si="0"/>
        <v>6</v>
      </c>
      <c r="F10" s="62" t="str">
        <f>IFERROR(LOOKUP(CODE(GENERATOR!T14),'SUBSTITUTION KEY'!$A$1:$A$59,'SUBSTITUTION KEY'!$C$1:$C$59),"")</f>
        <v>A</v>
      </c>
      <c r="G10" s="62" t="str">
        <f>IFERROR(LOOKUP(CODE(GENERATOR!U14),'SUBSTITUTION KEY'!$A$1:$A$59,'SUBSTITUTION KEY'!$C$1:$C$59),"")</f>
        <v>X</v>
      </c>
      <c r="H10" s="62" t="str">
        <f>IFERROR(LOOKUP(CODE(GENERATOR!V14),'SUBSTITUTION KEY'!$A$1:$A$59,'SUBSTITUTION KEY'!$C$1:$C$59),"")</f>
        <v xml:space="preserve"> </v>
      </c>
      <c r="I10" s="62" t="str">
        <f>IFERROR(LOOKUP(CODE(GENERATOR!W14),'SUBSTITUTION KEY'!$A$1:$A$59,'SUBSTITUTION KEY'!$C$1:$C$59),"")</f>
        <v>K</v>
      </c>
      <c r="J10" s="62" t="str">
        <f>IFERROR(LOOKUP(CODE(GENERATOR!X14),'SUBSTITUTION KEY'!$A$1:$A$59,'SUBSTITUTION KEY'!$C$1:$C$59),"")</f>
        <v>J</v>
      </c>
      <c r="K10" s="62" t="str">
        <f>IFERROR(LOOKUP(CODE(GENERATOR!Y14),'SUBSTITUTION KEY'!$A$1:$A$59,'SUBSTITUTION KEY'!$C$1:$C$59),"")</f>
        <v>S</v>
      </c>
      <c r="L10" s="62" t="str">
        <f>IFERROR(LOOKUP(CODE(GENERATOR!Z14),'SUBSTITUTION KEY'!$A$1:$A$59,'SUBSTITUTION KEY'!$C$1:$C$59),"")</f>
        <v xml:space="preserve"> </v>
      </c>
      <c r="M10" s="62" t="str">
        <f>IFERROR(LOOKUP(CODE(GENERATOR!AA14),'SUBSTITUTION KEY'!$A$1:$A$59,'SUBSTITUTION KEY'!$C$1:$C$59),"")</f>
        <v>K</v>
      </c>
      <c r="N10" s="62" t="str">
        <f>IFERROR(LOOKUP(CODE(GENERATOR!AB14),'SUBSTITUTION KEY'!$A$1:$A$59,'SUBSTITUTION KEY'!$C$1:$C$59),"")</f>
        <v>J</v>
      </c>
      <c r="O10" s="62" t="str">
        <f>IFERROR(LOOKUP(CODE(GENERATOR!AC14),'SUBSTITUTION KEY'!$A$1:$A$59,'SUBSTITUTION KEY'!$C$1:$C$59),"")</f>
        <v>P</v>
      </c>
      <c r="P10" s="62" t="str">
        <f>IFERROR(LOOKUP(CODE(GENERATOR!AD14),'SUBSTITUTION KEY'!$A$1:$A$59,'SUBSTITUTION KEY'!$C$1:$C$59),"")</f>
        <v>X</v>
      </c>
      <c r="Q10" s="62" t="str">
        <f>IFERROR(LOOKUP(CODE(GENERATOR!AE14),'SUBSTITUTION KEY'!$A$1:$A$59,'SUBSTITUTION KEY'!$C$1:$C$59),"")</f>
        <v>E</v>
      </c>
      <c r="R10" s="62" t="str">
        <f>IFERROR(LOOKUP(CODE(GENERATOR!AF14),'SUBSTITUTION KEY'!$A$1:$A$59,'SUBSTITUTION KEY'!$C$1:$C$59),"")</f>
        <v>B</v>
      </c>
      <c r="S10" s="62" t="str">
        <f>IFERROR(LOOKUP(CODE(GENERATOR!AG14),'SUBSTITUTION KEY'!$A$1:$A$59,'SUBSTITUTION KEY'!$C$1:$C$59),"")</f>
        <v xml:space="preserve"> </v>
      </c>
      <c r="T10" s="62" t="str">
        <f>IFERROR(LOOKUP(CODE(GENERATOR!AH14),'SUBSTITUTION KEY'!$A$1:$A$59,'SUBSTITUTION KEY'!$C$1:$C$59),"")</f>
        <v>K</v>
      </c>
      <c r="U10" s="62" t="str">
        <f>IFERROR(LOOKUP(CODE(GENERATOR!AI14),'SUBSTITUTION KEY'!$A$1:$A$59,'SUBSTITUTION KEY'!$C$1:$C$59),"")</f>
        <v>J</v>
      </c>
      <c r="V10" s="62" t="str">
        <f>IFERROR(LOOKUP(CODE(GENERATOR!AJ14),'SUBSTITUTION KEY'!$A$1:$A$59,'SUBSTITUTION KEY'!$C$1:$C$59),"")</f>
        <v>G</v>
      </c>
      <c r="W10" s="62" t="str">
        <f>IFERROR(LOOKUP(CODE(GENERATOR!AK14),'SUBSTITUTION KEY'!$A$1:$A$59,'SUBSTITUTION KEY'!$C$1:$C$59),"")</f>
        <v>K</v>
      </c>
      <c r="X10" s="62" t="str">
        <f>IFERROR(LOOKUP(CODE(GENERATOR!AL14),'SUBSTITUTION KEY'!$A$1:$A$59,'SUBSTITUTION KEY'!$C$1:$C$59),"")</f>
        <v xml:space="preserve"> </v>
      </c>
      <c r="Y10" s="62" t="str">
        <f>IFERROR(LOOKUP(CODE(GENERATOR!AM14),'SUBSTITUTION KEY'!$A$1:$A$59,'SUBSTITUTION KEY'!$C$1:$C$59),"")</f>
        <v>G</v>
      </c>
      <c r="Z10" s="62" t="str">
        <f>IFERROR(LOOKUP(CODE(GENERATOR!AN14),'SUBSTITUTION KEY'!$A$1:$A$59,'SUBSTITUTION KEY'!$C$1:$C$59),"")</f>
        <v>F</v>
      </c>
      <c r="AA10" s="62" t="str">
        <f>IFERROR(LOOKUP(CODE(GENERATOR!AO14),'SUBSTITUTION KEY'!$A$1:$A$59,'SUBSTITUTION KEY'!$C$1:$C$59),"")</f>
        <v>S</v>
      </c>
      <c r="AB10" s="62" t="str">
        <f>IFERROR(LOOKUP(CODE(GENERATOR!AP14),'SUBSTITUTION KEY'!$A$1:$A$59,'SUBSTITUTION KEY'!$C$1:$C$59),"")</f>
        <v xml:space="preserve"> </v>
      </c>
      <c r="AC10" s="62" t="str">
        <f>IFERROR(LOOKUP(CODE(GENERATOR!AQ14),'SUBSTITUTION KEY'!$A$1:$A$59,'SUBSTITUTION KEY'!$C$1:$C$59),"")</f>
        <v>F</v>
      </c>
      <c r="AD10" s="62" t="str">
        <f>IFERROR(LOOKUP(CODE(GENERATOR!AR14),'SUBSTITUTION KEY'!$A$1:$A$59,'SUBSTITUTION KEY'!$C$1:$C$59),"")</f>
        <v>S</v>
      </c>
      <c r="AE10" s="62" t="str">
        <f>IFERROR(LOOKUP(CODE(GENERATOR!AS14),'SUBSTITUTION KEY'!$A$1:$A$59,'SUBSTITUTION KEY'!$C$1:$C$59),"")</f>
        <v>G</v>
      </c>
      <c r="AF10" s="62" t="str">
        <f>IFERROR(LOOKUP(CODE(GENERATOR!AT14),'SUBSTITUTION KEY'!$A$1:$A$59,'SUBSTITUTION KEY'!$C$1:$C$59),"")</f>
        <v>I</v>
      </c>
      <c r="AG10" s="62" t="str">
        <f>IFERROR(LOOKUP(CODE(GENERATOR!AU14),'SUBSTITUTION KEY'!$A$1:$A$59,'SUBSTITUTION KEY'!$C$1:$C$59),"")</f>
        <v>I</v>
      </c>
      <c r="AH10" s="62" t="str">
        <f>IFERROR(LOOKUP(CODE(GENERATOR!AV14),'SUBSTITUTION KEY'!$A$1:$A$59,'SUBSTITUTION KEY'!$C$1:$C$59),"")</f>
        <v>Z</v>
      </c>
      <c r="AI10" s="62" t="str">
        <f>IFERROR(LOOKUP(CODE(GENERATOR!AW14),'SUBSTITUTION KEY'!$A$1:$A$59,'SUBSTITUTION KEY'!$C$1:$C$59),"")</f>
        <v xml:space="preserve"> </v>
      </c>
      <c r="AJ10" s="62" t="str">
        <f>IFERROR(LOOKUP(CODE(GENERATOR!AX14),'SUBSTITUTION KEY'!$A$1:$A$59,'SUBSTITUTION KEY'!$C$1:$C$59),"")</f>
        <v/>
      </c>
      <c r="AK10" s="62" t="str">
        <f>IFERROR(LOOKUP(CODE(GENERATOR!AY14),'SUBSTITUTION KEY'!$A$1:$A$59,'SUBSTITUTION KEY'!$C$1:$C$59),"")</f>
        <v/>
      </c>
      <c r="AL10" s="62" t="str">
        <f>IFERROR(LOOKUP(CODE(GENERATOR!AZ14),'SUBSTITUTION KEY'!$A$1:$A$59,'SUBSTITUTION KEY'!$C$1:$C$59),"")</f>
        <v/>
      </c>
      <c r="AM10" s="62" t="str">
        <f>IFERROR(LOOKUP(CODE(GENERATOR!BA14),'SUBSTITUTION KEY'!$A$1:$A$59,'SUBSTITUTION KEY'!$C$1:$C$59),"")</f>
        <v/>
      </c>
      <c r="AN10" s="62" t="str">
        <f>IFERROR(LOOKUP(CODE(GENERATOR!BB14),'SUBSTITUTION KEY'!$A$1:$A$59,'SUBSTITUTION KEY'!$C$1:$C$59),"")</f>
        <v/>
      </c>
      <c r="AO10" s="62" t="str">
        <f>IFERROR(LOOKUP(CODE(GENERATOR!BC14),'SUBSTITUTION KEY'!$A$1:$A$59,'SUBSTITUTION KEY'!$C$1:$C$59),"")</f>
        <v/>
      </c>
      <c r="AP10" s="62" t="str">
        <f>IFERROR(LOOKUP(CODE(GENERATOR!BD14),'SUBSTITUTION KEY'!$A$1:$A$59,'SUBSTITUTION KEY'!$C$1:$C$59),"")</f>
        <v/>
      </c>
      <c r="AQ10" s="62" t="str">
        <f>IFERROR(LOOKUP(CODE(GENERATOR!BE14),'SUBSTITUTION KEY'!$A$1:$A$59,'SUBSTITUTION KEY'!$C$1:$C$59),"")</f>
        <v/>
      </c>
      <c r="AR10" s="62" t="str">
        <f>IFERROR(LOOKUP(CODE(GENERATOR!BF14),'SUBSTITUTION KEY'!$A$1:$A$59,'SUBSTITUTION KEY'!$C$1:$C$59),"")</f>
        <v/>
      </c>
      <c r="AS10" s="62" t="str">
        <f>IFERROR(LOOKUP(CODE(GENERATOR!BG14),'SUBSTITUTION KEY'!$A$1:$A$59,'SUBSTITUTION KEY'!$C$1:$C$59),"")</f>
        <v/>
      </c>
      <c r="AT10" s="62" t="str">
        <f>IFERROR(LOOKUP(CODE(GENERATOR!BH14),'SUBSTITUTION KEY'!$A$1:$A$59,'SUBSTITUTION KEY'!$C$1:$C$59),"")</f>
        <v/>
      </c>
      <c r="AU10" s="62" t="str">
        <f>IFERROR(LOOKUP(CODE(GENERATOR!BI14),'SUBSTITUTION KEY'!$A$1:$A$59,'SUBSTITUTION KEY'!$C$1:$C$59),"")</f>
        <v/>
      </c>
      <c r="AV10" s="62" t="str">
        <f>IFERROR(LOOKUP(CODE(GENERATOR!BJ14),'SUBSTITUTION KEY'!$A$1:$A$59,'SUBSTITUTION KEY'!$C$1:$C$59),"")</f>
        <v/>
      </c>
      <c r="AW10" s="62" t="str">
        <f>IFERROR(LOOKUP(CODE(GENERATOR!BK14),'SUBSTITUTION KEY'!$A$1:$A$59,'SUBSTITUTION KEY'!$C$1:$C$59),"")</f>
        <v/>
      </c>
      <c r="AX10" s="62" t="str">
        <f>IFERROR(LOOKUP(CODE(GENERATOR!BL14),'SUBSTITUTION KEY'!$A$1:$A$59,'SUBSTITUTION KEY'!$C$1:$C$59),"")</f>
        <v/>
      </c>
      <c r="AY10" s="62" t="str">
        <f>IFERROR(LOOKUP(CODE(GENERATOR!BM14),'SUBSTITUTION KEY'!$A$1:$A$59,'SUBSTITUTION KEY'!$C$1:$C$59),"")</f>
        <v/>
      </c>
      <c r="AZ10" s="62" t="str">
        <f>IFERROR(LOOKUP(CODE(GENERATOR!BN14),'SUBSTITUTION KEY'!$A$1:$A$59,'SUBSTITUTION KEY'!$C$1:$C$59),"")</f>
        <v/>
      </c>
      <c r="BA10" s="62" t="str">
        <f>IFERROR(LOOKUP(CODE(GENERATOR!BO14),'SUBSTITUTION KEY'!$A$1:$A$59,'SUBSTITUTION KEY'!$C$1:$C$59),"")</f>
        <v/>
      </c>
      <c r="BB10" s="62" t="str">
        <f>IFERROR(LOOKUP(CODE(GENERATOR!BP14),'SUBSTITUTION KEY'!$A$1:$A$59,'SUBSTITUTION KEY'!$C$1:$C$59),"")</f>
        <v/>
      </c>
      <c r="BC10" s="62" t="str">
        <f>IFERROR(LOOKUP(CODE(GENERATOR!BQ14),'SUBSTITUTION KEY'!$A$1:$A$59,'SUBSTITUTION KEY'!$C$1:$C$59),"")</f>
        <v/>
      </c>
      <c r="BD10" s="62" t="str">
        <f>IFERROR(LOOKUP(CODE(GENERATOR!BR14),'SUBSTITUTION KEY'!$A$1:$A$59,'SUBSTITUTION KEY'!$C$1:$C$59),"")</f>
        <v/>
      </c>
      <c r="BE10" s="62" t="str">
        <f>IFERROR(LOOKUP(CODE(GENERATOR!BS14),'SUBSTITUTION KEY'!$A$1:$A$59,'SUBSTITUTION KEY'!$C$1:$C$59),"")</f>
        <v/>
      </c>
      <c r="BF10" s="62" t="str">
        <f>IFERROR(LOOKUP(CODE(GENERATOR!BT14),'SUBSTITUTION KEY'!$A$1:$A$59,'SUBSTITUTION KEY'!$C$1:$C$59),"")</f>
        <v/>
      </c>
      <c r="BG10" s="62" t="str">
        <f>IFERROR(LOOKUP(CODE(GENERATOR!BU14),'SUBSTITUTION KEY'!$A$1:$A$59,'SUBSTITUTION KEY'!$C$1:$C$59),"")</f>
        <v/>
      </c>
      <c r="BH10" s="62" t="str">
        <f>IFERROR(LOOKUP(CODE(GENERATOR!BV14),'SUBSTITUTION KEY'!$A$1:$A$59,'SUBSTITUTION KEY'!$C$1:$C$59),"")</f>
        <v/>
      </c>
      <c r="BI10" s="62" t="str">
        <f>IFERROR(LOOKUP(CODE(GENERATOR!BW14),'SUBSTITUTION KEY'!$A$1:$A$59,'SUBSTITUTION KEY'!$C$1:$C$59),"")</f>
        <v/>
      </c>
      <c r="BJ10" s="62" t="str">
        <f>IFERROR(LOOKUP(CODE(GENERATOR!BX14),'SUBSTITUTION KEY'!$A$1:$A$59,'SUBSTITUTION KEY'!$C$1:$C$59),"")</f>
        <v/>
      </c>
      <c r="BK10" s="62" t="str">
        <f>IFERROR(LOOKUP(CODE(GENERATOR!BY14),'SUBSTITUTION KEY'!$A$1:$A$59,'SUBSTITUTION KEY'!$C$1:$C$59),"")</f>
        <v/>
      </c>
      <c r="BL10" s="62" t="str">
        <f>IFERROR(LOOKUP(CODE(GENERATOR!BZ14),'SUBSTITUTION KEY'!$A$1:$A$59,'SUBSTITUTION KEY'!$C$1:$C$59),"")</f>
        <v/>
      </c>
      <c r="BM10" s="62" t="str">
        <f>IFERROR(LOOKUP(CODE(GENERATOR!CA14),'SUBSTITUTION KEY'!$A$1:$A$59,'SUBSTITUTION KEY'!$C$1:$C$59),"")</f>
        <v/>
      </c>
    </row>
    <row r="11" spans="1:65" ht="13.5" customHeight="1" x14ac:dyDescent="0.2">
      <c r="A11" s="71" t="s">
        <v>16</v>
      </c>
      <c r="B11" s="71" t="s">
        <v>1</v>
      </c>
      <c r="C11" s="24">
        <f t="shared" si="0"/>
        <v>5</v>
      </c>
      <c r="D11" s="1" t="s">
        <v>1</v>
      </c>
      <c r="F11" s="62" t="str">
        <f>IFERROR(LOOKUP(CODE(GENERATOR!T15),'SUBSTITUTION KEY'!$A$1:$A$59,'SUBSTITUTION KEY'!$C$1:$C$59),"")</f>
        <v>P</v>
      </c>
      <c r="G11" s="62" t="str">
        <f>IFERROR(LOOKUP(CODE(GENERATOR!U15),'SUBSTITUTION KEY'!$A$1:$A$59,'SUBSTITUTION KEY'!$C$1:$C$59),"")</f>
        <v>Y</v>
      </c>
      <c r="H11" s="62" t="str">
        <f>IFERROR(LOOKUP(CODE(GENERATOR!V15),'SUBSTITUTION KEY'!$A$1:$A$59,'SUBSTITUTION KEY'!$C$1:$C$59),"")</f>
        <v>T</v>
      </c>
      <c r="I11" s="62" t="str">
        <f>IFERROR(LOOKUP(CODE(GENERATOR!W15),'SUBSTITUTION KEY'!$A$1:$A$59,'SUBSTITUTION KEY'!$C$1:$C$59),"")</f>
        <v>A</v>
      </c>
      <c r="J11" s="62" t="str">
        <f>IFERROR(LOOKUP(CODE(GENERATOR!X15),'SUBSTITUTION KEY'!$A$1:$A$59,'SUBSTITUTION KEY'!$C$1:$C$59),"")</f>
        <v>F</v>
      </c>
      <c r="K11" s="62" t="str">
        <f>IFERROR(LOOKUP(CODE(GENERATOR!Y15),'SUBSTITUTION KEY'!$A$1:$A$59,'SUBSTITUTION KEY'!$C$1:$C$59),"")</f>
        <v>K</v>
      </c>
      <c r="L11" s="62" t="str">
        <f>IFERROR(LOOKUP(CODE(GENERATOR!Z15),'SUBSTITUTION KEY'!$A$1:$A$59,'SUBSTITUTION KEY'!$C$1:$C$59),"")</f>
        <v>G</v>
      </c>
      <c r="M11" s="62" t="str">
        <f>IFERROR(LOOKUP(CODE(GENERATOR!AA15),'SUBSTITUTION KEY'!$A$1:$A$59,'SUBSTITUTION KEY'!$C$1:$C$59),"")</f>
        <v>X</v>
      </c>
      <c r="N11" s="62" t="str">
        <f>IFERROR(LOOKUP(CODE(GENERATOR!AB15),'SUBSTITUTION KEY'!$A$1:$A$59,'SUBSTITUTION KEY'!$C$1:$C$59),"")</f>
        <v>K</v>
      </c>
      <c r="O11" s="62" t="str">
        <f>IFERROR(LOOKUP(CODE(GENERATOR!AC15),'SUBSTITUTION KEY'!$A$1:$A$59,'SUBSTITUTION KEY'!$C$1:$C$59),"")</f>
        <v>.</v>
      </c>
      <c r="P11" s="62" t="str">
        <f>IFERROR(LOOKUP(CODE(GENERATOR!AD15),'SUBSTITUTION KEY'!$A$1:$A$59,'SUBSTITUTION KEY'!$C$1:$C$59),"")</f>
        <v/>
      </c>
      <c r="Q11" s="62" t="str">
        <f>IFERROR(LOOKUP(CODE(GENERATOR!AE15),'SUBSTITUTION KEY'!$A$1:$A$59,'SUBSTITUTION KEY'!$C$1:$C$59),"")</f>
        <v/>
      </c>
      <c r="R11" s="62" t="str">
        <f>IFERROR(LOOKUP(CODE(GENERATOR!AF15),'SUBSTITUTION KEY'!$A$1:$A$59,'SUBSTITUTION KEY'!$C$1:$C$59),"")</f>
        <v/>
      </c>
      <c r="S11" s="62" t="str">
        <f>IFERROR(LOOKUP(CODE(GENERATOR!AG15),'SUBSTITUTION KEY'!$A$1:$A$59,'SUBSTITUTION KEY'!$C$1:$C$59),"")</f>
        <v/>
      </c>
      <c r="T11" s="62" t="str">
        <f>IFERROR(LOOKUP(CODE(GENERATOR!AH15),'SUBSTITUTION KEY'!$A$1:$A$59,'SUBSTITUTION KEY'!$C$1:$C$59),"")</f>
        <v/>
      </c>
      <c r="U11" s="62" t="str">
        <f>IFERROR(LOOKUP(CODE(GENERATOR!AI15),'SUBSTITUTION KEY'!$A$1:$A$59,'SUBSTITUTION KEY'!$C$1:$C$59),"")</f>
        <v/>
      </c>
      <c r="V11" s="62" t="str">
        <f>IFERROR(LOOKUP(CODE(GENERATOR!AJ15),'SUBSTITUTION KEY'!$A$1:$A$59,'SUBSTITUTION KEY'!$C$1:$C$59),"")</f>
        <v/>
      </c>
      <c r="W11" s="62" t="str">
        <f>IFERROR(LOOKUP(CODE(GENERATOR!AK15),'SUBSTITUTION KEY'!$A$1:$A$59,'SUBSTITUTION KEY'!$C$1:$C$59),"")</f>
        <v/>
      </c>
      <c r="X11" s="62" t="str">
        <f>IFERROR(LOOKUP(CODE(GENERATOR!AL15),'SUBSTITUTION KEY'!$A$1:$A$59,'SUBSTITUTION KEY'!$C$1:$C$59),"")</f>
        <v/>
      </c>
      <c r="Y11" s="62" t="str">
        <f>IFERROR(LOOKUP(CODE(GENERATOR!AM15),'SUBSTITUTION KEY'!$A$1:$A$59,'SUBSTITUTION KEY'!$C$1:$C$59),"")</f>
        <v/>
      </c>
      <c r="Z11" s="62" t="str">
        <f>IFERROR(LOOKUP(CODE(GENERATOR!AN15),'SUBSTITUTION KEY'!$A$1:$A$59,'SUBSTITUTION KEY'!$C$1:$C$59),"")</f>
        <v/>
      </c>
      <c r="AA11" s="62" t="str">
        <f>IFERROR(LOOKUP(CODE(GENERATOR!AO15),'SUBSTITUTION KEY'!$A$1:$A$59,'SUBSTITUTION KEY'!$C$1:$C$59),"")</f>
        <v/>
      </c>
      <c r="AB11" s="62" t="str">
        <f>IFERROR(LOOKUP(CODE(GENERATOR!AP15),'SUBSTITUTION KEY'!$A$1:$A$59,'SUBSTITUTION KEY'!$C$1:$C$59),"")</f>
        <v/>
      </c>
      <c r="AC11" s="62" t="str">
        <f>IFERROR(LOOKUP(CODE(GENERATOR!AQ15),'SUBSTITUTION KEY'!$A$1:$A$59,'SUBSTITUTION KEY'!$C$1:$C$59),"")</f>
        <v/>
      </c>
      <c r="AD11" s="62" t="str">
        <f>IFERROR(LOOKUP(CODE(GENERATOR!AR15),'SUBSTITUTION KEY'!$A$1:$A$59,'SUBSTITUTION KEY'!$C$1:$C$59),"")</f>
        <v/>
      </c>
      <c r="AE11" s="62" t="str">
        <f>IFERROR(LOOKUP(CODE(GENERATOR!AS15),'SUBSTITUTION KEY'!$A$1:$A$59,'SUBSTITUTION KEY'!$C$1:$C$59),"")</f>
        <v/>
      </c>
      <c r="AF11" s="62" t="str">
        <f>IFERROR(LOOKUP(CODE(GENERATOR!AT15),'SUBSTITUTION KEY'!$A$1:$A$59,'SUBSTITUTION KEY'!$C$1:$C$59),"")</f>
        <v/>
      </c>
      <c r="AG11" s="62" t="str">
        <f>IFERROR(LOOKUP(CODE(GENERATOR!AU15),'SUBSTITUTION KEY'!$A$1:$A$59,'SUBSTITUTION KEY'!$C$1:$C$59),"")</f>
        <v/>
      </c>
      <c r="AH11" s="62" t="str">
        <f>IFERROR(LOOKUP(CODE(GENERATOR!AV15),'SUBSTITUTION KEY'!$A$1:$A$59,'SUBSTITUTION KEY'!$C$1:$C$59),"")</f>
        <v/>
      </c>
      <c r="AI11" s="62" t="str">
        <f>IFERROR(LOOKUP(CODE(GENERATOR!AW15),'SUBSTITUTION KEY'!$A$1:$A$59,'SUBSTITUTION KEY'!$C$1:$C$59),"")</f>
        <v/>
      </c>
      <c r="AJ11" s="62" t="str">
        <f>IFERROR(LOOKUP(CODE(GENERATOR!AX15),'SUBSTITUTION KEY'!$A$1:$A$59,'SUBSTITUTION KEY'!$C$1:$C$59),"")</f>
        <v/>
      </c>
      <c r="AK11" s="62" t="str">
        <f>IFERROR(LOOKUP(CODE(GENERATOR!AY15),'SUBSTITUTION KEY'!$A$1:$A$59,'SUBSTITUTION KEY'!$C$1:$C$59),"")</f>
        <v/>
      </c>
      <c r="AL11" s="62" t="str">
        <f>IFERROR(LOOKUP(CODE(GENERATOR!AZ15),'SUBSTITUTION KEY'!$A$1:$A$59,'SUBSTITUTION KEY'!$C$1:$C$59),"")</f>
        <v/>
      </c>
      <c r="AM11" s="62" t="str">
        <f>IFERROR(LOOKUP(CODE(GENERATOR!BA15),'SUBSTITUTION KEY'!$A$1:$A$59,'SUBSTITUTION KEY'!$C$1:$C$59),"")</f>
        <v/>
      </c>
      <c r="AN11" s="62" t="str">
        <f>IFERROR(LOOKUP(CODE(GENERATOR!BB15),'SUBSTITUTION KEY'!$A$1:$A$59,'SUBSTITUTION KEY'!$C$1:$C$59),"")</f>
        <v/>
      </c>
      <c r="AO11" s="62" t="str">
        <f>IFERROR(LOOKUP(CODE(GENERATOR!BC15),'SUBSTITUTION KEY'!$A$1:$A$59,'SUBSTITUTION KEY'!$C$1:$C$59),"")</f>
        <v/>
      </c>
      <c r="AP11" s="62" t="str">
        <f>IFERROR(LOOKUP(CODE(GENERATOR!BD15),'SUBSTITUTION KEY'!$A$1:$A$59,'SUBSTITUTION KEY'!$C$1:$C$59),"")</f>
        <v/>
      </c>
      <c r="AQ11" s="62" t="str">
        <f>IFERROR(LOOKUP(CODE(GENERATOR!BE15),'SUBSTITUTION KEY'!$A$1:$A$59,'SUBSTITUTION KEY'!$C$1:$C$59),"")</f>
        <v/>
      </c>
      <c r="AR11" s="62" t="str">
        <f>IFERROR(LOOKUP(CODE(GENERATOR!BF15),'SUBSTITUTION KEY'!$A$1:$A$59,'SUBSTITUTION KEY'!$C$1:$C$59),"")</f>
        <v/>
      </c>
      <c r="AS11" s="62" t="str">
        <f>IFERROR(LOOKUP(CODE(GENERATOR!BG15),'SUBSTITUTION KEY'!$A$1:$A$59,'SUBSTITUTION KEY'!$C$1:$C$59),"")</f>
        <v/>
      </c>
      <c r="AT11" s="62" t="str">
        <f>IFERROR(LOOKUP(CODE(GENERATOR!BH15),'SUBSTITUTION KEY'!$A$1:$A$59,'SUBSTITUTION KEY'!$C$1:$C$59),"")</f>
        <v/>
      </c>
      <c r="AU11" s="62" t="str">
        <f>IFERROR(LOOKUP(CODE(GENERATOR!BI15),'SUBSTITUTION KEY'!$A$1:$A$59,'SUBSTITUTION KEY'!$C$1:$C$59),"")</f>
        <v/>
      </c>
      <c r="AV11" s="62" t="str">
        <f>IFERROR(LOOKUP(CODE(GENERATOR!BJ15),'SUBSTITUTION KEY'!$A$1:$A$59,'SUBSTITUTION KEY'!$C$1:$C$59),"")</f>
        <v/>
      </c>
      <c r="AW11" s="62" t="str">
        <f>IFERROR(LOOKUP(CODE(GENERATOR!BK15),'SUBSTITUTION KEY'!$A$1:$A$59,'SUBSTITUTION KEY'!$C$1:$C$59),"")</f>
        <v/>
      </c>
      <c r="AX11" s="62" t="str">
        <f>IFERROR(LOOKUP(CODE(GENERATOR!BL15),'SUBSTITUTION KEY'!$A$1:$A$59,'SUBSTITUTION KEY'!$C$1:$C$59),"")</f>
        <v/>
      </c>
      <c r="AY11" s="62" t="str">
        <f>IFERROR(LOOKUP(CODE(GENERATOR!BM15),'SUBSTITUTION KEY'!$A$1:$A$59,'SUBSTITUTION KEY'!$C$1:$C$59),"")</f>
        <v/>
      </c>
      <c r="AZ11" s="62" t="str">
        <f>IFERROR(LOOKUP(CODE(GENERATOR!BN15),'SUBSTITUTION KEY'!$A$1:$A$59,'SUBSTITUTION KEY'!$C$1:$C$59),"")</f>
        <v/>
      </c>
      <c r="BA11" s="62" t="str">
        <f>IFERROR(LOOKUP(CODE(GENERATOR!BO15),'SUBSTITUTION KEY'!$A$1:$A$59,'SUBSTITUTION KEY'!$C$1:$C$59),"")</f>
        <v/>
      </c>
      <c r="BB11" s="62" t="str">
        <f>IFERROR(LOOKUP(CODE(GENERATOR!BP15),'SUBSTITUTION KEY'!$A$1:$A$59,'SUBSTITUTION KEY'!$C$1:$C$59),"")</f>
        <v/>
      </c>
      <c r="BC11" s="62" t="str">
        <f>IFERROR(LOOKUP(CODE(GENERATOR!BQ15),'SUBSTITUTION KEY'!$A$1:$A$59,'SUBSTITUTION KEY'!$C$1:$C$59),"")</f>
        <v/>
      </c>
      <c r="BD11" s="62" t="str">
        <f>IFERROR(LOOKUP(CODE(GENERATOR!BR15),'SUBSTITUTION KEY'!$A$1:$A$59,'SUBSTITUTION KEY'!$C$1:$C$59),"")</f>
        <v/>
      </c>
      <c r="BE11" s="62" t="str">
        <f>IFERROR(LOOKUP(CODE(GENERATOR!BS15),'SUBSTITUTION KEY'!$A$1:$A$59,'SUBSTITUTION KEY'!$C$1:$C$59),"")</f>
        <v/>
      </c>
      <c r="BF11" s="62" t="str">
        <f>IFERROR(LOOKUP(CODE(GENERATOR!BT15),'SUBSTITUTION KEY'!$A$1:$A$59,'SUBSTITUTION KEY'!$C$1:$C$59),"")</f>
        <v/>
      </c>
      <c r="BG11" s="62" t="str">
        <f>IFERROR(LOOKUP(CODE(GENERATOR!BU15),'SUBSTITUTION KEY'!$A$1:$A$59,'SUBSTITUTION KEY'!$C$1:$C$59),"")</f>
        <v/>
      </c>
      <c r="BH11" s="62" t="str">
        <f>IFERROR(LOOKUP(CODE(GENERATOR!BV15),'SUBSTITUTION KEY'!$A$1:$A$59,'SUBSTITUTION KEY'!$C$1:$C$59),"")</f>
        <v/>
      </c>
      <c r="BI11" s="62" t="str">
        <f>IFERROR(LOOKUP(CODE(GENERATOR!BW15),'SUBSTITUTION KEY'!$A$1:$A$59,'SUBSTITUTION KEY'!$C$1:$C$59),"")</f>
        <v/>
      </c>
      <c r="BJ11" s="62" t="str">
        <f>IFERROR(LOOKUP(CODE(GENERATOR!BX15),'SUBSTITUTION KEY'!$A$1:$A$59,'SUBSTITUTION KEY'!$C$1:$C$59),"")</f>
        <v/>
      </c>
      <c r="BK11" s="62" t="str">
        <f>IFERROR(LOOKUP(CODE(GENERATOR!BY15),'SUBSTITUTION KEY'!$A$1:$A$59,'SUBSTITUTION KEY'!$C$1:$C$59),"")</f>
        <v/>
      </c>
      <c r="BL11" s="62" t="str">
        <f>IFERROR(LOOKUP(CODE(GENERATOR!BZ15),'SUBSTITUTION KEY'!$A$1:$A$59,'SUBSTITUTION KEY'!$C$1:$C$59),"")</f>
        <v/>
      </c>
      <c r="BM11" s="62" t="str">
        <f>IFERROR(LOOKUP(CODE(GENERATOR!CA15),'SUBSTITUTION KEY'!$A$1:$A$59,'SUBSTITUTION KEY'!$C$1:$C$59),"")</f>
        <v/>
      </c>
    </row>
    <row r="12" spans="1:65" ht="13.5" customHeight="1" x14ac:dyDescent="0.2">
      <c r="A12" s="71" t="s">
        <v>21</v>
      </c>
      <c r="B12" s="71" t="s">
        <v>1</v>
      </c>
      <c r="C12" s="24">
        <f t="shared" si="0"/>
        <v>8</v>
      </c>
      <c r="F12" s="62" t="str">
        <f>IFERROR(LOOKUP(CODE(GENERATOR!T16),'SUBSTITUTION KEY'!$A$1:$A$59,'SUBSTITUTION KEY'!$C$1:$C$59),"")</f>
        <v/>
      </c>
      <c r="G12" s="62" t="str">
        <f>IFERROR(LOOKUP(CODE(GENERATOR!U16),'SUBSTITUTION KEY'!$A$1:$A$59,'SUBSTITUTION KEY'!$C$1:$C$59),"")</f>
        <v/>
      </c>
      <c r="H12" s="62" t="str">
        <f>IFERROR(LOOKUP(CODE(GENERATOR!V16),'SUBSTITUTION KEY'!$A$1:$A$59,'SUBSTITUTION KEY'!$C$1:$C$59),"")</f>
        <v/>
      </c>
      <c r="I12" s="62" t="str">
        <f>IFERROR(LOOKUP(CODE(GENERATOR!W16),'SUBSTITUTION KEY'!$A$1:$A$59,'SUBSTITUTION KEY'!$C$1:$C$59),"")</f>
        <v/>
      </c>
      <c r="J12" s="62" t="str">
        <f>IFERROR(LOOKUP(CODE(GENERATOR!X16),'SUBSTITUTION KEY'!$A$1:$A$59,'SUBSTITUTION KEY'!$C$1:$C$59),"")</f>
        <v/>
      </c>
      <c r="K12" s="62" t="str">
        <f>IFERROR(LOOKUP(CODE(GENERATOR!Y16),'SUBSTITUTION KEY'!$A$1:$A$59,'SUBSTITUTION KEY'!$C$1:$C$59),"")</f>
        <v/>
      </c>
      <c r="L12" s="62" t="str">
        <f>IFERROR(LOOKUP(CODE(GENERATOR!Z16),'SUBSTITUTION KEY'!$A$1:$A$59,'SUBSTITUTION KEY'!$C$1:$C$59),"")</f>
        <v/>
      </c>
      <c r="M12" s="62" t="str">
        <f>IFERROR(LOOKUP(CODE(GENERATOR!AA16),'SUBSTITUTION KEY'!$A$1:$A$59,'SUBSTITUTION KEY'!$C$1:$C$59),"")</f>
        <v/>
      </c>
      <c r="N12" s="62" t="str">
        <f>IFERROR(LOOKUP(CODE(GENERATOR!AB16),'SUBSTITUTION KEY'!$A$1:$A$59,'SUBSTITUTION KEY'!$C$1:$C$59),"")</f>
        <v/>
      </c>
      <c r="O12" s="62" t="str">
        <f>IFERROR(LOOKUP(CODE(GENERATOR!AC16),'SUBSTITUTION KEY'!$A$1:$A$59,'SUBSTITUTION KEY'!$C$1:$C$59),"")</f>
        <v/>
      </c>
      <c r="P12" s="62" t="str">
        <f>IFERROR(LOOKUP(CODE(GENERATOR!AD16),'SUBSTITUTION KEY'!$A$1:$A$59,'SUBSTITUTION KEY'!$C$1:$C$59),"")</f>
        <v/>
      </c>
      <c r="Q12" s="62" t="str">
        <f>IFERROR(LOOKUP(CODE(GENERATOR!AE16),'SUBSTITUTION KEY'!$A$1:$A$59,'SUBSTITUTION KEY'!$C$1:$C$59),"")</f>
        <v/>
      </c>
      <c r="R12" s="62" t="str">
        <f>IFERROR(LOOKUP(CODE(GENERATOR!AF16),'SUBSTITUTION KEY'!$A$1:$A$59,'SUBSTITUTION KEY'!$C$1:$C$59),"")</f>
        <v/>
      </c>
      <c r="S12" s="62" t="str">
        <f>IFERROR(LOOKUP(CODE(GENERATOR!AG16),'SUBSTITUTION KEY'!$A$1:$A$59,'SUBSTITUTION KEY'!$C$1:$C$59),"")</f>
        <v/>
      </c>
      <c r="T12" s="62" t="str">
        <f>IFERROR(LOOKUP(CODE(GENERATOR!AH16),'SUBSTITUTION KEY'!$A$1:$A$59,'SUBSTITUTION KEY'!$C$1:$C$59),"")</f>
        <v/>
      </c>
      <c r="U12" s="62" t="str">
        <f>IFERROR(LOOKUP(CODE(GENERATOR!AI16),'SUBSTITUTION KEY'!$A$1:$A$59,'SUBSTITUTION KEY'!$C$1:$C$59),"")</f>
        <v/>
      </c>
      <c r="V12" s="62" t="str">
        <f>IFERROR(LOOKUP(CODE(GENERATOR!AJ16),'SUBSTITUTION KEY'!$A$1:$A$59,'SUBSTITUTION KEY'!$C$1:$C$59),"")</f>
        <v/>
      </c>
      <c r="W12" s="62" t="str">
        <f>IFERROR(LOOKUP(CODE(GENERATOR!AK16),'SUBSTITUTION KEY'!$A$1:$A$59,'SUBSTITUTION KEY'!$C$1:$C$59),"")</f>
        <v/>
      </c>
      <c r="X12" s="62" t="str">
        <f>IFERROR(LOOKUP(CODE(GENERATOR!AL16),'SUBSTITUTION KEY'!$A$1:$A$59,'SUBSTITUTION KEY'!$C$1:$C$59),"")</f>
        <v/>
      </c>
      <c r="Y12" s="62" t="str">
        <f>IFERROR(LOOKUP(CODE(GENERATOR!AM16),'SUBSTITUTION KEY'!$A$1:$A$59,'SUBSTITUTION KEY'!$C$1:$C$59),"")</f>
        <v/>
      </c>
      <c r="Z12" s="62" t="str">
        <f>IFERROR(LOOKUP(CODE(GENERATOR!AN16),'SUBSTITUTION KEY'!$A$1:$A$59,'SUBSTITUTION KEY'!$C$1:$C$59),"")</f>
        <v/>
      </c>
      <c r="AA12" s="62" t="str">
        <f>IFERROR(LOOKUP(CODE(GENERATOR!AO16),'SUBSTITUTION KEY'!$A$1:$A$59,'SUBSTITUTION KEY'!$C$1:$C$59),"")</f>
        <v/>
      </c>
      <c r="AB12" s="62" t="str">
        <f>IFERROR(LOOKUP(CODE(GENERATOR!AP16),'SUBSTITUTION KEY'!$A$1:$A$59,'SUBSTITUTION KEY'!$C$1:$C$59),"")</f>
        <v/>
      </c>
      <c r="AC12" s="62" t="str">
        <f>IFERROR(LOOKUP(CODE(GENERATOR!AQ16),'SUBSTITUTION KEY'!$A$1:$A$59,'SUBSTITUTION KEY'!$C$1:$C$59),"")</f>
        <v/>
      </c>
      <c r="AD12" s="62" t="str">
        <f>IFERROR(LOOKUP(CODE(GENERATOR!AR16),'SUBSTITUTION KEY'!$A$1:$A$59,'SUBSTITUTION KEY'!$C$1:$C$59),"")</f>
        <v/>
      </c>
      <c r="AE12" s="62" t="str">
        <f>IFERROR(LOOKUP(CODE(GENERATOR!AS16),'SUBSTITUTION KEY'!$A$1:$A$59,'SUBSTITUTION KEY'!$C$1:$C$59),"")</f>
        <v/>
      </c>
      <c r="AF12" s="62" t="str">
        <f>IFERROR(LOOKUP(CODE(GENERATOR!AT16),'SUBSTITUTION KEY'!$A$1:$A$59,'SUBSTITUTION KEY'!$C$1:$C$59),"")</f>
        <v/>
      </c>
      <c r="AG12" s="62" t="str">
        <f>IFERROR(LOOKUP(CODE(GENERATOR!AU16),'SUBSTITUTION KEY'!$A$1:$A$59,'SUBSTITUTION KEY'!$C$1:$C$59),"")</f>
        <v/>
      </c>
      <c r="AH12" s="62" t="str">
        <f>IFERROR(LOOKUP(CODE(GENERATOR!AV16),'SUBSTITUTION KEY'!$A$1:$A$59,'SUBSTITUTION KEY'!$C$1:$C$59),"")</f>
        <v/>
      </c>
      <c r="AI12" s="62" t="str">
        <f>IFERROR(LOOKUP(CODE(GENERATOR!AW16),'SUBSTITUTION KEY'!$A$1:$A$59,'SUBSTITUTION KEY'!$C$1:$C$59),"")</f>
        <v/>
      </c>
      <c r="AJ12" s="62" t="str">
        <f>IFERROR(LOOKUP(CODE(GENERATOR!AX16),'SUBSTITUTION KEY'!$A$1:$A$59,'SUBSTITUTION KEY'!$C$1:$C$59),"")</f>
        <v/>
      </c>
      <c r="AK12" s="62" t="str">
        <f>IFERROR(LOOKUP(CODE(GENERATOR!AY16),'SUBSTITUTION KEY'!$A$1:$A$59,'SUBSTITUTION KEY'!$C$1:$C$59),"")</f>
        <v/>
      </c>
      <c r="AL12" s="62" t="str">
        <f>IFERROR(LOOKUP(CODE(GENERATOR!AZ16),'SUBSTITUTION KEY'!$A$1:$A$59,'SUBSTITUTION KEY'!$C$1:$C$59),"")</f>
        <v/>
      </c>
      <c r="AM12" s="62" t="str">
        <f>IFERROR(LOOKUP(CODE(GENERATOR!BA16),'SUBSTITUTION KEY'!$A$1:$A$59,'SUBSTITUTION KEY'!$C$1:$C$59),"")</f>
        <v/>
      </c>
      <c r="AN12" s="62" t="str">
        <f>IFERROR(LOOKUP(CODE(GENERATOR!BB16),'SUBSTITUTION KEY'!$A$1:$A$59,'SUBSTITUTION KEY'!$C$1:$C$59),"")</f>
        <v/>
      </c>
      <c r="AO12" s="62" t="str">
        <f>IFERROR(LOOKUP(CODE(GENERATOR!BC16),'SUBSTITUTION KEY'!$A$1:$A$59,'SUBSTITUTION KEY'!$C$1:$C$59),"")</f>
        <v/>
      </c>
      <c r="AP12" s="62" t="str">
        <f>IFERROR(LOOKUP(CODE(GENERATOR!BD16),'SUBSTITUTION KEY'!$A$1:$A$59,'SUBSTITUTION KEY'!$C$1:$C$59),"")</f>
        <v/>
      </c>
      <c r="AQ12" s="62" t="str">
        <f>IFERROR(LOOKUP(CODE(GENERATOR!BE16),'SUBSTITUTION KEY'!$A$1:$A$59,'SUBSTITUTION KEY'!$C$1:$C$59),"")</f>
        <v/>
      </c>
      <c r="AR12" s="62" t="str">
        <f>IFERROR(LOOKUP(CODE(GENERATOR!BF16),'SUBSTITUTION KEY'!$A$1:$A$59,'SUBSTITUTION KEY'!$C$1:$C$59),"")</f>
        <v/>
      </c>
      <c r="AS12" s="62" t="str">
        <f>IFERROR(LOOKUP(CODE(GENERATOR!BG16),'SUBSTITUTION KEY'!$A$1:$A$59,'SUBSTITUTION KEY'!$C$1:$C$59),"")</f>
        <v/>
      </c>
      <c r="AT12" s="62" t="str">
        <f>IFERROR(LOOKUP(CODE(GENERATOR!BH16),'SUBSTITUTION KEY'!$A$1:$A$59,'SUBSTITUTION KEY'!$C$1:$C$59),"")</f>
        <v/>
      </c>
      <c r="AU12" s="62" t="str">
        <f>IFERROR(LOOKUP(CODE(GENERATOR!BI16),'SUBSTITUTION KEY'!$A$1:$A$59,'SUBSTITUTION KEY'!$C$1:$C$59),"")</f>
        <v/>
      </c>
      <c r="AV12" s="62" t="str">
        <f>IFERROR(LOOKUP(CODE(GENERATOR!BJ16),'SUBSTITUTION KEY'!$A$1:$A$59,'SUBSTITUTION KEY'!$C$1:$C$59),"")</f>
        <v/>
      </c>
      <c r="AW12" s="62" t="str">
        <f>IFERROR(LOOKUP(CODE(GENERATOR!BK16),'SUBSTITUTION KEY'!$A$1:$A$59,'SUBSTITUTION KEY'!$C$1:$C$59),"")</f>
        <v/>
      </c>
      <c r="AX12" s="62" t="str">
        <f>IFERROR(LOOKUP(CODE(GENERATOR!BL16),'SUBSTITUTION KEY'!$A$1:$A$59,'SUBSTITUTION KEY'!$C$1:$C$59),"")</f>
        <v/>
      </c>
      <c r="AY12" s="62" t="str">
        <f>IFERROR(LOOKUP(CODE(GENERATOR!BM16),'SUBSTITUTION KEY'!$A$1:$A$59,'SUBSTITUTION KEY'!$C$1:$C$59),"")</f>
        <v/>
      </c>
      <c r="AZ12" s="62" t="str">
        <f>IFERROR(LOOKUP(CODE(GENERATOR!BN16),'SUBSTITUTION KEY'!$A$1:$A$59,'SUBSTITUTION KEY'!$C$1:$C$59),"")</f>
        <v/>
      </c>
      <c r="BA12" s="62" t="str">
        <f>IFERROR(LOOKUP(CODE(GENERATOR!BO16),'SUBSTITUTION KEY'!$A$1:$A$59,'SUBSTITUTION KEY'!$C$1:$C$59),"")</f>
        <v/>
      </c>
      <c r="BB12" s="62" t="str">
        <f>IFERROR(LOOKUP(CODE(GENERATOR!BP16),'SUBSTITUTION KEY'!$A$1:$A$59,'SUBSTITUTION KEY'!$C$1:$C$59),"")</f>
        <v/>
      </c>
      <c r="BC12" s="62" t="str">
        <f>IFERROR(LOOKUP(CODE(GENERATOR!BQ16),'SUBSTITUTION KEY'!$A$1:$A$59,'SUBSTITUTION KEY'!$C$1:$C$59),"")</f>
        <v/>
      </c>
      <c r="BD12" s="62" t="str">
        <f>IFERROR(LOOKUP(CODE(GENERATOR!BR16),'SUBSTITUTION KEY'!$A$1:$A$59,'SUBSTITUTION KEY'!$C$1:$C$59),"")</f>
        <v/>
      </c>
      <c r="BE12" s="62" t="str">
        <f>IFERROR(LOOKUP(CODE(GENERATOR!BS16),'SUBSTITUTION KEY'!$A$1:$A$59,'SUBSTITUTION KEY'!$C$1:$C$59),"")</f>
        <v/>
      </c>
      <c r="BF12" s="62" t="str">
        <f>IFERROR(LOOKUP(CODE(GENERATOR!BT16),'SUBSTITUTION KEY'!$A$1:$A$59,'SUBSTITUTION KEY'!$C$1:$C$59),"")</f>
        <v/>
      </c>
      <c r="BG12" s="62" t="str">
        <f>IFERROR(LOOKUP(CODE(GENERATOR!BU16),'SUBSTITUTION KEY'!$A$1:$A$59,'SUBSTITUTION KEY'!$C$1:$C$59),"")</f>
        <v/>
      </c>
      <c r="BH12" s="62" t="str">
        <f>IFERROR(LOOKUP(CODE(GENERATOR!BV16),'SUBSTITUTION KEY'!$A$1:$A$59,'SUBSTITUTION KEY'!$C$1:$C$59),"")</f>
        <v/>
      </c>
      <c r="BI12" s="62" t="str">
        <f>IFERROR(LOOKUP(CODE(GENERATOR!BW16),'SUBSTITUTION KEY'!$A$1:$A$59,'SUBSTITUTION KEY'!$C$1:$C$59),"")</f>
        <v/>
      </c>
      <c r="BJ12" s="62" t="str">
        <f>IFERROR(LOOKUP(CODE(GENERATOR!BX16),'SUBSTITUTION KEY'!$A$1:$A$59,'SUBSTITUTION KEY'!$C$1:$C$59),"")</f>
        <v/>
      </c>
      <c r="BK12" s="62" t="str">
        <f>IFERROR(LOOKUP(CODE(GENERATOR!BY16),'SUBSTITUTION KEY'!$A$1:$A$59,'SUBSTITUTION KEY'!$C$1:$C$59),"")</f>
        <v/>
      </c>
      <c r="BL12" s="62" t="str">
        <f>IFERROR(LOOKUP(CODE(GENERATOR!BZ16),'SUBSTITUTION KEY'!$A$1:$A$59,'SUBSTITUTION KEY'!$C$1:$C$59),"")</f>
        <v/>
      </c>
      <c r="BM12" s="62" t="str">
        <f>IFERROR(LOOKUP(CODE(GENERATOR!CA16),'SUBSTITUTION KEY'!$A$1:$A$59,'SUBSTITUTION KEY'!$C$1:$C$59),"")</f>
        <v/>
      </c>
    </row>
    <row r="13" spans="1:65" ht="13.5" customHeight="1" x14ac:dyDescent="0.2">
      <c r="A13" s="71" t="s">
        <v>22</v>
      </c>
      <c r="B13" s="71" t="s">
        <v>1</v>
      </c>
      <c r="C13" s="24">
        <f t="shared" si="0"/>
        <v>27</v>
      </c>
      <c r="F13" s="62" t="str">
        <f>IFERROR(LOOKUP(CODE(GENERATOR!T17),'SUBSTITUTION KEY'!$A$1:$A$59,'SUBSTITUTION KEY'!$C$1:$C$59),"")</f>
        <v/>
      </c>
      <c r="G13" s="62" t="str">
        <f>IFERROR(LOOKUP(CODE(GENERATOR!U17),'SUBSTITUTION KEY'!$A$1:$A$59,'SUBSTITUTION KEY'!$C$1:$C$59),"")</f>
        <v/>
      </c>
      <c r="H13" s="62" t="str">
        <f>IFERROR(LOOKUP(CODE(GENERATOR!V17),'SUBSTITUTION KEY'!$A$1:$A$59,'SUBSTITUTION KEY'!$C$1:$C$59),"")</f>
        <v/>
      </c>
      <c r="I13" s="62" t="str">
        <f>IFERROR(LOOKUP(CODE(GENERATOR!W17),'SUBSTITUTION KEY'!$A$1:$A$59,'SUBSTITUTION KEY'!$C$1:$C$59),"")</f>
        <v/>
      </c>
      <c r="J13" s="62" t="str">
        <f>IFERROR(LOOKUP(CODE(GENERATOR!X17),'SUBSTITUTION KEY'!$A$1:$A$59,'SUBSTITUTION KEY'!$C$1:$C$59),"")</f>
        <v/>
      </c>
      <c r="K13" s="62" t="str">
        <f>IFERROR(LOOKUP(CODE(GENERATOR!Y17),'SUBSTITUTION KEY'!$A$1:$A$59,'SUBSTITUTION KEY'!$C$1:$C$59),"")</f>
        <v/>
      </c>
      <c r="L13" s="62" t="str">
        <f>IFERROR(LOOKUP(CODE(GENERATOR!Z17),'SUBSTITUTION KEY'!$A$1:$A$59,'SUBSTITUTION KEY'!$C$1:$C$59),"")</f>
        <v/>
      </c>
      <c r="M13" s="62" t="str">
        <f>IFERROR(LOOKUP(CODE(GENERATOR!AA17),'SUBSTITUTION KEY'!$A$1:$A$59,'SUBSTITUTION KEY'!$C$1:$C$59),"")</f>
        <v/>
      </c>
      <c r="N13" s="62" t="str">
        <f>IFERROR(LOOKUP(CODE(GENERATOR!AB17),'SUBSTITUTION KEY'!$A$1:$A$59,'SUBSTITUTION KEY'!$C$1:$C$59),"")</f>
        <v/>
      </c>
      <c r="O13" s="62" t="str">
        <f>IFERROR(LOOKUP(CODE(GENERATOR!AC17),'SUBSTITUTION KEY'!$A$1:$A$59,'SUBSTITUTION KEY'!$C$1:$C$59),"")</f>
        <v/>
      </c>
      <c r="P13" s="62" t="str">
        <f>IFERROR(LOOKUP(CODE(GENERATOR!AD17),'SUBSTITUTION KEY'!$A$1:$A$59,'SUBSTITUTION KEY'!$C$1:$C$59),"")</f>
        <v/>
      </c>
      <c r="Q13" s="62" t="str">
        <f>IFERROR(LOOKUP(CODE(GENERATOR!AE17),'SUBSTITUTION KEY'!$A$1:$A$59,'SUBSTITUTION KEY'!$C$1:$C$59),"")</f>
        <v/>
      </c>
      <c r="R13" s="62" t="str">
        <f>IFERROR(LOOKUP(CODE(GENERATOR!AF17),'SUBSTITUTION KEY'!$A$1:$A$59,'SUBSTITUTION KEY'!$C$1:$C$59),"")</f>
        <v/>
      </c>
      <c r="S13" s="62" t="str">
        <f>IFERROR(LOOKUP(CODE(GENERATOR!AG17),'SUBSTITUTION KEY'!$A$1:$A$59,'SUBSTITUTION KEY'!$C$1:$C$59),"")</f>
        <v/>
      </c>
      <c r="T13" s="62" t="str">
        <f>IFERROR(LOOKUP(CODE(GENERATOR!AH17),'SUBSTITUTION KEY'!$A$1:$A$59,'SUBSTITUTION KEY'!$C$1:$C$59),"")</f>
        <v/>
      </c>
      <c r="U13" s="62" t="str">
        <f>IFERROR(LOOKUP(CODE(GENERATOR!AI17),'SUBSTITUTION KEY'!$A$1:$A$59,'SUBSTITUTION KEY'!$C$1:$C$59),"")</f>
        <v/>
      </c>
      <c r="V13" s="62" t="str">
        <f>IFERROR(LOOKUP(CODE(GENERATOR!AJ17),'SUBSTITUTION KEY'!$A$1:$A$59,'SUBSTITUTION KEY'!$C$1:$C$59),"")</f>
        <v/>
      </c>
      <c r="W13" s="62" t="str">
        <f>IFERROR(LOOKUP(CODE(GENERATOR!AK17),'SUBSTITUTION KEY'!$A$1:$A$59,'SUBSTITUTION KEY'!$C$1:$C$59),"")</f>
        <v/>
      </c>
      <c r="X13" s="62" t="str">
        <f>IFERROR(LOOKUP(CODE(GENERATOR!AL17),'SUBSTITUTION KEY'!$A$1:$A$59,'SUBSTITUTION KEY'!$C$1:$C$59),"")</f>
        <v/>
      </c>
      <c r="Y13" s="62" t="str">
        <f>IFERROR(LOOKUP(CODE(GENERATOR!AM17),'SUBSTITUTION KEY'!$A$1:$A$59,'SUBSTITUTION KEY'!$C$1:$C$59),"")</f>
        <v/>
      </c>
      <c r="Z13" s="62" t="str">
        <f>IFERROR(LOOKUP(CODE(GENERATOR!AN17),'SUBSTITUTION KEY'!$A$1:$A$59,'SUBSTITUTION KEY'!$C$1:$C$59),"")</f>
        <v/>
      </c>
      <c r="AA13" s="62" t="str">
        <f>IFERROR(LOOKUP(CODE(GENERATOR!AO17),'SUBSTITUTION KEY'!$A$1:$A$59,'SUBSTITUTION KEY'!$C$1:$C$59),"")</f>
        <v/>
      </c>
      <c r="AB13" s="62" t="str">
        <f>IFERROR(LOOKUP(CODE(GENERATOR!AP17),'SUBSTITUTION KEY'!$A$1:$A$59,'SUBSTITUTION KEY'!$C$1:$C$59),"")</f>
        <v/>
      </c>
      <c r="AC13" s="62" t="str">
        <f>IFERROR(LOOKUP(CODE(GENERATOR!AQ17),'SUBSTITUTION KEY'!$A$1:$A$59,'SUBSTITUTION KEY'!$C$1:$C$59),"")</f>
        <v/>
      </c>
      <c r="AD13" s="62" t="str">
        <f>IFERROR(LOOKUP(CODE(GENERATOR!AR17),'SUBSTITUTION KEY'!$A$1:$A$59,'SUBSTITUTION KEY'!$C$1:$C$59),"")</f>
        <v/>
      </c>
      <c r="AE13" s="62" t="str">
        <f>IFERROR(LOOKUP(CODE(GENERATOR!AS17),'SUBSTITUTION KEY'!$A$1:$A$59,'SUBSTITUTION KEY'!$C$1:$C$59),"")</f>
        <v/>
      </c>
      <c r="AF13" s="62" t="str">
        <f>IFERROR(LOOKUP(CODE(GENERATOR!AT17),'SUBSTITUTION KEY'!$A$1:$A$59,'SUBSTITUTION KEY'!$C$1:$C$59),"")</f>
        <v/>
      </c>
      <c r="AG13" s="62" t="str">
        <f>IFERROR(LOOKUP(CODE(GENERATOR!AU17),'SUBSTITUTION KEY'!$A$1:$A$59,'SUBSTITUTION KEY'!$C$1:$C$59),"")</f>
        <v/>
      </c>
      <c r="AH13" s="62" t="str">
        <f>IFERROR(LOOKUP(CODE(GENERATOR!AV17),'SUBSTITUTION KEY'!$A$1:$A$59,'SUBSTITUTION KEY'!$C$1:$C$59),"")</f>
        <v/>
      </c>
      <c r="AI13" s="62" t="str">
        <f>IFERROR(LOOKUP(CODE(GENERATOR!AW17),'SUBSTITUTION KEY'!$A$1:$A$59,'SUBSTITUTION KEY'!$C$1:$C$59),"")</f>
        <v/>
      </c>
      <c r="AJ13" s="62" t="str">
        <f>IFERROR(LOOKUP(CODE(GENERATOR!AX17),'SUBSTITUTION KEY'!$A$1:$A$59,'SUBSTITUTION KEY'!$C$1:$C$59),"")</f>
        <v/>
      </c>
      <c r="AK13" s="62" t="str">
        <f>IFERROR(LOOKUP(CODE(GENERATOR!AY17),'SUBSTITUTION KEY'!$A$1:$A$59,'SUBSTITUTION KEY'!$C$1:$C$59),"")</f>
        <v/>
      </c>
      <c r="AL13" s="62" t="str">
        <f>IFERROR(LOOKUP(CODE(GENERATOR!AZ17),'SUBSTITUTION KEY'!$A$1:$A$59,'SUBSTITUTION KEY'!$C$1:$C$59),"")</f>
        <v/>
      </c>
      <c r="AM13" s="62" t="str">
        <f>IFERROR(LOOKUP(CODE(GENERATOR!BA17),'SUBSTITUTION KEY'!$A$1:$A$59,'SUBSTITUTION KEY'!$C$1:$C$59),"")</f>
        <v/>
      </c>
      <c r="AN13" s="62" t="str">
        <f>IFERROR(LOOKUP(CODE(GENERATOR!BB17),'SUBSTITUTION KEY'!$A$1:$A$59,'SUBSTITUTION KEY'!$C$1:$C$59),"")</f>
        <v/>
      </c>
      <c r="AO13" s="62" t="str">
        <f>IFERROR(LOOKUP(CODE(GENERATOR!BC17),'SUBSTITUTION KEY'!$A$1:$A$59,'SUBSTITUTION KEY'!$C$1:$C$59),"")</f>
        <v/>
      </c>
      <c r="AP13" s="62" t="str">
        <f>IFERROR(LOOKUP(CODE(GENERATOR!BD17),'SUBSTITUTION KEY'!$A$1:$A$59,'SUBSTITUTION KEY'!$C$1:$C$59),"")</f>
        <v/>
      </c>
      <c r="AQ13" s="62" t="str">
        <f>IFERROR(LOOKUP(CODE(GENERATOR!BE17),'SUBSTITUTION KEY'!$A$1:$A$59,'SUBSTITUTION KEY'!$C$1:$C$59),"")</f>
        <v/>
      </c>
      <c r="AR13" s="62" t="str">
        <f>IFERROR(LOOKUP(CODE(GENERATOR!BF17),'SUBSTITUTION KEY'!$A$1:$A$59,'SUBSTITUTION KEY'!$C$1:$C$59),"")</f>
        <v/>
      </c>
      <c r="AS13" s="62" t="str">
        <f>IFERROR(LOOKUP(CODE(GENERATOR!BG17),'SUBSTITUTION KEY'!$A$1:$A$59,'SUBSTITUTION KEY'!$C$1:$C$59),"")</f>
        <v/>
      </c>
      <c r="AT13" s="62" t="str">
        <f>IFERROR(LOOKUP(CODE(GENERATOR!BH17),'SUBSTITUTION KEY'!$A$1:$A$59,'SUBSTITUTION KEY'!$C$1:$C$59),"")</f>
        <v/>
      </c>
      <c r="AU13" s="62" t="str">
        <f>IFERROR(LOOKUP(CODE(GENERATOR!BI17),'SUBSTITUTION KEY'!$A$1:$A$59,'SUBSTITUTION KEY'!$C$1:$C$59),"")</f>
        <v/>
      </c>
      <c r="AV13" s="62" t="str">
        <f>IFERROR(LOOKUP(CODE(GENERATOR!BJ17),'SUBSTITUTION KEY'!$A$1:$A$59,'SUBSTITUTION KEY'!$C$1:$C$59),"")</f>
        <v/>
      </c>
      <c r="AW13" s="62" t="str">
        <f>IFERROR(LOOKUP(CODE(GENERATOR!BK17),'SUBSTITUTION KEY'!$A$1:$A$59,'SUBSTITUTION KEY'!$C$1:$C$59),"")</f>
        <v/>
      </c>
      <c r="AX13" s="62" t="str">
        <f>IFERROR(LOOKUP(CODE(GENERATOR!BL17),'SUBSTITUTION KEY'!$A$1:$A$59,'SUBSTITUTION KEY'!$C$1:$C$59),"")</f>
        <v/>
      </c>
      <c r="AY13" s="62" t="str">
        <f>IFERROR(LOOKUP(CODE(GENERATOR!BM17),'SUBSTITUTION KEY'!$A$1:$A$59,'SUBSTITUTION KEY'!$C$1:$C$59),"")</f>
        <v/>
      </c>
      <c r="AZ13" s="62" t="str">
        <f>IFERROR(LOOKUP(CODE(GENERATOR!BN17),'SUBSTITUTION KEY'!$A$1:$A$59,'SUBSTITUTION KEY'!$C$1:$C$59),"")</f>
        <v/>
      </c>
      <c r="BA13" s="62" t="str">
        <f>IFERROR(LOOKUP(CODE(GENERATOR!BO17),'SUBSTITUTION KEY'!$A$1:$A$59,'SUBSTITUTION KEY'!$C$1:$C$59),"")</f>
        <v/>
      </c>
      <c r="BB13" s="62" t="str">
        <f>IFERROR(LOOKUP(CODE(GENERATOR!BP17),'SUBSTITUTION KEY'!$A$1:$A$59,'SUBSTITUTION KEY'!$C$1:$C$59),"")</f>
        <v/>
      </c>
      <c r="BC13" s="62" t="str">
        <f>IFERROR(LOOKUP(CODE(GENERATOR!BQ17),'SUBSTITUTION KEY'!$A$1:$A$59,'SUBSTITUTION KEY'!$C$1:$C$59),"")</f>
        <v/>
      </c>
      <c r="BD13" s="62" t="str">
        <f>IFERROR(LOOKUP(CODE(GENERATOR!BR17),'SUBSTITUTION KEY'!$A$1:$A$59,'SUBSTITUTION KEY'!$C$1:$C$59),"")</f>
        <v/>
      </c>
      <c r="BE13" s="62" t="str">
        <f>IFERROR(LOOKUP(CODE(GENERATOR!BS17),'SUBSTITUTION KEY'!$A$1:$A$59,'SUBSTITUTION KEY'!$C$1:$C$59),"")</f>
        <v/>
      </c>
      <c r="BF13" s="62" t="str">
        <f>IFERROR(LOOKUP(CODE(GENERATOR!BT17),'SUBSTITUTION KEY'!$A$1:$A$59,'SUBSTITUTION KEY'!$C$1:$C$59),"")</f>
        <v/>
      </c>
      <c r="BG13" s="62" t="str">
        <f>IFERROR(LOOKUP(CODE(GENERATOR!BU17),'SUBSTITUTION KEY'!$A$1:$A$59,'SUBSTITUTION KEY'!$C$1:$C$59),"")</f>
        <v/>
      </c>
      <c r="BH13" s="62" t="str">
        <f>IFERROR(LOOKUP(CODE(GENERATOR!BV17),'SUBSTITUTION KEY'!$A$1:$A$59,'SUBSTITUTION KEY'!$C$1:$C$59),"")</f>
        <v/>
      </c>
      <c r="BI13" s="62" t="str">
        <f>IFERROR(LOOKUP(CODE(GENERATOR!BW17),'SUBSTITUTION KEY'!$A$1:$A$59,'SUBSTITUTION KEY'!$C$1:$C$59),"")</f>
        <v/>
      </c>
      <c r="BJ13" s="62" t="str">
        <f>IFERROR(LOOKUP(CODE(GENERATOR!BX17),'SUBSTITUTION KEY'!$A$1:$A$59,'SUBSTITUTION KEY'!$C$1:$C$59),"")</f>
        <v/>
      </c>
      <c r="BK13" s="62" t="str">
        <f>IFERROR(LOOKUP(CODE(GENERATOR!BY17),'SUBSTITUTION KEY'!$A$1:$A$59,'SUBSTITUTION KEY'!$C$1:$C$59),"")</f>
        <v/>
      </c>
      <c r="BL13" s="62" t="str">
        <f>IFERROR(LOOKUP(CODE(GENERATOR!BZ17),'SUBSTITUTION KEY'!$A$1:$A$59,'SUBSTITUTION KEY'!$C$1:$C$59),"")</f>
        <v/>
      </c>
      <c r="BM13" s="62" t="str">
        <f>IFERROR(LOOKUP(CODE(GENERATOR!CA17),'SUBSTITUTION KEY'!$A$1:$A$59,'SUBSTITUTION KEY'!$C$1:$C$59),"")</f>
        <v/>
      </c>
    </row>
    <row r="14" spans="1:65" ht="13.5" customHeight="1" x14ac:dyDescent="0.2">
      <c r="A14" s="71" t="s">
        <v>9</v>
      </c>
      <c r="B14" s="71" t="s">
        <v>1</v>
      </c>
      <c r="C14" s="24">
        <f t="shared" si="0"/>
        <v>1</v>
      </c>
      <c r="F14" s="62" t="str">
        <f>IFERROR(LOOKUP(CODE(GENERATOR!T18),'SUBSTITUTION KEY'!$A$1:$A$59,'SUBSTITUTION KEY'!$C$1:$C$59),"")</f>
        <v/>
      </c>
      <c r="G14" s="62" t="str">
        <f>IFERROR(LOOKUP(CODE(GENERATOR!U18),'SUBSTITUTION KEY'!$A$1:$A$59,'SUBSTITUTION KEY'!$C$1:$C$59),"")</f>
        <v/>
      </c>
      <c r="H14" s="62" t="str">
        <f>IFERROR(LOOKUP(CODE(GENERATOR!V18),'SUBSTITUTION KEY'!$A$1:$A$59,'SUBSTITUTION KEY'!$C$1:$C$59),"")</f>
        <v/>
      </c>
      <c r="I14" s="62" t="str">
        <f>IFERROR(LOOKUP(CODE(GENERATOR!W18),'SUBSTITUTION KEY'!$A$1:$A$59,'SUBSTITUTION KEY'!$C$1:$C$59),"")</f>
        <v/>
      </c>
      <c r="J14" s="62" t="str">
        <f>IFERROR(LOOKUP(CODE(GENERATOR!X18),'SUBSTITUTION KEY'!$A$1:$A$59,'SUBSTITUTION KEY'!$C$1:$C$59),"")</f>
        <v/>
      </c>
      <c r="K14" s="62" t="str">
        <f>IFERROR(LOOKUP(CODE(GENERATOR!Y18),'SUBSTITUTION KEY'!$A$1:$A$59,'SUBSTITUTION KEY'!$C$1:$C$59),"")</f>
        <v/>
      </c>
      <c r="L14" s="62" t="str">
        <f>IFERROR(LOOKUP(CODE(GENERATOR!Z18),'SUBSTITUTION KEY'!$A$1:$A$59,'SUBSTITUTION KEY'!$C$1:$C$59),"")</f>
        <v/>
      </c>
      <c r="M14" s="62" t="str">
        <f>IFERROR(LOOKUP(CODE(GENERATOR!AA18),'SUBSTITUTION KEY'!$A$1:$A$59,'SUBSTITUTION KEY'!$C$1:$C$59),"")</f>
        <v/>
      </c>
      <c r="N14" s="62" t="str">
        <f>IFERROR(LOOKUP(CODE(GENERATOR!AB18),'SUBSTITUTION KEY'!$A$1:$A$59,'SUBSTITUTION KEY'!$C$1:$C$59),"")</f>
        <v/>
      </c>
      <c r="O14" s="62" t="str">
        <f>IFERROR(LOOKUP(CODE(GENERATOR!AC18),'SUBSTITUTION KEY'!$A$1:$A$59,'SUBSTITUTION KEY'!$C$1:$C$59),"")</f>
        <v/>
      </c>
      <c r="P14" s="62" t="str">
        <f>IFERROR(LOOKUP(CODE(GENERATOR!AD18),'SUBSTITUTION KEY'!$A$1:$A$59,'SUBSTITUTION KEY'!$C$1:$C$59),"")</f>
        <v/>
      </c>
      <c r="Q14" s="62" t="str">
        <f>IFERROR(LOOKUP(CODE(GENERATOR!AE18),'SUBSTITUTION KEY'!$A$1:$A$59,'SUBSTITUTION KEY'!$C$1:$C$59),"")</f>
        <v/>
      </c>
      <c r="R14" s="62" t="str">
        <f>IFERROR(LOOKUP(CODE(GENERATOR!AF18),'SUBSTITUTION KEY'!$A$1:$A$59,'SUBSTITUTION KEY'!$C$1:$C$59),"")</f>
        <v/>
      </c>
      <c r="S14" s="62" t="str">
        <f>IFERROR(LOOKUP(CODE(GENERATOR!AG18),'SUBSTITUTION KEY'!$A$1:$A$59,'SUBSTITUTION KEY'!$C$1:$C$59),"")</f>
        <v/>
      </c>
      <c r="T14" s="62" t="str">
        <f>IFERROR(LOOKUP(CODE(GENERATOR!AH18),'SUBSTITUTION KEY'!$A$1:$A$59,'SUBSTITUTION KEY'!$C$1:$C$59),"")</f>
        <v/>
      </c>
      <c r="U14" s="62" t="str">
        <f>IFERROR(LOOKUP(CODE(GENERATOR!AI18),'SUBSTITUTION KEY'!$A$1:$A$59,'SUBSTITUTION KEY'!$C$1:$C$59),"")</f>
        <v/>
      </c>
      <c r="V14" s="62" t="str">
        <f>IFERROR(LOOKUP(CODE(GENERATOR!AJ18),'SUBSTITUTION KEY'!$A$1:$A$59,'SUBSTITUTION KEY'!$C$1:$C$59),"")</f>
        <v/>
      </c>
      <c r="W14" s="62" t="str">
        <f>IFERROR(LOOKUP(CODE(GENERATOR!AK18),'SUBSTITUTION KEY'!$A$1:$A$59,'SUBSTITUTION KEY'!$C$1:$C$59),"")</f>
        <v/>
      </c>
      <c r="X14" s="62" t="str">
        <f>IFERROR(LOOKUP(CODE(GENERATOR!AL18),'SUBSTITUTION KEY'!$A$1:$A$59,'SUBSTITUTION KEY'!$C$1:$C$59),"")</f>
        <v/>
      </c>
      <c r="Y14" s="62" t="str">
        <f>IFERROR(LOOKUP(CODE(GENERATOR!AM18),'SUBSTITUTION KEY'!$A$1:$A$59,'SUBSTITUTION KEY'!$C$1:$C$59),"")</f>
        <v/>
      </c>
      <c r="Z14" s="62" t="str">
        <f>IFERROR(LOOKUP(CODE(GENERATOR!AN18),'SUBSTITUTION KEY'!$A$1:$A$59,'SUBSTITUTION KEY'!$C$1:$C$59),"")</f>
        <v/>
      </c>
      <c r="AA14" s="62" t="str">
        <f>IFERROR(LOOKUP(CODE(GENERATOR!AO18),'SUBSTITUTION KEY'!$A$1:$A$59,'SUBSTITUTION KEY'!$C$1:$C$59),"")</f>
        <v/>
      </c>
      <c r="AB14" s="62" t="str">
        <f>IFERROR(LOOKUP(CODE(GENERATOR!AP18),'SUBSTITUTION KEY'!$A$1:$A$59,'SUBSTITUTION KEY'!$C$1:$C$59),"")</f>
        <v/>
      </c>
      <c r="AC14" s="62" t="str">
        <f>IFERROR(LOOKUP(CODE(GENERATOR!AQ18),'SUBSTITUTION KEY'!$A$1:$A$59,'SUBSTITUTION KEY'!$C$1:$C$59),"")</f>
        <v/>
      </c>
      <c r="AD14" s="62" t="str">
        <f>IFERROR(LOOKUP(CODE(GENERATOR!AR18),'SUBSTITUTION KEY'!$A$1:$A$59,'SUBSTITUTION KEY'!$C$1:$C$59),"")</f>
        <v/>
      </c>
      <c r="AE14" s="62" t="str">
        <f>IFERROR(LOOKUP(CODE(GENERATOR!AS18),'SUBSTITUTION KEY'!$A$1:$A$59,'SUBSTITUTION KEY'!$C$1:$C$59),"")</f>
        <v/>
      </c>
      <c r="AF14" s="62" t="str">
        <f>IFERROR(LOOKUP(CODE(GENERATOR!AT18),'SUBSTITUTION KEY'!$A$1:$A$59,'SUBSTITUTION KEY'!$C$1:$C$59),"")</f>
        <v/>
      </c>
      <c r="AG14" s="62" t="str">
        <f>IFERROR(LOOKUP(CODE(GENERATOR!AU18),'SUBSTITUTION KEY'!$A$1:$A$59,'SUBSTITUTION KEY'!$C$1:$C$59),"")</f>
        <v/>
      </c>
      <c r="AH14" s="62" t="str">
        <f>IFERROR(LOOKUP(CODE(GENERATOR!AV18),'SUBSTITUTION KEY'!$A$1:$A$59,'SUBSTITUTION KEY'!$C$1:$C$59),"")</f>
        <v/>
      </c>
      <c r="AI14" s="62" t="str">
        <f>IFERROR(LOOKUP(CODE(GENERATOR!AW18),'SUBSTITUTION KEY'!$A$1:$A$59,'SUBSTITUTION KEY'!$C$1:$C$59),"")</f>
        <v/>
      </c>
      <c r="AJ14" s="62" t="str">
        <f>IFERROR(LOOKUP(CODE(GENERATOR!AX18),'SUBSTITUTION KEY'!$A$1:$A$59,'SUBSTITUTION KEY'!$C$1:$C$59),"")</f>
        <v/>
      </c>
      <c r="AK14" s="62" t="str">
        <f>IFERROR(LOOKUP(CODE(GENERATOR!AY18),'SUBSTITUTION KEY'!$A$1:$A$59,'SUBSTITUTION KEY'!$C$1:$C$59),"")</f>
        <v/>
      </c>
      <c r="AL14" s="62" t="str">
        <f>IFERROR(LOOKUP(CODE(GENERATOR!AZ18),'SUBSTITUTION KEY'!$A$1:$A$59,'SUBSTITUTION KEY'!$C$1:$C$59),"")</f>
        <v/>
      </c>
      <c r="AM14" s="62" t="str">
        <f>IFERROR(LOOKUP(CODE(GENERATOR!BA18),'SUBSTITUTION KEY'!$A$1:$A$59,'SUBSTITUTION KEY'!$C$1:$C$59),"")</f>
        <v/>
      </c>
      <c r="AN14" s="62" t="str">
        <f>IFERROR(LOOKUP(CODE(GENERATOR!BB18),'SUBSTITUTION KEY'!$A$1:$A$59,'SUBSTITUTION KEY'!$C$1:$C$59),"")</f>
        <v/>
      </c>
      <c r="AO14" s="62" t="str">
        <f>IFERROR(LOOKUP(CODE(GENERATOR!BC18),'SUBSTITUTION KEY'!$A$1:$A$59,'SUBSTITUTION KEY'!$C$1:$C$59),"")</f>
        <v/>
      </c>
      <c r="AP14" s="62" t="str">
        <f>IFERROR(LOOKUP(CODE(GENERATOR!BD18),'SUBSTITUTION KEY'!$A$1:$A$59,'SUBSTITUTION KEY'!$C$1:$C$59),"")</f>
        <v/>
      </c>
      <c r="AQ14" s="62" t="str">
        <f>IFERROR(LOOKUP(CODE(GENERATOR!BE18),'SUBSTITUTION KEY'!$A$1:$A$59,'SUBSTITUTION KEY'!$C$1:$C$59),"")</f>
        <v/>
      </c>
      <c r="AR14" s="62" t="str">
        <f>IFERROR(LOOKUP(CODE(GENERATOR!BF18),'SUBSTITUTION KEY'!$A$1:$A$59,'SUBSTITUTION KEY'!$C$1:$C$59),"")</f>
        <v/>
      </c>
      <c r="AS14" s="62" t="str">
        <f>IFERROR(LOOKUP(CODE(GENERATOR!BG18),'SUBSTITUTION KEY'!$A$1:$A$59,'SUBSTITUTION KEY'!$C$1:$C$59),"")</f>
        <v/>
      </c>
      <c r="AT14" s="62" t="str">
        <f>IFERROR(LOOKUP(CODE(GENERATOR!BH18),'SUBSTITUTION KEY'!$A$1:$A$59,'SUBSTITUTION KEY'!$C$1:$C$59),"")</f>
        <v/>
      </c>
      <c r="AU14" s="62" t="str">
        <f>IFERROR(LOOKUP(CODE(GENERATOR!BI18),'SUBSTITUTION KEY'!$A$1:$A$59,'SUBSTITUTION KEY'!$C$1:$C$59),"")</f>
        <v/>
      </c>
      <c r="AV14" s="62" t="str">
        <f>IFERROR(LOOKUP(CODE(GENERATOR!BJ18),'SUBSTITUTION KEY'!$A$1:$A$59,'SUBSTITUTION KEY'!$C$1:$C$59),"")</f>
        <v/>
      </c>
      <c r="AW14" s="62" t="str">
        <f>IFERROR(LOOKUP(CODE(GENERATOR!BK18),'SUBSTITUTION KEY'!$A$1:$A$59,'SUBSTITUTION KEY'!$C$1:$C$59),"")</f>
        <v/>
      </c>
      <c r="AX14" s="62" t="str">
        <f>IFERROR(LOOKUP(CODE(GENERATOR!BL18),'SUBSTITUTION KEY'!$A$1:$A$59,'SUBSTITUTION KEY'!$C$1:$C$59),"")</f>
        <v/>
      </c>
      <c r="AY14" s="62" t="str">
        <f>IFERROR(LOOKUP(CODE(GENERATOR!BM18),'SUBSTITUTION KEY'!$A$1:$A$59,'SUBSTITUTION KEY'!$C$1:$C$59),"")</f>
        <v/>
      </c>
      <c r="AZ14" s="62" t="str">
        <f>IFERROR(LOOKUP(CODE(GENERATOR!BN18),'SUBSTITUTION KEY'!$A$1:$A$59,'SUBSTITUTION KEY'!$C$1:$C$59),"")</f>
        <v/>
      </c>
      <c r="BA14" s="62" t="str">
        <f>IFERROR(LOOKUP(CODE(GENERATOR!BO18),'SUBSTITUTION KEY'!$A$1:$A$59,'SUBSTITUTION KEY'!$C$1:$C$59),"")</f>
        <v/>
      </c>
      <c r="BB14" s="62" t="str">
        <f>IFERROR(LOOKUP(CODE(GENERATOR!BP18),'SUBSTITUTION KEY'!$A$1:$A$59,'SUBSTITUTION KEY'!$C$1:$C$59),"")</f>
        <v/>
      </c>
      <c r="BC14" s="62" t="str">
        <f>IFERROR(LOOKUP(CODE(GENERATOR!BQ18),'SUBSTITUTION KEY'!$A$1:$A$59,'SUBSTITUTION KEY'!$C$1:$C$59),"")</f>
        <v/>
      </c>
      <c r="BD14" s="62" t="str">
        <f>IFERROR(LOOKUP(CODE(GENERATOR!BR18),'SUBSTITUTION KEY'!$A$1:$A$59,'SUBSTITUTION KEY'!$C$1:$C$59),"")</f>
        <v/>
      </c>
      <c r="BE14" s="62" t="str">
        <f>IFERROR(LOOKUP(CODE(GENERATOR!BS18),'SUBSTITUTION KEY'!$A$1:$A$59,'SUBSTITUTION KEY'!$C$1:$C$59),"")</f>
        <v/>
      </c>
      <c r="BF14" s="62" t="str">
        <f>IFERROR(LOOKUP(CODE(GENERATOR!BT18),'SUBSTITUTION KEY'!$A$1:$A$59,'SUBSTITUTION KEY'!$C$1:$C$59),"")</f>
        <v/>
      </c>
      <c r="BG14" s="62" t="str">
        <f>IFERROR(LOOKUP(CODE(GENERATOR!BU18),'SUBSTITUTION KEY'!$A$1:$A$59,'SUBSTITUTION KEY'!$C$1:$C$59),"")</f>
        <v/>
      </c>
      <c r="BH14" s="62" t="str">
        <f>IFERROR(LOOKUP(CODE(GENERATOR!BV18),'SUBSTITUTION KEY'!$A$1:$A$59,'SUBSTITUTION KEY'!$C$1:$C$59),"")</f>
        <v/>
      </c>
      <c r="BI14" s="62" t="str">
        <f>IFERROR(LOOKUP(CODE(GENERATOR!BW18),'SUBSTITUTION KEY'!$A$1:$A$59,'SUBSTITUTION KEY'!$C$1:$C$59),"")</f>
        <v/>
      </c>
      <c r="BJ14" s="62" t="str">
        <f>IFERROR(LOOKUP(CODE(GENERATOR!BX18),'SUBSTITUTION KEY'!$A$1:$A$59,'SUBSTITUTION KEY'!$C$1:$C$59),"")</f>
        <v/>
      </c>
      <c r="BK14" s="62" t="str">
        <f>IFERROR(LOOKUP(CODE(GENERATOR!BY18),'SUBSTITUTION KEY'!$A$1:$A$59,'SUBSTITUTION KEY'!$C$1:$C$59),"")</f>
        <v/>
      </c>
      <c r="BL14" s="62" t="str">
        <f>IFERROR(LOOKUP(CODE(GENERATOR!BZ18),'SUBSTITUTION KEY'!$A$1:$A$59,'SUBSTITUTION KEY'!$C$1:$C$59),"")</f>
        <v/>
      </c>
      <c r="BM14" s="62" t="str">
        <f>IFERROR(LOOKUP(CODE(GENERATOR!CA18),'SUBSTITUTION KEY'!$A$1:$A$59,'SUBSTITUTION KEY'!$C$1:$C$59),"")</f>
        <v/>
      </c>
    </row>
    <row r="15" spans="1:65" ht="13.5" customHeight="1" x14ac:dyDescent="0.2">
      <c r="A15" s="71" t="s">
        <v>10</v>
      </c>
      <c r="B15" s="71" t="s">
        <v>1</v>
      </c>
      <c r="C15" s="24">
        <f t="shared" si="0"/>
        <v>4</v>
      </c>
      <c r="F15" s="62" t="str">
        <f>IFERROR(LOOKUP(CODE(GENERATOR!T19),'SUBSTITUTION KEY'!$A$1:$A$59,'SUBSTITUTION KEY'!$C$1:$C$59),"")</f>
        <v/>
      </c>
      <c r="G15" s="62" t="str">
        <f>IFERROR(LOOKUP(CODE(GENERATOR!U19),'SUBSTITUTION KEY'!$A$1:$A$59,'SUBSTITUTION KEY'!$C$1:$C$59),"")</f>
        <v/>
      </c>
      <c r="H15" s="62" t="str">
        <f>IFERROR(LOOKUP(CODE(GENERATOR!V19),'SUBSTITUTION KEY'!$A$1:$A$59,'SUBSTITUTION KEY'!$C$1:$C$59),"")</f>
        <v/>
      </c>
      <c r="I15" s="62" t="str">
        <f>IFERROR(LOOKUP(CODE(GENERATOR!W19),'SUBSTITUTION KEY'!$A$1:$A$59,'SUBSTITUTION KEY'!$C$1:$C$59),"")</f>
        <v/>
      </c>
      <c r="J15" s="62" t="str">
        <f>IFERROR(LOOKUP(CODE(GENERATOR!X19),'SUBSTITUTION KEY'!$A$1:$A$59,'SUBSTITUTION KEY'!$C$1:$C$59),"")</f>
        <v/>
      </c>
      <c r="K15" s="62" t="str">
        <f>IFERROR(LOOKUP(CODE(GENERATOR!Y19),'SUBSTITUTION KEY'!$A$1:$A$59,'SUBSTITUTION KEY'!$C$1:$C$59),"")</f>
        <v/>
      </c>
      <c r="L15" s="62" t="str">
        <f>IFERROR(LOOKUP(CODE(GENERATOR!Z19),'SUBSTITUTION KEY'!$A$1:$A$59,'SUBSTITUTION KEY'!$C$1:$C$59),"")</f>
        <v/>
      </c>
      <c r="M15" s="62" t="str">
        <f>IFERROR(LOOKUP(CODE(GENERATOR!AA19),'SUBSTITUTION KEY'!$A$1:$A$59,'SUBSTITUTION KEY'!$C$1:$C$59),"")</f>
        <v/>
      </c>
      <c r="N15" s="62" t="str">
        <f>IFERROR(LOOKUP(CODE(GENERATOR!AB19),'SUBSTITUTION KEY'!$A$1:$A$59,'SUBSTITUTION KEY'!$C$1:$C$59),"")</f>
        <v/>
      </c>
      <c r="O15" s="62" t="str">
        <f>IFERROR(LOOKUP(CODE(GENERATOR!AC19),'SUBSTITUTION KEY'!$A$1:$A$59,'SUBSTITUTION KEY'!$C$1:$C$59),"")</f>
        <v/>
      </c>
      <c r="P15" s="62" t="str">
        <f>IFERROR(LOOKUP(CODE(GENERATOR!AD19),'SUBSTITUTION KEY'!$A$1:$A$59,'SUBSTITUTION KEY'!$C$1:$C$59),"")</f>
        <v/>
      </c>
      <c r="Q15" s="62" t="str">
        <f>IFERROR(LOOKUP(CODE(GENERATOR!AE19),'SUBSTITUTION KEY'!$A$1:$A$59,'SUBSTITUTION KEY'!$C$1:$C$59),"")</f>
        <v/>
      </c>
      <c r="R15" s="62" t="str">
        <f>IFERROR(LOOKUP(CODE(GENERATOR!AF19),'SUBSTITUTION KEY'!$A$1:$A$59,'SUBSTITUTION KEY'!$C$1:$C$59),"")</f>
        <v/>
      </c>
      <c r="S15" s="62" t="str">
        <f>IFERROR(LOOKUP(CODE(GENERATOR!AG19),'SUBSTITUTION KEY'!$A$1:$A$59,'SUBSTITUTION KEY'!$C$1:$C$59),"")</f>
        <v/>
      </c>
      <c r="T15" s="62" t="str">
        <f>IFERROR(LOOKUP(CODE(GENERATOR!AH19),'SUBSTITUTION KEY'!$A$1:$A$59,'SUBSTITUTION KEY'!$C$1:$C$59),"")</f>
        <v/>
      </c>
      <c r="U15" s="62" t="str">
        <f>IFERROR(LOOKUP(CODE(GENERATOR!AI19),'SUBSTITUTION KEY'!$A$1:$A$59,'SUBSTITUTION KEY'!$C$1:$C$59),"")</f>
        <v/>
      </c>
      <c r="V15" s="62" t="str">
        <f>IFERROR(LOOKUP(CODE(GENERATOR!AJ19),'SUBSTITUTION KEY'!$A$1:$A$59,'SUBSTITUTION KEY'!$C$1:$C$59),"")</f>
        <v/>
      </c>
      <c r="W15" s="62" t="str">
        <f>IFERROR(LOOKUP(CODE(GENERATOR!AK19),'SUBSTITUTION KEY'!$A$1:$A$59,'SUBSTITUTION KEY'!$C$1:$C$59),"")</f>
        <v/>
      </c>
      <c r="X15" s="62" t="str">
        <f>IFERROR(LOOKUP(CODE(GENERATOR!AL19),'SUBSTITUTION KEY'!$A$1:$A$59,'SUBSTITUTION KEY'!$C$1:$C$59),"")</f>
        <v/>
      </c>
      <c r="Y15" s="62" t="str">
        <f>IFERROR(LOOKUP(CODE(GENERATOR!AM19),'SUBSTITUTION KEY'!$A$1:$A$59,'SUBSTITUTION KEY'!$C$1:$C$59),"")</f>
        <v/>
      </c>
      <c r="Z15" s="62" t="str">
        <f>IFERROR(LOOKUP(CODE(GENERATOR!AN19),'SUBSTITUTION KEY'!$A$1:$A$59,'SUBSTITUTION KEY'!$C$1:$C$59),"")</f>
        <v/>
      </c>
      <c r="AA15" s="62" t="str">
        <f>IFERROR(LOOKUP(CODE(GENERATOR!AO19),'SUBSTITUTION KEY'!$A$1:$A$59,'SUBSTITUTION KEY'!$C$1:$C$59),"")</f>
        <v/>
      </c>
      <c r="AB15" s="62" t="str">
        <f>IFERROR(LOOKUP(CODE(GENERATOR!AP19),'SUBSTITUTION KEY'!$A$1:$A$59,'SUBSTITUTION KEY'!$C$1:$C$59),"")</f>
        <v/>
      </c>
      <c r="AC15" s="62" t="str">
        <f>IFERROR(LOOKUP(CODE(GENERATOR!AQ19),'SUBSTITUTION KEY'!$A$1:$A$59,'SUBSTITUTION KEY'!$C$1:$C$59),"")</f>
        <v/>
      </c>
      <c r="AD15" s="62" t="str">
        <f>IFERROR(LOOKUP(CODE(GENERATOR!AR19),'SUBSTITUTION KEY'!$A$1:$A$59,'SUBSTITUTION KEY'!$C$1:$C$59),"")</f>
        <v/>
      </c>
      <c r="AE15" s="62" t="str">
        <f>IFERROR(LOOKUP(CODE(GENERATOR!AS19),'SUBSTITUTION KEY'!$A$1:$A$59,'SUBSTITUTION KEY'!$C$1:$C$59),"")</f>
        <v/>
      </c>
      <c r="AF15" s="62" t="str">
        <f>IFERROR(LOOKUP(CODE(GENERATOR!AT19),'SUBSTITUTION KEY'!$A$1:$A$59,'SUBSTITUTION KEY'!$C$1:$C$59),"")</f>
        <v/>
      </c>
      <c r="AG15" s="62" t="str">
        <f>IFERROR(LOOKUP(CODE(GENERATOR!AU19),'SUBSTITUTION KEY'!$A$1:$A$59,'SUBSTITUTION KEY'!$C$1:$C$59),"")</f>
        <v/>
      </c>
      <c r="AH15" s="62" t="str">
        <f>IFERROR(LOOKUP(CODE(GENERATOR!AV19),'SUBSTITUTION KEY'!$A$1:$A$59,'SUBSTITUTION KEY'!$C$1:$C$59),"")</f>
        <v/>
      </c>
      <c r="AI15" s="62" t="str">
        <f>IFERROR(LOOKUP(CODE(GENERATOR!AW19),'SUBSTITUTION KEY'!$A$1:$A$59,'SUBSTITUTION KEY'!$C$1:$C$59),"")</f>
        <v/>
      </c>
      <c r="AJ15" s="62" t="str">
        <f>IFERROR(LOOKUP(CODE(GENERATOR!AX19),'SUBSTITUTION KEY'!$A$1:$A$59,'SUBSTITUTION KEY'!$C$1:$C$59),"")</f>
        <v/>
      </c>
      <c r="AK15" s="62" t="str">
        <f>IFERROR(LOOKUP(CODE(GENERATOR!AY19),'SUBSTITUTION KEY'!$A$1:$A$59,'SUBSTITUTION KEY'!$C$1:$C$59),"")</f>
        <v/>
      </c>
      <c r="AL15" s="62" t="str">
        <f>IFERROR(LOOKUP(CODE(GENERATOR!AZ19),'SUBSTITUTION KEY'!$A$1:$A$59,'SUBSTITUTION KEY'!$C$1:$C$59),"")</f>
        <v/>
      </c>
      <c r="AM15" s="62" t="str">
        <f>IFERROR(LOOKUP(CODE(GENERATOR!BA19),'SUBSTITUTION KEY'!$A$1:$A$59,'SUBSTITUTION KEY'!$C$1:$C$59),"")</f>
        <v/>
      </c>
      <c r="AN15" s="62" t="str">
        <f>IFERROR(LOOKUP(CODE(GENERATOR!BB19),'SUBSTITUTION KEY'!$A$1:$A$59,'SUBSTITUTION KEY'!$C$1:$C$59),"")</f>
        <v/>
      </c>
      <c r="AO15" s="62" t="str">
        <f>IFERROR(LOOKUP(CODE(GENERATOR!BC19),'SUBSTITUTION KEY'!$A$1:$A$59,'SUBSTITUTION KEY'!$C$1:$C$59),"")</f>
        <v/>
      </c>
      <c r="AP15" s="62" t="str">
        <f>IFERROR(LOOKUP(CODE(GENERATOR!BD19),'SUBSTITUTION KEY'!$A$1:$A$59,'SUBSTITUTION KEY'!$C$1:$C$59),"")</f>
        <v/>
      </c>
      <c r="AQ15" s="62" t="str">
        <f>IFERROR(LOOKUP(CODE(GENERATOR!BE19),'SUBSTITUTION KEY'!$A$1:$A$59,'SUBSTITUTION KEY'!$C$1:$C$59),"")</f>
        <v/>
      </c>
      <c r="AR15" s="62" t="str">
        <f>IFERROR(LOOKUP(CODE(GENERATOR!BF19),'SUBSTITUTION KEY'!$A$1:$A$59,'SUBSTITUTION KEY'!$C$1:$C$59),"")</f>
        <v/>
      </c>
      <c r="AS15" s="62" t="str">
        <f>IFERROR(LOOKUP(CODE(GENERATOR!BG19),'SUBSTITUTION KEY'!$A$1:$A$59,'SUBSTITUTION KEY'!$C$1:$C$59),"")</f>
        <v/>
      </c>
      <c r="AT15" s="62" t="str">
        <f>IFERROR(LOOKUP(CODE(GENERATOR!BH19),'SUBSTITUTION KEY'!$A$1:$A$59,'SUBSTITUTION KEY'!$C$1:$C$59),"")</f>
        <v/>
      </c>
      <c r="AU15" s="62" t="str">
        <f>IFERROR(LOOKUP(CODE(GENERATOR!BI19),'SUBSTITUTION KEY'!$A$1:$A$59,'SUBSTITUTION KEY'!$C$1:$C$59),"")</f>
        <v/>
      </c>
      <c r="AV15" s="62" t="str">
        <f>IFERROR(LOOKUP(CODE(GENERATOR!BJ19),'SUBSTITUTION KEY'!$A$1:$A$59,'SUBSTITUTION KEY'!$C$1:$C$59),"")</f>
        <v/>
      </c>
      <c r="AW15" s="62" t="str">
        <f>IFERROR(LOOKUP(CODE(GENERATOR!BK19),'SUBSTITUTION KEY'!$A$1:$A$59,'SUBSTITUTION KEY'!$C$1:$C$59),"")</f>
        <v/>
      </c>
      <c r="AX15" s="62" t="str">
        <f>IFERROR(LOOKUP(CODE(GENERATOR!BL19),'SUBSTITUTION KEY'!$A$1:$A$59,'SUBSTITUTION KEY'!$C$1:$C$59),"")</f>
        <v/>
      </c>
      <c r="AY15" s="62" t="str">
        <f>IFERROR(LOOKUP(CODE(GENERATOR!BM19),'SUBSTITUTION KEY'!$A$1:$A$59,'SUBSTITUTION KEY'!$C$1:$C$59),"")</f>
        <v/>
      </c>
      <c r="AZ15" s="62" t="str">
        <f>IFERROR(LOOKUP(CODE(GENERATOR!BN19),'SUBSTITUTION KEY'!$A$1:$A$59,'SUBSTITUTION KEY'!$C$1:$C$59),"")</f>
        <v/>
      </c>
      <c r="BA15" s="62" t="str">
        <f>IFERROR(LOOKUP(CODE(GENERATOR!BO19),'SUBSTITUTION KEY'!$A$1:$A$59,'SUBSTITUTION KEY'!$C$1:$C$59),"")</f>
        <v/>
      </c>
      <c r="BB15" s="62" t="str">
        <f>IFERROR(LOOKUP(CODE(GENERATOR!BP19),'SUBSTITUTION KEY'!$A$1:$A$59,'SUBSTITUTION KEY'!$C$1:$C$59),"")</f>
        <v/>
      </c>
      <c r="BC15" s="62" t="str">
        <f>IFERROR(LOOKUP(CODE(GENERATOR!BQ19),'SUBSTITUTION KEY'!$A$1:$A$59,'SUBSTITUTION KEY'!$C$1:$C$59),"")</f>
        <v/>
      </c>
      <c r="BD15" s="62" t="str">
        <f>IFERROR(LOOKUP(CODE(GENERATOR!BR19),'SUBSTITUTION KEY'!$A$1:$A$59,'SUBSTITUTION KEY'!$C$1:$C$59),"")</f>
        <v/>
      </c>
      <c r="BE15" s="62" t="str">
        <f>IFERROR(LOOKUP(CODE(GENERATOR!BS19),'SUBSTITUTION KEY'!$A$1:$A$59,'SUBSTITUTION KEY'!$C$1:$C$59),"")</f>
        <v/>
      </c>
      <c r="BF15" s="62" t="str">
        <f>IFERROR(LOOKUP(CODE(GENERATOR!BT19),'SUBSTITUTION KEY'!$A$1:$A$59,'SUBSTITUTION KEY'!$C$1:$C$59),"")</f>
        <v/>
      </c>
      <c r="BG15" s="62" t="str">
        <f>IFERROR(LOOKUP(CODE(GENERATOR!BU19),'SUBSTITUTION KEY'!$A$1:$A$59,'SUBSTITUTION KEY'!$C$1:$C$59),"")</f>
        <v/>
      </c>
      <c r="BH15" s="62" t="str">
        <f>IFERROR(LOOKUP(CODE(GENERATOR!BV19),'SUBSTITUTION KEY'!$A$1:$A$59,'SUBSTITUTION KEY'!$C$1:$C$59),"")</f>
        <v/>
      </c>
      <c r="BI15" s="62" t="str">
        <f>IFERROR(LOOKUP(CODE(GENERATOR!BW19),'SUBSTITUTION KEY'!$A$1:$A$59,'SUBSTITUTION KEY'!$C$1:$C$59),"")</f>
        <v/>
      </c>
      <c r="BJ15" s="62" t="str">
        <f>IFERROR(LOOKUP(CODE(GENERATOR!BX19),'SUBSTITUTION KEY'!$A$1:$A$59,'SUBSTITUTION KEY'!$C$1:$C$59),"")</f>
        <v/>
      </c>
      <c r="BK15" s="62" t="str">
        <f>IFERROR(LOOKUP(CODE(GENERATOR!BY19),'SUBSTITUTION KEY'!$A$1:$A$59,'SUBSTITUTION KEY'!$C$1:$C$59),"")</f>
        <v/>
      </c>
      <c r="BL15" s="62" t="str">
        <f>IFERROR(LOOKUP(CODE(GENERATOR!BZ19),'SUBSTITUTION KEY'!$A$1:$A$59,'SUBSTITUTION KEY'!$C$1:$C$59),"")</f>
        <v/>
      </c>
      <c r="BM15" s="62" t="str">
        <f>IFERROR(LOOKUP(CODE(GENERATOR!CA19),'SUBSTITUTION KEY'!$A$1:$A$59,'SUBSTITUTION KEY'!$C$1:$C$59),"")</f>
        <v/>
      </c>
    </row>
    <row r="16" spans="1:65" ht="13.5" customHeight="1" x14ac:dyDescent="0.2">
      <c r="A16" s="71" t="s">
        <v>23</v>
      </c>
      <c r="B16" s="71" t="s">
        <v>1</v>
      </c>
      <c r="C16" s="24">
        <f t="shared" si="0"/>
        <v>1</v>
      </c>
      <c r="F16" s="60"/>
      <c r="G16" s="60"/>
      <c r="H16" s="60"/>
      <c r="I16" s="60"/>
      <c r="J16" s="60"/>
      <c r="K16" s="60"/>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ht="13.5" customHeight="1" x14ac:dyDescent="0.2">
      <c r="A17" s="71" t="s">
        <v>17</v>
      </c>
      <c r="B17" s="71" t="s">
        <v>1</v>
      </c>
      <c r="C17" s="24">
        <f t="shared" si="0"/>
        <v>2</v>
      </c>
      <c r="AI17" s="1"/>
      <c r="AJ17" s="1"/>
      <c r="AK17" s="1"/>
      <c r="AL17" s="1"/>
      <c r="AM17" s="1"/>
    </row>
    <row r="18" spans="1:65" ht="13.5" customHeight="1" thickBot="1" x14ac:dyDescent="0.25">
      <c r="A18" s="71" t="s">
        <v>24</v>
      </c>
      <c r="B18" s="71" t="s">
        <v>1</v>
      </c>
      <c r="C18" s="24">
        <f t="shared" si="0"/>
        <v>10</v>
      </c>
      <c r="E18" s="26" t="s">
        <v>35</v>
      </c>
      <c r="G18" s="19"/>
      <c r="H18" s="19"/>
      <c r="I18" s="19"/>
      <c r="J18" s="19"/>
      <c r="K18" s="19"/>
      <c r="L18" s="19"/>
      <c r="M18" s="19"/>
      <c r="N18" s="19"/>
      <c r="O18" s="19"/>
      <c r="P18" s="19"/>
      <c r="Q18" s="19"/>
      <c r="R18" s="19"/>
      <c r="S18" s="19"/>
      <c r="T18" s="19"/>
      <c r="U18" s="19"/>
      <c r="V18" s="19"/>
      <c r="W18" s="19"/>
      <c r="X18" s="19"/>
      <c r="Y18" s="19"/>
      <c r="Z18" s="19"/>
      <c r="AA18" s="19"/>
      <c r="AB18" s="19"/>
      <c r="AD18" s="19"/>
    </row>
    <row r="19" spans="1:65" ht="13.5" customHeight="1" x14ac:dyDescent="0.25">
      <c r="A19" s="71" t="s">
        <v>25</v>
      </c>
      <c r="B19" s="71" t="s">
        <v>1</v>
      </c>
      <c r="C19" s="24">
        <f t="shared" si="0"/>
        <v>3</v>
      </c>
      <c r="F19" s="30" t="str">
        <f>IFERROR(LOOKUP(F20,$A$3:$B$28),"")</f>
        <v xml:space="preserve"> </v>
      </c>
      <c r="G19" s="31" t="str">
        <f t="shared" ref="G19:AK19" si="1">IFERROR(LOOKUP(G20,$A$3:$B$28),"")</f>
        <v xml:space="preserve"> </v>
      </c>
      <c r="H19" s="31" t="str">
        <f t="shared" si="1"/>
        <v xml:space="preserve"> </v>
      </c>
      <c r="I19" s="31" t="str">
        <f t="shared" si="1"/>
        <v xml:space="preserve"> </v>
      </c>
      <c r="J19" s="31" t="str">
        <f t="shared" si="1"/>
        <v xml:space="preserve"> </v>
      </c>
      <c r="K19" s="31" t="str">
        <f t="shared" si="1"/>
        <v xml:space="preserve"> </v>
      </c>
      <c r="L19" s="31" t="str">
        <f t="shared" si="1"/>
        <v xml:space="preserve"> </v>
      </c>
      <c r="M19" s="31" t="str">
        <f t="shared" si="1"/>
        <v xml:space="preserve"> </v>
      </c>
      <c r="N19" s="31" t="str">
        <f t="shared" si="1"/>
        <v xml:space="preserve"> </v>
      </c>
      <c r="O19" s="31" t="str">
        <f t="shared" si="1"/>
        <v xml:space="preserve"> </v>
      </c>
      <c r="P19" s="31" t="str">
        <f t="shared" si="1"/>
        <v xml:space="preserve"> </v>
      </c>
      <c r="Q19" s="31" t="str">
        <f t="shared" si="1"/>
        <v xml:space="preserve"> </v>
      </c>
      <c r="R19" s="31" t="str">
        <f t="shared" si="1"/>
        <v/>
      </c>
      <c r="S19" s="31" t="str">
        <f t="shared" si="1"/>
        <v xml:space="preserve"> </v>
      </c>
      <c r="T19" s="31" t="str">
        <f t="shared" si="1"/>
        <v xml:space="preserve"> </v>
      </c>
      <c r="U19" s="31" t="str">
        <f t="shared" si="1"/>
        <v xml:space="preserve"> </v>
      </c>
      <c r="V19" s="31" t="str">
        <f t="shared" si="1"/>
        <v xml:space="preserve"> </v>
      </c>
      <c r="W19" s="31" t="str">
        <f t="shared" si="1"/>
        <v xml:space="preserve"> </v>
      </c>
      <c r="X19" s="31" t="str">
        <f t="shared" si="1"/>
        <v/>
      </c>
      <c r="Y19" s="31" t="str">
        <f t="shared" si="1"/>
        <v xml:space="preserve"> </v>
      </c>
      <c r="Z19" s="31" t="str">
        <f t="shared" si="1"/>
        <v xml:space="preserve"> </v>
      </c>
      <c r="AA19" s="31" t="str">
        <f t="shared" si="1"/>
        <v xml:space="preserve"> </v>
      </c>
      <c r="AB19" s="31" t="str">
        <f t="shared" si="1"/>
        <v xml:space="preserve"> </v>
      </c>
      <c r="AC19" s="31" t="str">
        <f t="shared" si="1"/>
        <v/>
      </c>
      <c r="AD19" s="31" t="str">
        <f t="shared" si="1"/>
        <v xml:space="preserve"> </v>
      </c>
      <c r="AE19" s="31" t="str">
        <f t="shared" si="1"/>
        <v xml:space="preserve"> </v>
      </c>
      <c r="AF19" s="31" t="str">
        <f t="shared" si="1"/>
        <v xml:space="preserve"> </v>
      </c>
      <c r="AG19" s="31" t="str">
        <f t="shared" si="1"/>
        <v xml:space="preserve"> </v>
      </c>
      <c r="AH19" s="31" t="str">
        <f t="shared" si="1"/>
        <v xml:space="preserve"> </v>
      </c>
      <c r="AI19" s="31" t="str">
        <f t="shared" si="1"/>
        <v xml:space="preserve"> </v>
      </c>
      <c r="AJ19" s="31" t="str">
        <f t="shared" si="1"/>
        <v/>
      </c>
      <c r="AK19" s="31" t="str">
        <f t="shared" si="1"/>
        <v xml:space="preserve"> </v>
      </c>
      <c r="AL19" s="31" t="str">
        <f t="shared" ref="AL19:BM19" si="2">IFERROR(LOOKUP(AL20,$A$3:$B$28),"")</f>
        <v xml:space="preserve"> </v>
      </c>
      <c r="AM19" s="31" t="str">
        <f t="shared" si="2"/>
        <v/>
      </c>
      <c r="AN19" s="31" t="str">
        <f t="shared" si="2"/>
        <v xml:space="preserve"> </v>
      </c>
      <c r="AO19" s="31" t="str">
        <f t="shared" si="2"/>
        <v xml:space="preserve"> </v>
      </c>
      <c r="AP19" s="31" t="str">
        <f t="shared" si="2"/>
        <v/>
      </c>
      <c r="AQ19" s="31" t="str">
        <f t="shared" si="2"/>
        <v/>
      </c>
      <c r="AR19" s="31" t="str">
        <f t="shared" si="2"/>
        <v/>
      </c>
      <c r="AS19" s="31" t="str">
        <f t="shared" si="2"/>
        <v/>
      </c>
      <c r="AT19" s="31" t="str">
        <f t="shared" si="2"/>
        <v/>
      </c>
      <c r="AU19" s="31" t="str">
        <f t="shared" si="2"/>
        <v/>
      </c>
      <c r="AV19" s="31" t="str">
        <f t="shared" si="2"/>
        <v/>
      </c>
      <c r="AW19" s="31" t="str">
        <f t="shared" si="2"/>
        <v/>
      </c>
      <c r="AX19" s="31" t="str">
        <f t="shared" si="2"/>
        <v/>
      </c>
      <c r="AY19" s="31" t="str">
        <f t="shared" si="2"/>
        <v/>
      </c>
      <c r="AZ19" s="31" t="str">
        <f t="shared" si="2"/>
        <v/>
      </c>
      <c r="BA19" s="31" t="str">
        <f t="shared" si="2"/>
        <v/>
      </c>
      <c r="BB19" s="31" t="str">
        <f t="shared" si="2"/>
        <v/>
      </c>
      <c r="BC19" s="31" t="str">
        <f t="shared" si="2"/>
        <v/>
      </c>
      <c r="BD19" s="31" t="str">
        <f t="shared" si="2"/>
        <v/>
      </c>
      <c r="BE19" s="31" t="str">
        <f t="shared" si="2"/>
        <v/>
      </c>
      <c r="BF19" s="31" t="str">
        <f t="shared" si="2"/>
        <v/>
      </c>
      <c r="BG19" s="31" t="str">
        <f t="shared" si="2"/>
        <v/>
      </c>
      <c r="BH19" s="31" t="str">
        <f t="shared" si="2"/>
        <v/>
      </c>
      <c r="BI19" s="31" t="str">
        <f t="shared" si="2"/>
        <v/>
      </c>
      <c r="BJ19" s="31" t="str">
        <f t="shared" si="2"/>
        <v/>
      </c>
      <c r="BK19" s="31" t="str">
        <f t="shared" si="2"/>
        <v/>
      </c>
      <c r="BL19" s="31" t="str">
        <f t="shared" si="2"/>
        <v/>
      </c>
      <c r="BM19" s="32" t="str">
        <f t="shared" si="2"/>
        <v/>
      </c>
    </row>
    <row r="20" spans="1:65" ht="13.5" customHeight="1" x14ac:dyDescent="0.2">
      <c r="A20" s="71" t="s">
        <v>14</v>
      </c>
      <c r="B20" s="71" t="s">
        <v>1</v>
      </c>
      <c r="C20" s="24">
        <f t="shared" si="0"/>
        <v>3</v>
      </c>
      <c r="F20" s="40" t="str">
        <f>F4</f>
        <v>O</v>
      </c>
      <c r="G20" s="41" t="str">
        <f t="shared" ref="G20:BM20" si="3">G4</f>
        <v>P</v>
      </c>
      <c r="H20" s="41" t="str">
        <f t="shared" si="3"/>
        <v>X</v>
      </c>
      <c r="I20" s="41" t="str">
        <f t="shared" si="3"/>
        <v>X</v>
      </c>
      <c r="J20" s="41" t="str">
        <f t="shared" si="3"/>
        <v>A</v>
      </c>
      <c r="K20" s="41" t="str">
        <f t="shared" si="3"/>
        <v>N</v>
      </c>
      <c r="L20" s="41" t="str">
        <f t="shared" si="3"/>
        <v>G</v>
      </c>
      <c r="M20" s="41" t="str">
        <f t="shared" si="3"/>
        <v>K</v>
      </c>
      <c r="N20" s="41" t="str">
        <f t="shared" si="3"/>
        <v>P</v>
      </c>
      <c r="O20" s="41" t="str">
        <f t="shared" si="3"/>
        <v>A</v>
      </c>
      <c r="P20" s="41" t="str">
        <f t="shared" si="3"/>
        <v>X</v>
      </c>
      <c r="Q20" s="41" t="str">
        <f t="shared" si="3"/>
        <v>O</v>
      </c>
      <c r="R20" s="41" t="str">
        <f t="shared" si="3"/>
        <v xml:space="preserve"> </v>
      </c>
      <c r="S20" s="41" t="str">
        <f t="shared" si="3"/>
        <v>U</v>
      </c>
      <c r="T20" s="41" t="str">
        <f t="shared" si="3"/>
        <v>A</v>
      </c>
      <c r="U20" s="41" t="str">
        <f t="shared" si="3"/>
        <v>Y</v>
      </c>
      <c r="V20" s="41" t="str">
        <f t="shared" si="3"/>
        <v>S</v>
      </c>
      <c r="W20" s="41" t="str">
        <f t="shared" si="3"/>
        <v>B</v>
      </c>
      <c r="X20" s="41" t="str">
        <f t="shared" si="3"/>
        <v xml:space="preserve"> </v>
      </c>
      <c r="Y20" s="41" t="str">
        <f t="shared" si="3"/>
        <v>L</v>
      </c>
      <c r="Z20" s="41" t="str">
        <f t="shared" si="3"/>
        <v>F</v>
      </c>
      <c r="AA20" s="41" t="str">
        <f t="shared" si="3"/>
        <v>A</v>
      </c>
      <c r="AB20" s="41" t="str">
        <f t="shared" si="3"/>
        <v>Y</v>
      </c>
      <c r="AC20" s="41" t="str">
        <f t="shared" si="3"/>
        <v xml:space="preserve"> </v>
      </c>
      <c r="AD20" s="41" t="str">
        <f t="shared" si="3"/>
        <v>B</v>
      </c>
      <c r="AE20" s="41" t="str">
        <f t="shared" si="3"/>
        <v>G</v>
      </c>
      <c r="AF20" s="41" t="str">
        <f t="shared" si="3"/>
        <v>Z</v>
      </c>
      <c r="AG20" s="41" t="str">
        <f t="shared" si="3"/>
        <v>P</v>
      </c>
      <c r="AH20" s="41" t="str">
        <f t="shared" si="3"/>
        <v>X</v>
      </c>
      <c r="AI20" s="41" t="str">
        <f t="shared" si="3"/>
        <v>E</v>
      </c>
      <c r="AJ20" s="41" t="str">
        <f t="shared" si="3"/>
        <v xml:space="preserve"> </v>
      </c>
      <c r="AK20" s="41" t="str">
        <f t="shared" si="3"/>
        <v>X</v>
      </c>
      <c r="AL20" s="41" t="str">
        <f t="shared" si="3"/>
        <v>A</v>
      </c>
      <c r="AM20" s="41" t="str">
        <f t="shared" si="3"/>
        <v xml:space="preserve"> </v>
      </c>
      <c r="AN20" s="41" t="str">
        <f t="shared" si="3"/>
        <v>K</v>
      </c>
      <c r="AO20" s="41" t="str">
        <f t="shared" si="3"/>
        <v>A</v>
      </c>
      <c r="AP20" s="41" t="str">
        <f t="shared" si="3"/>
        <v xml:space="preserve"> </v>
      </c>
      <c r="AQ20" s="41" t="str">
        <f t="shared" si="3"/>
        <v/>
      </c>
      <c r="AR20" s="41" t="str">
        <f t="shared" si="3"/>
        <v/>
      </c>
      <c r="AS20" s="41" t="str">
        <f t="shared" si="3"/>
        <v/>
      </c>
      <c r="AT20" s="41" t="str">
        <f t="shared" si="3"/>
        <v/>
      </c>
      <c r="AU20" s="41" t="str">
        <f t="shared" si="3"/>
        <v/>
      </c>
      <c r="AV20" s="41" t="str">
        <f t="shared" si="3"/>
        <v/>
      </c>
      <c r="AW20" s="41" t="str">
        <f t="shared" si="3"/>
        <v/>
      </c>
      <c r="AX20" s="41" t="str">
        <f t="shared" si="3"/>
        <v/>
      </c>
      <c r="AY20" s="41" t="str">
        <f t="shared" si="3"/>
        <v/>
      </c>
      <c r="AZ20" s="41" t="str">
        <f t="shared" si="3"/>
        <v/>
      </c>
      <c r="BA20" s="41" t="str">
        <f t="shared" si="3"/>
        <v/>
      </c>
      <c r="BB20" s="41" t="str">
        <f t="shared" si="3"/>
        <v/>
      </c>
      <c r="BC20" s="41" t="str">
        <f t="shared" si="3"/>
        <v/>
      </c>
      <c r="BD20" s="41" t="str">
        <f t="shared" si="3"/>
        <v/>
      </c>
      <c r="BE20" s="41" t="str">
        <f t="shared" si="3"/>
        <v/>
      </c>
      <c r="BF20" s="41" t="str">
        <f t="shared" si="3"/>
        <v/>
      </c>
      <c r="BG20" s="41" t="str">
        <f t="shared" si="3"/>
        <v/>
      </c>
      <c r="BH20" s="41" t="str">
        <f t="shared" si="3"/>
        <v/>
      </c>
      <c r="BI20" s="41" t="str">
        <f t="shared" si="3"/>
        <v/>
      </c>
      <c r="BJ20" s="41" t="str">
        <f t="shared" si="3"/>
        <v/>
      </c>
      <c r="BK20" s="41" t="str">
        <f t="shared" si="3"/>
        <v/>
      </c>
      <c r="BL20" s="41" t="str">
        <f t="shared" si="3"/>
        <v/>
      </c>
      <c r="BM20" s="42" t="str">
        <f t="shared" si="3"/>
        <v/>
      </c>
    </row>
    <row r="21" spans="1:65" ht="13.5" customHeight="1" x14ac:dyDescent="0.2">
      <c r="A21" s="71" t="s">
        <v>12</v>
      </c>
      <c r="B21" s="71" t="s">
        <v>1</v>
      </c>
      <c r="C21" s="24">
        <f t="shared" si="0"/>
        <v>18</v>
      </c>
      <c r="F21" s="33"/>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5"/>
    </row>
    <row r="22" spans="1:65" ht="13.5" customHeight="1" x14ac:dyDescent="0.25">
      <c r="A22" s="71" t="s">
        <v>15</v>
      </c>
      <c r="B22" s="71" t="s">
        <v>1</v>
      </c>
      <c r="C22" s="24">
        <f t="shared" si="0"/>
        <v>1</v>
      </c>
      <c r="F22" s="36" t="str">
        <f t="shared" ref="F22:AK22" si="4">IFERROR(LOOKUP(F23,$A$2:$B$28),"")</f>
        <v xml:space="preserve"> </v>
      </c>
      <c r="G22" s="37" t="str">
        <f t="shared" si="4"/>
        <v xml:space="preserve"> </v>
      </c>
      <c r="H22" s="37" t="str">
        <f t="shared" si="4"/>
        <v xml:space="preserve"> </v>
      </c>
      <c r="I22" s="37" t="str">
        <f t="shared" si="4"/>
        <v xml:space="preserve"> </v>
      </c>
      <c r="J22" s="37" t="str">
        <f t="shared" si="4"/>
        <v xml:space="preserve"> </v>
      </c>
      <c r="K22" s="37" t="str">
        <f t="shared" si="4"/>
        <v xml:space="preserve"> </v>
      </c>
      <c r="L22" s="37" t="str">
        <f t="shared" si="4"/>
        <v xml:space="preserve"> </v>
      </c>
      <c r="M22" s="37" t="str">
        <f t="shared" si="4"/>
        <v xml:space="preserve"> </v>
      </c>
      <c r="N22" s="37" t="str">
        <f t="shared" si="4"/>
        <v xml:space="preserve"> </v>
      </c>
      <c r="O22" s="37" t="str">
        <f t="shared" si="4"/>
        <v xml:space="preserve"> </v>
      </c>
      <c r="P22" s="37" t="str">
        <f t="shared" si="4"/>
        <v xml:space="preserve"> </v>
      </c>
      <c r="Q22" s="37" t="str">
        <f t="shared" si="4"/>
        <v xml:space="preserve"> </v>
      </c>
      <c r="R22" s="37" t="str">
        <f t="shared" si="4"/>
        <v xml:space="preserve"> </v>
      </c>
      <c r="S22" s="37" t="str">
        <f t="shared" si="4"/>
        <v xml:space="preserve"> </v>
      </c>
      <c r="T22" s="37" t="str">
        <f t="shared" si="4"/>
        <v xml:space="preserve"> </v>
      </c>
      <c r="U22" s="37" t="str">
        <f t="shared" si="4"/>
        <v xml:space="preserve"> </v>
      </c>
      <c r="V22" s="37" t="str">
        <f t="shared" si="4"/>
        <v xml:space="preserve"> </v>
      </c>
      <c r="W22" s="37" t="str">
        <f t="shared" si="4"/>
        <v xml:space="preserve"> </v>
      </c>
      <c r="X22" s="37" t="str">
        <f t="shared" si="4"/>
        <v xml:space="preserve"> </v>
      </c>
      <c r="Y22" s="37" t="str">
        <f t="shared" si="4"/>
        <v xml:space="preserve"> </v>
      </c>
      <c r="Z22" s="37" t="str">
        <f t="shared" si="4"/>
        <v xml:space="preserve"> </v>
      </c>
      <c r="AA22" s="37" t="str">
        <f t="shared" si="4"/>
        <v xml:space="preserve"> </v>
      </c>
      <c r="AB22" s="37" t="str">
        <f t="shared" si="4"/>
        <v xml:space="preserve"> </v>
      </c>
      <c r="AC22" s="37" t="str">
        <f t="shared" si="4"/>
        <v xml:space="preserve"> </v>
      </c>
      <c r="AD22" s="37" t="str">
        <f t="shared" si="4"/>
        <v xml:space="preserve"> </v>
      </c>
      <c r="AE22" s="37" t="str">
        <f t="shared" si="4"/>
        <v xml:space="preserve"> </v>
      </c>
      <c r="AF22" s="37" t="str">
        <f t="shared" si="4"/>
        <v xml:space="preserve"> </v>
      </c>
      <c r="AG22" s="37" t="str">
        <f t="shared" si="4"/>
        <v xml:space="preserve"> </v>
      </c>
      <c r="AH22" s="37" t="str">
        <f t="shared" si="4"/>
        <v xml:space="preserve"> </v>
      </c>
      <c r="AI22" s="37" t="str">
        <f t="shared" si="4"/>
        <v xml:space="preserve"> </v>
      </c>
      <c r="AJ22" s="37" t="str">
        <f t="shared" si="4"/>
        <v xml:space="preserve"> </v>
      </c>
      <c r="AK22" s="37" t="str">
        <f t="shared" si="4"/>
        <v xml:space="preserve"> </v>
      </c>
      <c r="AL22" s="37" t="str">
        <f t="shared" ref="AL22:BM22" si="5">IFERROR(LOOKUP(AL23,$A$2:$B$28),"")</f>
        <v/>
      </c>
      <c r="AM22" s="37" t="str">
        <f t="shared" si="5"/>
        <v xml:space="preserve"> </v>
      </c>
      <c r="AN22" s="37" t="str">
        <f t="shared" si="5"/>
        <v xml:space="preserve"> </v>
      </c>
      <c r="AO22" s="37" t="str">
        <f t="shared" si="5"/>
        <v xml:space="preserve"> </v>
      </c>
      <c r="AP22" s="37" t="str">
        <f t="shared" si="5"/>
        <v xml:space="preserve"> </v>
      </c>
      <c r="AQ22" s="37" t="str">
        <f t="shared" si="5"/>
        <v xml:space="preserve"> </v>
      </c>
      <c r="AR22" s="37" t="str">
        <f t="shared" si="5"/>
        <v xml:space="preserve"> </v>
      </c>
      <c r="AS22" s="37" t="str">
        <f t="shared" si="5"/>
        <v/>
      </c>
      <c r="AT22" s="37" t="str">
        <f t="shared" si="5"/>
        <v/>
      </c>
      <c r="AU22" s="37" t="str">
        <f t="shared" si="5"/>
        <v/>
      </c>
      <c r="AV22" s="37" t="str">
        <f t="shared" si="5"/>
        <v/>
      </c>
      <c r="AW22" s="37" t="str">
        <f t="shared" si="5"/>
        <v/>
      </c>
      <c r="AX22" s="37" t="str">
        <f t="shared" si="5"/>
        <v/>
      </c>
      <c r="AY22" s="37" t="str">
        <f t="shared" si="5"/>
        <v/>
      </c>
      <c r="AZ22" s="37" t="str">
        <f t="shared" si="5"/>
        <v/>
      </c>
      <c r="BA22" s="37" t="str">
        <f t="shared" si="5"/>
        <v/>
      </c>
      <c r="BB22" s="37" t="str">
        <f t="shared" si="5"/>
        <v/>
      </c>
      <c r="BC22" s="37" t="str">
        <f t="shared" si="5"/>
        <v/>
      </c>
      <c r="BD22" s="37" t="str">
        <f t="shared" si="5"/>
        <v/>
      </c>
      <c r="BE22" s="37" t="str">
        <f t="shared" si="5"/>
        <v/>
      </c>
      <c r="BF22" s="37" t="str">
        <f t="shared" si="5"/>
        <v/>
      </c>
      <c r="BG22" s="37" t="str">
        <f t="shared" si="5"/>
        <v/>
      </c>
      <c r="BH22" s="37" t="str">
        <f t="shared" si="5"/>
        <v/>
      </c>
      <c r="BI22" s="37" t="str">
        <f t="shared" si="5"/>
        <v/>
      </c>
      <c r="BJ22" s="37" t="str">
        <f t="shared" si="5"/>
        <v/>
      </c>
      <c r="BK22" s="37" t="str">
        <f t="shared" si="5"/>
        <v/>
      </c>
      <c r="BL22" s="37" t="str">
        <f t="shared" si="5"/>
        <v/>
      </c>
      <c r="BM22" s="38" t="str">
        <f t="shared" si="5"/>
        <v/>
      </c>
    </row>
    <row r="23" spans="1:65" ht="13.5" customHeight="1" x14ac:dyDescent="0.2">
      <c r="A23" s="71" t="s">
        <v>6</v>
      </c>
      <c r="B23" s="71" t="s">
        <v>1</v>
      </c>
      <c r="C23" s="24">
        <f t="shared" si="0"/>
        <v>7</v>
      </c>
      <c r="F23" s="40" t="str">
        <f>F5</f>
        <v>1</v>
      </c>
      <c r="G23" s="41" t="str">
        <f t="shared" ref="G23:BM23" si="6">G5</f>
        <v>,</v>
      </c>
      <c r="H23" s="41" t="str">
        <f t="shared" si="6"/>
        <v>0</v>
      </c>
      <c r="I23" s="41" t="str">
        <f t="shared" si="6"/>
        <v>0</v>
      </c>
      <c r="J23" s="41" t="str">
        <f t="shared" si="6"/>
        <v>0</v>
      </c>
      <c r="K23" s="41" t="str">
        <f t="shared" si="6"/>
        <v xml:space="preserve"> </v>
      </c>
      <c r="L23" s="41" t="str">
        <f t="shared" si="6"/>
        <v>K</v>
      </c>
      <c r="M23" s="41" t="str">
        <f t="shared" si="6"/>
        <v>J</v>
      </c>
      <c r="N23" s="41" t="str">
        <f t="shared" si="6"/>
        <v>P</v>
      </c>
      <c r="O23" s="41" t="str">
        <f t="shared" si="6"/>
        <v>X</v>
      </c>
      <c r="P23" s="41" t="str">
        <f t="shared" si="6"/>
        <v>E</v>
      </c>
      <c r="Q23" s="41" t="str">
        <f t="shared" si="6"/>
        <v>B</v>
      </c>
      <c r="R23" s="41" t="str">
        <f t="shared" si="6"/>
        <v xml:space="preserve"> </v>
      </c>
      <c r="S23" s="41" t="str">
        <f t="shared" si="6"/>
        <v>K</v>
      </c>
      <c r="T23" s="41" t="str">
        <f t="shared" si="6"/>
        <v>A</v>
      </c>
      <c r="U23" s="41" t="str">
        <f t="shared" si="6"/>
        <v xml:space="preserve"> </v>
      </c>
      <c r="V23" s="41" t="str">
        <f t="shared" si="6"/>
        <v>Y</v>
      </c>
      <c r="W23" s="41" t="str">
        <f t="shared" si="6"/>
        <v>G</v>
      </c>
      <c r="X23" s="41" t="str">
        <f t="shared" si="6"/>
        <v>M</v>
      </c>
      <c r="Y23" s="41" t="str">
        <f t="shared" si="6"/>
        <v>S</v>
      </c>
      <c r="Z23" s="41" t="str">
        <f t="shared" si="6"/>
        <v xml:space="preserve"> </v>
      </c>
      <c r="AA23" s="41" t="str">
        <f t="shared" si="6"/>
        <v>B</v>
      </c>
      <c r="AB23" s="41" t="str">
        <f t="shared" si="6"/>
        <v>H</v>
      </c>
      <c r="AC23" s="41" t="str">
        <f t="shared" si="6"/>
        <v>F</v>
      </c>
      <c r="AD23" s="41" t="str">
        <f t="shared" si="6"/>
        <v>S</v>
      </c>
      <c r="AE23" s="41" t="str">
        <f t="shared" si="6"/>
        <v xml:space="preserve"> </v>
      </c>
      <c r="AF23" s="41" t="str">
        <f t="shared" si="6"/>
        <v>C</v>
      </c>
      <c r="AG23" s="41" t="str">
        <f t="shared" si="6"/>
        <v>S</v>
      </c>
      <c r="AH23" s="41" t="str">
        <f t="shared" si="6"/>
        <v xml:space="preserve"> </v>
      </c>
      <c r="AI23" s="41" t="str">
        <f t="shared" si="6"/>
        <v>R</v>
      </c>
      <c r="AJ23" s="41" t="str">
        <f t="shared" si="6"/>
        <v>A</v>
      </c>
      <c r="AK23" s="41" t="str">
        <f t="shared" si="6"/>
        <v>X</v>
      </c>
      <c r="AL23" s="41" t="str">
        <f t="shared" si="6"/>
        <v>'</v>
      </c>
      <c r="AM23" s="41" t="str">
        <f t="shared" si="6"/>
        <v>K</v>
      </c>
      <c r="AN23" s="41" t="str">
        <f t="shared" si="6"/>
        <v xml:space="preserve"> </v>
      </c>
      <c r="AO23" s="41" t="str">
        <f t="shared" si="6"/>
        <v>E</v>
      </c>
      <c r="AP23" s="41" t="str">
        <f t="shared" si="6"/>
        <v>S</v>
      </c>
      <c r="AQ23" s="41" t="str">
        <f t="shared" si="6"/>
        <v>K</v>
      </c>
      <c r="AR23" s="41" t="str">
        <f t="shared" si="6"/>
        <v xml:space="preserve"> </v>
      </c>
      <c r="AS23" s="41" t="str">
        <f t="shared" si="6"/>
        <v/>
      </c>
      <c r="AT23" s="41" t="str">
        <f t="shared" si="6"/>
        <v/>
      </c>
      <c r="AU23" s="41" t="str">
        <f t="shared" si="6"/>
        <v/>
      </c>
      <c r="AV23" s="41" t="str">
        <f t="shared" si="6"/>
        <v/>
      </c>
      <c r="AW23" s="41" t="str">
        <f t="shared" si="6"/>
        <v/>
      </c>
      <c r="AX23" s="41" t="str">
        <f t="shared" si="6"/>
        <v/>
      </c>
      <c r="AY23" s="41" t="str">
        <f t="shared" si="6"/>
        <v/>
      </c>
      <c r="AZ23" s="41" t="str">
        <f t="shared" si="6"/>
        <v/>
      </c>
      <c r="BA23" s="41" t="str">
        <f t="shared" si="6"/>
        <v/>
      </c>
      <c r="BB23" s="41" t="str">
        <f t="shared" si="6"/>
        <v/>
      </c>
      <c r="BC23" s="41" t="str">
        <f t="shared" si="6"/>
        <v/>
      </c>
      <c r="BD23" s="41" t="str">
        <f t="shared" si="6"/>
        <v/>
      </c>
      <c r="BE23" s="41" t="str">
        <f t="shared" si="6"/>
        <v/>
      </c>
      <c r="BF23" s="41" t="str">
        <f t="shared" si="6"/>
        <v/>
      </c>
      <c r="BG23" s="41" t="str">
        <f t="shared" si="6"/>
        <v/>
      </c>
      <c r="BH23" s="41" t="str">
        <f t="shared" si="6"/>
        <v/>
      </c>
      <c r="BI23" s="41" t="str">
        <f t="shared" si="6"/>
        <v/>
      </c>
      <c r="BJ23" s="41" t="str">
        <f t="shared" si="6"/>
        <v/>
      </c>
      <c r="BK23" s="41" t="str">
        <f t="shared" si="6"/>
        <v/>
      </c>
      <c r="BL23" s="41" t="str">
        <f t="shared" si="6"/>
        <v/>
      </c>
      <c r="BM23" s="42" t="str">
        <f t="shared" si="6"/>
        <v/>
      </c>
    </row>
    <row r="24" spans="1:65" ht="13.5" customHeight="1" x14ac:dyDescent="0.2">
      <c r="A24" s="71" t="s">
        <v>26</v>
      </c>
      <c r="B24" s="71" t="s">
        <v>1</v>
      </c>
      <c r="C24" s="24">
        <f t="shared" si="0"/>
        <v>0</v>
      </c>
      <c r="F24" s="33"/>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5"/>
    </row>
    <row r="25" spans="1:65" ht="13.5" customHeight="1" x14ac:dyDescent="0.25">
      <c r="A25" s="71" t="s">
        <v>27</v>
      </c>
      <c r="B25" s="71" t="s">
        <v>1</v>
      </c>
      <c r="C25" s="24">
        <f t="shared" si="0"/>
        <v>0</v>
      </c>
      <c r="F25" s="36" t="str">
        <f t="shared" ref="F25:BM25" si="7">IFERROR(LOOKUP(F26,$A$2:$B$28),"")</f>
        <v xml:space="preserve"> </v>
      </c>
      <c r="G25" s="37" t="str">
        <f t="shared" si="7"/>
        <v xml:space="preserve"> </v>
      </c>
      <c r="H25" s="37" t="str">
        <f t="shared" si="7"/>
        <v xml:space="preserve"> </v>
      </c>
      <c r="I25" s="37" t="str">
        <f t="shared" si="7"/>
        <v xml:space="preserve"> </v>
      </c>
      <c r="J25" s="37" t="str">
        <f t="shared" si="7"/>
        <v xml:space="preserve"> </v>
      </c>
      <c r="K25" s="37" t="str">
        <f t="shared" si="7"/>
        <v xml:space="preserve"> </v>
      </c>
      <c r="L25" s="37" t="str">
        <f t="shared" si="7"/>
        <v xml:space="preserve"> </v>
      </c>
      <c r="M25" s="37" t="str">
        <f t="shared" si="7"/>
        <v xml:space="preserve"> </v>
      </c>
      <c r="N25" s="37" t="str">
        <f t="shared" si="7"/>
        <v xml:space="preserve"> </v>
      </c>
      <c r="O25" s="37" t="str">
        <f t="shared" si="7"/>
        <v xml:space="preserve"> </v>
      </c>
      <c r="P25" s="37" t="str">
        <f t="shared" si="7"/>
        <v xml:space="preserve"> </v>
      </c>
      <c r="Q25" s="37" t="str">
        <f t="shared" si="7"/>
        <v xml:space="preserve"> </v>
      </c>
      <c r="R25" s="37" t="str">
        <f t="shared" si="7"/>
        <v xml:space="preserve"> </v>
      </c>
      <c r="S25" s="37" t="str">
        <f t="shared" si="7"/>
        <v xml:space="preserve"> </v>
      </c>
      <c r="T25" s="37" t="str">
        <f t="shared" si="7"/>
        <v xml:space="preserve"> </v>
      </c>
      <c r="U25" s="37" t="str">
        <f t="shared" si="7"/>
        <v xml:space="preserve"> </v>
      </c>
      <c r="V25" s="37" t="str">
        <f t="shared" si="7"/>
        <v xml:space="preserve"> </v>
      </c>
      <c r="W25" s="37" t="str">
        <f t="shared" si="7"/>
        <v xml:space="preserve"> </v>
      </c>
      <c r="X25" s="37" t="str">
        <f t="shared" si="7"/>
        <v xml:space="preserve"> </v>
      </c>
      <c r="Y25" s="37" t="str">
        <f t="shared" si="7"/>
        <v xml:space="preserve"> </v>
      </c>
      <c r="Z25" s="37" t="str">
        <f t="shared" si="7"/>
        <v xml:space="preserve"> </v>
      </c>
      <c r="AA25" s="37" t="str">
        <f t="shared" si="7"/>
        <v xml:space="preserve"> </v>
      </c>
      <c r="AB25" s="37" t="str">
        <f t="shared" si="7"/>
        <v xml:space="preserve"> </v>
      </c>
      <c r="AC25" s="37" t="str">
        <f t="shared" si="7"/>
        <v xml:space="preserve"> </v>
      </c>
      <c r="AD25" s="37" t="str">
        <f t="shared" si="7"/>
        <v xml:space="preserve"> </v>
      </c>
      <c r="AE25" s="37" t="str">
        <f t="shared" si="7"/>
        <v xml:space="preserve"> </v>
      </c>
      <c r="AF25" s="37" t="str">
        <f t="shared" si="7"/>
        <v xml:space="preserve"> </v>
      </c>
      <c r="AG25" s="37" t="str">
        <f t="shared" si="7"/>
        <v xml:space="preserve"> </v>
      </c>
      <c r="AH25" s="37" t="str">
        <f t="shared" si="7"/>
        <v xml:space="preserve"> </v>
      </c>
      <c r="AI25" s="37" t="str">
        <f t="shared" si="7"/>
        <v xml:space="preserve"> </v>
      </c>
      <c r="AJ25" s="37" t="str">
        <f t="shared" si="7"/>
        <v xml:space="preserve"> </v>
      </c>
      <c r="AK25" s="37" t="str">
        <f t="shared" si="7"/>
        <v xml:space="preserve"> </v>
      </c>
      <c r="AL25" s="37" t="str">
        <f t="shared" si="7"/>
        <v xml:space="preserve"> </v>
      </c>
      <c r="AM25" s="37" t="str">
        <f t="shared" si="7"/>
        <v xml:space="preserve"> </v>
      </c>
      <c r="AN25" s="37" t="str">
        <f t="shared" si="7"/>
        <v xml:space="preserve"> </v>
      </c>
      <c r="AO25" s="37" t="str">
        <f t="shared" si="7"/>
        <v xml:space="preserve"> </v>
      </c>
      <c r="AP25" s="37" t="str">
        <f t="shared" si="7"/>
        <v/>
      </c>
      <c r="AQ25" s="37" t="str">
        <f t="shared" si="7"/>
        <v/>
      </c>
      <c r="AR25" s="37" t="str">
        <f t="shared" si="7"/>
        <v/>
      </c>
      <c r="AS25" s="37" t="str">
        <f t="shared" si="7"/>
        <v/>
      </c>
      <c r="AT25" s="37" t="str">
        <f t="shared" si="7"/>
        <v/>
      </c>
      <c r="AU25" s="37" t="str">
        <f t="shared" si="7"/>
        <v/>
      </c>
      <c r="AV25" s="37" t="str">
        <f t="shared" si="7"/>
        <v/>
      </c>
      <c r="AW25" s="37" t="str">
        <f t="shared" si="7"/>
        <v/>
      </c>
      <c r="AX25" s="37" t="str">
        <f t="shared" si="7"/>
        <v/>
      </c>
      <c r="AY25" s="37" t="str">
        <f t="shared" si="7"/>
        <v/>
      </c>
      <c r="AZ25" s="37" t="str">
        <f t="shared" si="7"/>
        <v/>
      </c>
      <c r="BA25" s="37" t="str">
        <f t="shared" si="7"/>
        <v/>
      </c>
      <c r="BB25" s="37" t="str">
        <f t="shared" si="7"/>
        <v/>
      </c>
      <c r="BC25" s="37" t="str">
        <f t="shared" si="7"/>
        <v/>
      </c>
      <c r="BD25" s="37" t="str">
        <f t="shared" si="7"/>
        <v/>
      </c>
      <c r="BE25" s="37" t="str">
        <f t="shared" si="7"/>
        <v/>
      </c>
      <c r="BF25" s="37" t="str">
        <f t="shared" si="7"/>
        <v/>
      </c>
      <c r="BG25" s="37" t="str">
        <f t="shared" si="7"/>
        <v/>
      </c>
      <c r="BH25" s="37" t="str">
        <f t="shared" si="7"/>
        <v/>
      </c>
      <c r="BI25" s="37" t="str">
        <f t="shared" si="7"/>
        <v/>
      </c>
      <c r="BJ25" s="37" t="str">
        <f t="shared" si="7"/>
        <v/>
      </c>
      <c r="BK25" s="37" t="str">
        <f t="shared" si="7"/>
        <v/>
      </c>
      <c r="BL25" s="37" t="str">
        <f t="shared" si="7"/>
        <v/>
      </c>
      <c r="BM25" s="38" t="str">
        <f t="shared" si="7"/>
        <v/>
      </c>
    </row>
    <row r="26" spans="1:65" ht="13.5" customHeight="1" x14ac:dyDescent="0.2">
      <c r="A26" s="71" t="s">
        <v>28</v>
      </c>
      <c r="B26" s="71" t="s">
        <v>1</v>
      </c>
      <c r="C26" s="24">
        <f t="shared" si="0"/>
        <v>22</v>
      </c>
      <c r="F26" s="40" t="str">
        <f>F6</f>
        <v>A</v>
      </c>
      <c r="G26" s="41" t="str">
        <f t="shared" ref="G26:BM26" si="8">G6</f>
        <v>X</v>
      </c>
      <c r="H26" s="41" t="str">
        <f t="shared" si="8"/>
        <v xml:space="preserve"> </v>
      </c>
      <c r="I26" s="41" t="str">
        <f t="shared" si="8"/>
        <v>K</v>
      </c>
      <c r="J26" s="41" t="str">
        <f t="shared" si="8"/>
        <v>J</v>
      </c>
      <c r="K26" s="41" t="str">
        <f t="shared" si="8"/>
        <v>S</v>
      </c>
      <c r="L26" s="41" t="str">
        <f t="shared" si="8"/>
        <v xml:space="preserve"> </v>
      </c>
      <c r="M26" s="41" t="str">
        <f t="shared" si="8"/>
        <v>C</v>
      </c>
      <c r="N26" s="41" t="str">
        <f t="shared" si="8"/>
        <v>F</v>
      </c>
      <c r="O26" s="41" t="str">
        <f t="shared" si="8"/>
        <v>A</v>
      </c>
      <c r="P26" s="41" t="str">
        <f t="shared" si="8"/>
        <v>X</v>
      </c>
      <c r="Q26" s="41" t="str">
        <f t="shared" si="8"/>
        <v>E</v>
      </c>
      <c r="R26" s="41" t="str">
        <f t="shared" si="8"/>
        <v xml:space="preserve"> </v>
      </c>
      <c r="S26" s="41" t="str">
        <f t="shared" si="8"/>
        <v>K</v>
      </c>
      <c r="T26" s="41" t="str">
        <f t="shared" si="8"/>
        <v>F</v>
      </c>
      <c r="U26" s="41" t="str">
        <f t="shared" si="8"/>
        <v>G</v>
      </c>
      <c r="V26" s="41" t="str">
        <f t="shared" si="8"/>
        <v>U</v>
      </c>
      <c r="W26" s="41" t="str">
        <f t="shared" si="8"/>
        <v>M</v>
      </c>
      <c r="X26" s="41" t="str">
        <f t="shared" si="8"/>
        <v xml:space="preserve"> </v>
      </c>
      <c r="Y26" s="41" t="str">
        <f t="shared" si="8"/>
        <v>A</v>
      </c>
      <c r="Z26" s="41" t="str">
        <f t="shared" si="8"/>
        <v>F</v>
      </c>
      <c r="AA26" s="41" t="str">
        <f t="shared" si="8"/>
        <v xml:space="preserve"> </v>
      </c>
      <c r="AB26" s="41" t="str">
        <f t="shared" si="8"/>
        <v>K</v>
      </c>
      <c r="AC26" s="41" t="str">
        <f t="shared" si="8"/>
        <v>F</v>
      </c>
      <c r="AD26" s="41" t="str">
        <f t="shared" si="8"/>
        <v>Z</v>
      </c>
      <c r="AE26" s="41" t="str">
        <f t="shared" si="8"/>
        <v xml:space="preserve"> </v>
      </c>
      <c r="AF26" s="41" t="str">
        <f t="shared" si="8"/>
        <v>K</v>
      </c>
      <c r="AG26" s="41" t="str">
        <f t="shared" si="8"/>
        <v>A</v>
      </c>
      <c r="AH26" s="41" t="str">
        <f t="shared" si="8"/>
        <v xml:space="preserve"> </v>
      </c>
      <c r="AI26" s="41" t="str">
        <f t="shared" si="8"/>
        <v>R</v>
      </c>
      <c r="AJ26" s="41" t="str">
        <f t="shared" si="8"/>
        <v>A</v>
      </c>
      <c r="AK26" s="41" t="str">
        <f t="shared" si="8"/>
        <v xml:space="preserve"> </v>
      </c>
      <c r="AL26" s="41" t="str">
        <f t="shared" si="8"/>
        <v>K</v>
      </c>
      <c r="AM26" s="41" t="str">
        <f t="shared" si="8"/>
        <v>A</v>
      </c>
      <c r="AN26" s="41" t="str">
        <f t="shared" si="8"/>
        <v>A</v>
      </c>
      <c r="AO26" s="41" t="str">
        <f t="shared" si="8"/>
        <v xml:space="preserve"> </v>
      </c>
      <c r="AP26" s="41" t="str">
        <f t="shared" si="8"/>
        <v/>
      </c>
      <c r="AQ26" s="41" t="str">
        <f t="shared" si="8"/>
        <v/>
      </c>
      <c r="AR26" s="41" t="str">
        <f t="shared" si="8"/>
        <v/>
      </c>
      <c r="AS26" s="41" t="str">
        <f t="shared" si="8"/>
        <v/>
      </c>
      <c r="AT26" s="41" t="str">
        <f t="shared" si="8"/>
        <v/>
      </c>
      <c r="AU26" s="41" t="str">
        <f t="shared" si="8"/>
        <v/>
      </c>
      <c r="AV26" s="41" t="str">
        <f t="shared" si="8"/>
        <v/>
      </c>
      <c r="AW26" s="41" t="str">
        <f t="shared" si="8"/>
        <v/>
      </c>
      <c r="AX26" s="41" t="str">
        <f t="shared" si="8"/>
        <v/>
      </c>
      <c r="AY26" s="41" t="str">
        <f t="shared" si="8"/>
        <v/>
      </c>
      <c r="AZ26" s="41" t="str">
        <f t="shared" si="8"/>
        <v/>
      </c>
      <c r="BA26" s="41" t="str">
        <f t="shared" si="8"/>
        <v/>
      </c>
      <c r="BB26" s="41" t="str">
        <f t="shared" si="8"/>
        <v/>
      </c>
      <c r="BC26" s="41" t="str">
        <f t="shared" si="8"/>
        <v/>
      </c>
      <c r="BD26" s="41" t="str">
        <f t="shared" si="8"/>
        <v/>
      </c>
      <c r="BE26" s="41" t="str">
        <f t="shared" si="8"/>
        <v/>
      </c>
      <c r="BF26" s="41" t="str">
        <f t="shared" si="8"/>
        <v/>
      </c>
      <c r="BG26" s="41" t="str">
        <f t="shared" si="8"/>
        <v/>
      </c>
      <c r="BH26" s="41" t="str">
        <f t="shared" si="8"/>
        <v/>
      </c>
      <c r="BI26" s="41" t="str">
        <f t="shared" si="8"/>
        <v/>
      </c>
      <c r="BJ26" s="41" t="str">
        <f t="shared" si="8"/>
        <v/>
      </c>
      <c r="BK26" s="41" t="str">
        <f t="shared" si="8"/>
        <v/>
      </c>
      <c r="BL26" s="41" t="str">
        <f t="shared" si="8"/>
        <v/>
      </c>
      <c r="BM26" s="42" t="str">
        <f t="shared" si="8"/>
        <v/>
      </c>
    </row>
    <row r="27" spans="1:65" ht="13.5" customHeight="1" x14ac:dyDescent="0.2">
      <c r="A27" s="71" t="s">
        <v>11</v>
      </c>
      <c r="B27" s="71" t="s">
        <v>1</v>
      </c>
      <c r="C27" s="24">
        <f t="shared" si="0"/>
        <v>6</v>
      </c>
      <c r="F27" s="33"/>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c r="BK27" s="34"/>
      <c r="BL27" s="34"/>
      <c r="BM27" s="35"/>
    </row>
    <row r="28" spans="1:65" ht="13.5" customHeight="1" x14ac:dyDescent="0.25">
      <c r="A28" s="71" t="s">
        <v>29</v>
      </c>
      <c r="B28" s="71" t="s">
        <v>1</v>
      </c>
      <c r="C28" s="24">
        <f t="shared" si="0"/>
        <v>8</v>
      </c>
      <c r="F28" s="36" t="str">
        <f t="shared" ref="F28:BM28" si="9">IFERROR(LOOKUP(F29,$A$2:$B$28),"")</f>
        <v xml:space="preserve"> </v>
      </c>
      <c r="G28" s="37" t="str">
        <f t="shared" si="9"/>
        <v xml:space="preserve"> </v>
      </c>
      <c r="H28" s="37" t="str">
        <f t="shared" si="9"/>
        <v xml:space="preserve"> </v>
      </c>
      <c r="I28" s="37" t="str">
        <f t="shared" si="9"/>
        <v xml:space="preserve"> </v>
      </c>
      <c r="J28" s="37" t="str">
        <f t="shared" si="9"/>
        <v xml:space="preserve"> </v>
      </c>
      <c r="K28" s="37" t="str">
        <f t="shared" si="9"/>
        <v xml:space="preserve"> </v>
      </c>
      <c r="L28" s="37" t="str">
        <f t="shared" si="9"/>
        <v xml:space="preserve"> </v>
      </c>
      <c r="M28" s="37" t="str">
        <f t="shared" si="9"/>
        <v xml:space="preserve"> </v>
      </c>
      <c r="N28" s="37" t="str">
        <f t="shared" si="9"/>
        <v/>
      </c>
      <c r="O28" s="37" t="str">
        <f t="shared" si="9"/>
        <v xml:space="preserve"> </v>
      </c>
      <c r="P28" s="37" t="str">
        <f t="shared" si="9"/>
        <v xml:space="preserve"> </v>
      </c>
      <c r="Q28" s="37" t="str">
        <f t="shared" si="9"/>
        <v xml:space="preserve"> </v>
      </c>
      <c r="R28" s="37" t="str">
        <f t="shared" si="9"/>
        <v xml:space="preserve"> </v>
      </c>
      <c r="S28" s="37" t="str">
        <f t="shared" si="9"/>
        <v xml:space="preserve"> </v>
      </c>
      <c r="T28" s="37" t="str">
        <f t="shared" si="9"/>
        <v xml:space="preserve"> </v>
      </c>
      <c r="U28" s="37" t="str">
        <f t="shared" si="9"/>
        <v xml:space="preserve"> </v>
      </c>
      <c r="V28" s="37" t="str">
        <f t="shared" si="9"/>
        <v xml:space="preserve"> </v>
      </c>
      <c r="W28" s="37" t="str">
        <f t="shared" si="9"/>
        <v xml:space="preserve"> </v>
      </c>
      <c r="X28" s="37" t="str">
        <f t="shared" si="9"/>
        <v xml:space="preserve"> </v>
      </c>
      <c r="Y28" s="37" t="str">
        <f t="shared" si="9"/>
        <v xml:space="preserve"> </v>
      </c>
      <c r="Z28" s="37" t="str">
        <f t="shared" si="9"/>
        <v xml:space="preserve"> </v>
      </c>
      <c r="AA28" s="37" t="str">
        <f t="shared" si="9"/>
        <v xml:space="preserve"> </v>
      </c>
      <c r="AB28" s="37" t="str">
        <f t="shared" si="9"/>
        <v xml:space="preserve"> </v>
      </c>
      <c r="AC28" s="37" t="str">
        <f t="shared" si="9"/>
        <v xml:space="preserve"> </v>
      </c>
      <c r="AD28" s="37" t="str">
        <f t="shared" si="9"/>
        <v xml:space="preserve"> </v>
      </c>
      <c r="AE28" s="37" t="str">
        <f t="shared" si="9"/>
        <v xml:space="preserve"> </v>
      </c>
      <c r="AF28" s="37" t="str">
        <f t="shared" si="9"/>
        <v xml:space="preserve"> </v>
      </c>
      <c r="AG28" s="37" t="str">
        <f t="shared" si="9"/>
        <v xml:space="preserve"> </v>
      </c>
      <c r="AH28" s="37" t="str">
        <f t="shared" si="9"/>
        <v xml:space="preserve"> </v>
      </c>
      <c r="AI28" s="37" t="str">
        <f t="shared" si="9"/>
        <v xml:space="preserve"> </v>
      </c>
      <c r="AJ28" s="37" t="str">
        <f t="shared" si="9"/>
        <v xml:space="preserve"> </v>
      </c>
      <c r="AK28" s="37" t="str">
        <f t="shared" si="9"/>
        <v xml:space="preserve"> </v>
      </c>
      <c r="AL28" s="37" t="str">
        <f t="shared" si="9"/>
        <v xml:space="preserve"> </v>
      </c>
      <c r="AM28" s="37" t="str">
        <f t="shared" si="9"/>
        <v xml:space="preserve"> </v>
      </c>
      <c r="AN28" s="37" t="str">
        <f t="shared" si="9"/>
        <v xml:space="preserve"> </v>
      </c>
      <c r="AO28" s="37" t="str">
        <f t="shared" si="9"/>
        <v xml:space="preserve"> </v>
      </c>
      <c r="AP28" s="37" t="str">
        <f t="shared" si="9"/>
        <v xml:space="preserve"> </v>
      </c>
      <c r="AQ28" s="37" t="str">
        <f t="shared" si="9"/>
        <v xml:space="preserve"> </v>
      </c>
      <c r="AR28" s="37" t="str">
        <f t="shared" si="9"/>
        <v/>
      </c>
      <c r="AS28" s="37" t="str">
        <f t="shared" si="9"/>
        <v/>
      </c>
      <c r="AT28" s="37" t="str">
        <f t="shared" si="9"/>
        <v/>
      </c>
      <c r="AU28" s="37" t="str">
        <f t="shared" si="9"/>
        <v/>
      </c>
      <c r="AV28" s="37" t="str">
        <f t="shared" si="9"/>
        <v/>
      </c>
      <c r="AW28" s="37" t="str">
        <f t="shared" si="9"/>
        <v/>
      </c>
      <c r="AX28" s="37" t="str">
        <f t="shared" si="9"/>
        <v/>
      </c>
      <c r="AY28" s="37" t="str">
        <f t="shared" si="9"/>
        <v/>
      </c>
      <c r="AZ28" s="37" t="str">
        <f t="shared" si="9"/>
        <v/>
      </c>
      <c r="BA28" s="37" t="str">
        <f t="shared" si="9"/>
        <v/>
      </c>
      <c r="BB28" s="37" t="str">
        <f t="shared" si="9"/>
        <v/>
      </c>
      <c r="BC28" s="37" t="str">
        <f t="shared" si="9"/>
        <v/>
      </c>
      <c r="BD28" s="37" t="str">
        <f t="shared" si="9"/>
        <v/>
      </c>
      <c r="BE28" s="37" t="str">
        <f t="shared" si="9"/>
        <v/>
      </c>
      <c r="BF28" s="37" t="str">
        <f t="shared" si="9"/>
        <v/>
      </c>
      <c r="BG28" s="37" t="str">
        <f t="shared" si="9"/>
        <v/>
      </c>
      <c r="BH28" s="37" t="str">
        <f t="shared" si="9"/>
        <v/>
      </c>
      <c r="BI28" s="37" t="str">
        <f t="shared" si="9"/>
        <v/>
      </c>
      <c r="BJ28" s="37" t="str">
        <f t="shared" si="9"/>
        <v/>
      </c>
      <c r="BK28" s="37" t="str">
        <f t="shared" si="9"/>
        <v/>
      </c>
      <c r="BL28" s="37" t="str">
        <f t="shared" si="9"/>
        <v/>
      </c>
      <c r="BM28" s="38" t="str">
        <f t="shared" si="9"/>
        <v/>
      </c>
    </row>
    <row r="29" spans="1:65" ht="13.5" customHeight="1" x14ac:dyDescent="0.2">
      <c r="F29" s="40" t="str">
        <f>F7</f>
        <v>Y</v>
      </c>
      <c r="G29" s="41" t="str">
        <f t="shared" ref="G29:BM29" si="10">G7</f>
        <v>H</v>
      </c>
      <c r="H29" s="41" t="str">
        <f t="shared" si="10"/>
        <v>U</v>
      </c>
      <c r="I29" s="41" t="str">
        <f t="shared" si="10"/>
        <v>J</v>
      </c>
      <c r="J29" s="41" t="str">
        <f t="shared" si="10"/>
        <v>.</v>
      </c>
      <c r="K29" s="41" t="str">
        <f t="shared" si="10"/>
        <v xml:space="preserve"> </v>
      </c>
      <c r="L29" s="41" t="str">
        <f t="shared" si="10"/>
        <v>C</v>
      </c>
      <c r="M29" s="41" t="str">
        <f t="shared" si="10"/>
        <v>S</v>
      </c>
      <c r="N29" s="41" t="str">
        <f t="shared" si="10"/>
        <v>'</v>
      </c>
      <c r="O29" s="41" t="str">
        <f t="shared" si="10"/>
        <v>F</v>
      </c>
      <c r="P29" s="41" t="str">
        <f t="shared" si="10"/>
        <v>S</v>
      </c>
      <c r="Q29" s="41" t="str">
        <f t="shared" si="10"/>
        <v xml:space="preserve"> </v>
      </c>
      <c r="R29" s="41" t="str">
        <f t="shared" si="10"/>
        <v>G</v>
      </c>
      <c r="S29" s="41" t="str">
        <f t="shared" si="10"/>
        <v>I</v>
      </c>
      <c r="T29" s="41" t="str">
        <f t="shared" si="10"/>
        <v>C</v>
      </c>
      <c r="U29" s="41" t="str">
        <f t="shared" si="10"/>
        <v>G</v>
      </c>
      <c r="V29" s="41" t="str">
        <f t="shared" si="10"/>
        <v>Z</v>
      </c>
      <c r="W29" s="41" t="str">
        <f t="shared" si="10"/>
        <v>B</v>
      </c>
      <c r="X29" s="41" t="str">
        <f t="shared" si="10"/>
        <v xml:space="preserve"> </v>
      </c>
      <c r="Y29" s="41" t="str">
        <f t="shared" si="10"/>
        <v>K</v>
      </c>
      <c r="Z29" s="41" t="str">
        <f t="shared" si="10"/>
        <v>J</v>
      </c>
      <c r="AA29" s="41" t="str">
        <f t="shared" si="10"/>
        <v>P</v>
      </c>
      <c r="AB29" s="41" t="str">
        <f t="shared" si="10"/>
        <v>X</v>
      </c>
      <c r="AC29" s="41" t="str">
        <f t="shared" si="10"/>
        <v>M</v>
      </c>
      <c r="AD29" s="41" t="str">
        <f t="shared" si="10"/>
        <v>P</v>
      </c>
      <c r="AE29" s="41" t="str">
        <f t="shared" si="10"/>
        <v>X</v>
      </c>
      <c r="AF29" s="41" t="str">
        <f t="shared" si="10"/>
        <v>E</v>
      </c>
      <c r="AG29" s="41" t="str">
        <f t="shared" si="10"/>
        <v xml:space="preserve"> </v>
      </c>
      <c r="AH29" s="41" t="str">
        <f t="shared" si="10"/>
        <v>G</v>
      </c>
      <c r="AI29" s="41" t="str">
        <f t="shared" si="10"/>
        <v>Q</v>
      </c>
      <c r="AJ29" s="41" t="str">
        <f t="shared" si="10"/>
        <v>A</v>
      </c>
      <c r="AK29" s="41" t="str">
        <f t="shared" si="10"/>
        <v>H</v>
      </c>
      <c r="AL29" s="41" t="str">
        <f t="shared" si="10"/>
        <v>K</v>
      </c>
      <c r="AM29" s="41" t="str">
        <f t="shared" si="10"/>
        <v xml:space="preserve"> </v>
      </c>
      <c r="AN29" s="41" t="str">
        <f t="shared" si="10"/>
        <v>X</v>
      </c>
      <c r="AO29" s="41" t="str">
        <f t="shared" si="10"/>
        <v>S</v>
      </c>
      <c r="AP29" s="41" t="str">
        <f t="shared" si="10"/>
        <v>C</v>
      </c>
      <c r="AQ29" s="41" t="str">
        <f t="shared" si="10"/>
        <v xml:space="preserve"> </v>
      </c>
      <c r="AR29" s="41" t="str">
        <f t="shared" si="10"/>
        <v/>
      </c>
      <c r="AS29" s="41" t="str">
        <f t="shared" si="10"/>
        <v/>
      </c>
      <c r="AT29" s="41" t="str">
        <f t="shared" si="10"/>
        <v/>
      </c>
      <c r="AU29" s="41" t="str">
        <f t="shared" si="10"/>
        <v/>
      </c>
      <c r="AV29" s="41" t="str">
        <f t="shared" si="10"/>
        <v/>
      </c>
      <c r="AW29" s="41" t="str">
        <f t="shared" si="10"/>
        <v/>
      </c>
      <c r="AX29" s="41" t="str">
        <f t="shared" si="10"/>
        <v/>
      </c>
      <c r="AY29" s="41" t="str">
        <f t="shared" si="10"/>
        <v/>
      </c>
      <c r="AZ29" s="41" t="str">
        <f t="shared" si="10"/>
        <v/>
      </c>
      <c r="BA29" s="41" t="str">
        <f t="shared" si="10"/>
        <v/>
      </c>
      <c r="BB29" s="41" t="str">
        <f t="shared" si="10"/>
        <v/>
      </c>
      <c r="BC29" s="41" t="str">
        <f t="shared" si="10"/>
        <v/>
      </c>
      <c r="BD29" s="41" t="str">
        <f t="shared" si="10"/>
        <v/>
      </c>
      <c r="BE29" s="41" t="str">
        <f t="shared" si="10"/>
        <v/>
      </c>
      <c r="BF29" s="41" t="str">
        <f t="shared" si="10"/>
        <v/>
      </c>
      <c r="BG29" s="41" t="str">
        <f t="shared" si="10"/>
        <v/>
      </c>
      <c r="BH29" s="41" t="str">
        <f t="shared" si="10"/>
        <v/>
      </c>
      <c r="BI29" s="41" t="str">
        <f t="shared" si="10"/>
        <v/>
      </c>
      <c r="BJ29" s="41" t="str">
        <f t="shared" si="10"/>
        <v/>
      </c>
      <c r="BK29" s="41" t="str">
        <f t="shared" si="10"/>
        <v/>
      </c>
      <c r="BL29" s="41" t="str">
        <f t="shared" si="10"/>
        <v/>
      </c>
      <c r="BM29" s="42" t="str">
        <f t="shared" si="10"/>
        <v/>
      </c>
    </row>
    <row r="30" spans="1:65" ht="13.5" customHeight="1" x14ac:dyDescent="0.2">
      <c r="F30" s="33"/>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c r="BK30" s="34"/>
      <c r="BL30" s="34"/>
      <c r="BM30" s="35"/>
    </row>
    <row r="31" spans="1:65" ht="13.5" customHeight="1" x14ac:dyDescent="0.25">
      <c r="A31" s="73"/>
      <c r="B31" s="73"/>
      <c r="F31" s="36" t="str">
        <f t="shared" ref="F31:BM31" si="11">IFERROR(LOOKUP(F32,$A$2:$B$28),"")</f>
        <v xml:space="preserve"> </v>
      </c>
      <c r="G31" s="37" t="str">
        <f t="shared" si="11"/>
        <v xml:space="preserve"> </v>
      </c>
      <c r="H31" s="37" t="str">
        <f t="shared" si="11"/>
        <v xml:space="preserve"> </v>
      </c>
      <c r="I31" s="37" t="str">
        <f t="shared" si="11"/>
        <v xml:space="preserve"> </v>
      </c>
      <c r="J31" s="37" t="str">
        <f t="shared" si="11"/>
        <v xml:space="preserve"> </v>
      </c>
      <c r="K31" s="37" t="str">
        <f t="shared" si="11"/>
        <v xml:space="preserve"> </v>
      </c>
      <c r="L31" s="37" t="str">
        <f t="shared" si="11"/>
        <v xml:space="preserve"> </v>
      </c>
      <c r="M31" s="37" t="str">
        <f t="shared" si="11"/>
        <v xml:space="preserve"> </v>
      </c>
      <c r="N31" s="37" t="str">
        <f t="shared" si="11"/>
        <v xml:space="preserve"> </v>
      </c>
      <c r="O31" s="37" t="str">
        <f t="shared" si="11"/>
        <v xml:space="preserve"> </v>
      </c>
      <c r="P31" s="37" t="str">
        <f t="shared" si="11"/>
        <v xml:space="preserve"> </v>
      </c>
      <c r="Q31" s="37" t="str">
        <f t="shared" si="11"/>
        <v xml:space="preserve"> </v>
      </c>
      <c r="R31" s="37" t="str">
        <f t="shared" si="11"/>
        <v xml:space="preserve"> </v>
      </c>
      <c r="S31" s="37" t="str">
        <f t="shared" si="11"/>
        <v xml:space="preserve"> </v>
      </c>
      <c r="T31" s="37" t="str">
        <f t="shared" si="11"/>
        <v xml:space="preserve"> </v>
      </c>
      <c r="U31" s="37" t="str">
        <f t="shared" si="11"/>
        <v xml:space="preserve"> </v>
      </c>
      <c r="V31" s="37" t="str">
        <f t="shared" si="11"/>
        <v xml:space="preserve"> </v>
      </c>
      <c r="W31" s="37" t="str">
        <f t="shared" si="11"/>
        <v xml:space="preserve"> </v>
      </c>
      <c r="X31" s="37" t="str">
        <f t="shared" si="11"/>
        <v xml:space="preserve"> </v>
      </c>
      <c r="Y31" s="37" t="str">
        <f t="shared" si="11"/>
        <v xml:space="preserve"> </v>
      </c>
      <c r="Z31" s="37" t="str">
        <f t="shared" si="11"/>
        <v xml:space="preserve"> </v>
      </c>
      <c r="AA31" s="37" t="str">
        <f t="shared" si="11"/>
        <v xml:space="preserve"> </v>
      </c>
      <c r="AB31" s="37" t="str">
        <f t="shared" si="11"/>
        <v xml:space="preserve"> </v>
      </c>
      <c r="AC31" s="37" t="str">
        <f t="shared" si="11"/>
        <v xml:space="preserve"> </v>
      </c>
      <c r="AD31" s="37" t="str">
        <f t="shared" si="11"/>
        <v xml:space="preserve"> </v>
      </c>
      <c r="AE31" s="37" t="str">
        <f t="shared" si="11"/>
        <v xml:space="preserve"> </v>
      </c>
      <c r="AF31" s="37" t="str">
        <f t="shared" si="11"/>
        <v xml:space="preserve"> </v>
      </c>
      <c r="AG31" s="37" t="str">
        <f t="shared" si="11"/>
        <v xml:space="preserve"> </v>
      </c>
      <c r="AH31" s="37" t="str">
        <f t="shared" si="11"/>
        <v xml:space="preserve"> </v>
      </c>
      <c r="AI31" s="37" t="str">
        <f t="shared" si="11"/>
        <v xml:space="preserve"> </v>
      </c>
      <c r="AJ31" s="37" t="str">
        <f t="shared" si="11"/>
        <v/>
      </c>
      <c r="AK31" s="37" t="str">
        <f t="shared" si="11"/>
        <v xml:space="preserve"> </v>
      </c>
      <c r="AL31" s="37" t="str">
        <f t="shared" si="11"/>
        <v xml:space="preserve"> </v>
      </c>
      <c r="AM31" s="37" t="str">
        <f t="shared" si="11"/>
        <v xml:space="preserve"> </v>
      </c>
      <c r="AN31" s="37" t="str">
        <f t="shared" si="11"/>
        <v xml:space="preserve"> </v>
      </c>
      <c r="AO31" s="37" t="str">
        <f t="shared" si="11"/>
        <v xml:space="preserve"> </v>
      </c>
      <c r="AP31" s="37" t="str">
        <f t="shared" si="11"/>
        <v xml:space="preserve"> </v>
      </c>
      <c r="AQ31" s="37" t="str">
        <f t="shared" si="11"/>
        <v xml:space="preserve"> </v>
      </c>
      <c r="AR31" s="37" t="str">
        <f t="shared" si="11"/>
        <v/>
      </c>
      <c r="AS31" s="37" t="str">
        <f t="shared" si="11"/>
        <v/>
      </c>
      <c r="AT31" s="37" t="str">
        <f t="shared" si="11"/>
        <v/>
      </c>
      <c r="AU31" s="37" t="str">
        <f t="shared" si="11"/>
        <v/>
      </c>
      <c r="AV31" s="37" t="str">
        <f t="shared" si="11"/>
        <v/>
      </c>
      <c r="AW31" s="37" t="str">
        <f t="shared" si="11"/>
        <v/>
      </c>
      <c r="AX31" s="37" t="str">
        <f t="shared" si="11"/>
        <v/>
      </c>
      <c r="AY31" s="37" t="str">
        <f t="shared" si="11"/>
        <v/>
      </c>
      <c r="AZ31" s="37" t="str">
        <f t="shared" si="11"/>
        <v/>
      </c>
      <c r="BA31" s="37" t="str">
        <f t="shared" si="11"/>
        <v/>
      </c>
      <c r="BB31" s="37" t="str">
        <f t="shared" si="11"/>
        <v/>
      </c>
      <c r="BC31" s="37" t="str">
        <f t="shared" si="11"/>
        <v/>
      </c>
      <c r="BD31" s="37" t="str">
        <f t="shared" si="11"/>
        <v/>
      </c>
      <c r="BE31" s="37" t="str">
        <f t="shared" si="11"/>
        <v/>
      </c>
      <c r="BF31" s="37" t="str">
        <f t="shared" si="11"/>
        <v/>
      </c>
      <c r="BG31" s="37" t="str">
        <f t="shared" si="11"/>
        <v/>
      </c>
      <c r="BH31" s="37" t="str">
        <f t="shared" si="11"/>
        <v/>
      </c>
      <c r="BI31" s="37" t="str">
        <f t="shared" si="11"/>
        <v/>
      </c>
      <c r="BJ31" s="37" t="str">
        <f t="shared" si="11"/>
        <v/>
      </c>
      <c r="BK31" s="37" t="str">
        <f t="shared" si="11"/>
        <v/>
      </c>
      <c r="BL31" s="37" t="str">
        <f t="shared" si="11"/>
        <v/>
      </c>
      <c r="BM31" s="38" t="str">
        <f t="shared" si="11"/>
        <v/>
      </c>
    </row>
    <row r="32" spans="1:65" ht="13.5" customHeight="1" x14ac:dyDescent="0.2">
      <c r="F32" s="40" t="str">
        <f>F8</f>
        <v>Y</v>
      </c>
      <c r="G32" s="41" t="str">
        <f t="shared" ref="G32:BM32" si="12">G8</f>
        <v>G</v>
      </c>
      <c r="H32" s="41" t="str">
        <f t="shared" si="12"/>
        <v>F</v>
      </c>
      <c r="I32" s="41" t="str">
        <f t="shared" si="12"/>
        <v>M</v>
      </c>
      <c r="J32" s="41" t="str">
        <f t="shared" si="12"/>
        <v>S</v>
      </c>
      <c r="K32" s="41" t="str">
        <f t="shared" si="12"/>
        <v>K</v>
      </c>
      <c r="L32" s="41" t="str">
        <f t="shared" si="12"/>
        <v>B</v>
      </c>
      <c r="M32" s="41" t="str">
        <f t="shared" si="12"/>
        <v xml:space="preserve"> </v>
      </c>
      <c r="N32" s="41" t="str">
        <f t="shared" si="12"/>
        <v>C</v>
      </c>
      <c r="O32" s="41" t="str">
        <f t="shared" si="12"/>
        <v>S</v>
      </c>
      <c r="P32" s="41" t="str">
        <f t="shared" si="12"/>
        <v xml:space="preserve"> </v>
      </c>
      <c r="Q32" s="41" t="str">
        <f t="shared" si="12"/>
        <v>U</v>
      </c>
      <c r="R32" s="41" t="str">
        <f t="shared" si="12"/>
        <v>A</v>
      </c>
      <c r="S32" s="41" t="str">
        <f t="shared" si="12"/>
        <v>H</v>
      </c>
      <c r="T32" s="41" t="str">
        <f t="shared" si="12"/>
        <v>I</v>
      </c>
      <c r="U32" s="41" t="str">
        <f t="shared" si="12"/>
        <v>R</v>
      </c>
      <c r="V32" s="41" t="str">
        <f t="shared" si="12"/>
        <v xml:space="preserve"> </v>
      </c>
      <c r="W32" s="41" t="str">
        <f t="shared" si="12"/>
        <v>S</v>
      </c>
      <c r="X32" s="41" t="str">
        <f t="shared" si="12"/>
        <v>X</v>
      </c>
      <c r="Y32" s="41" t="str">
        <f t="shared" si="12"/>
        <v>K</v>
      </c>
      <c r="Z32" s="41" t="str">
        <f t="shared" si="12"/>
        <v>S</v>
      </c>
      <c r="AA32" s="41" t="str">
        <f t="shared" si="12"/>
        <v>F</v>
      </c>
      <c r="AB32" s="41" t="str">
        <f t="shared" si="12"/>
        <v>,</v>
      </c>
      <c r="AC32" s="41" t="str">
        <f t="shared" si="12"/>
        <v xml:space="preserve"> </v>
      </c>
      <c r="AD32" s="41" t="str">
        <f t="shared" si="12"/>
        <v>Q</v>
      </c>
      <c r="AE32" s="41" t="str">
        <f t="shared" si="12"/>
        <v>H</v>
      </c>
      <c r="AF32" s="41" t="str">
        <f t="shared" si="12"/>
        <v>K</v>
      </c>
      <c r="AG32" s="41" t="str">
        <f t="shared" si="12"/>
        <v xml:space="preserve"> </v>
      </c>
      <c r="AH32" s="41" t="str">
        <f t="shared" si="12"/>
        <v>P</v>
      </c>
      <c r="AI32" s="41" t="str">
        <f t="shared" si="12"/>
        <v>K</v>
      </c>
      <c r="AJ32" s="41" t="str">
        <f t="shared" si="12"/>
        <v>'</v>
      </c>
      <c r="AK32" s="41" t="str">
        <f t="shared" si="12"/>
        <v>B</v>
      </c>
      <c r="AL32" s="41" t="str">
        <f t="shared" si="12"/>
        <v xml:space="preserve"> </v>
      </c>
      <c r="AM32" s="41" t="str">
        <f t="shared" si="12"/>
        <v>A</v>
      </c>
      <c r="AN32" s="41" t="str">
        <f t="shared" si="12"/>
        <v>X</v>
      </c>
      <c r="AO32" s="41" t="str">
        <f t="shared" si="12"/>
        <v>I</v>
      </c>
      <c r="AP32" s="41" t="str">
        <f t="shared" si="12"/>
        <v>Z</v>
      </c>
      <c r="AQ32" s="41" t="str">
        <f t="shared" si="12"/>
        <v xml:space="preserve"> </v>
      </c>
      <c r="AR32" s="41" t="str">
        <f t="shared" si="12"/>
        <v/>
      </c>
      <c r="AS32" s="41" t="str">
        <f t="shared" si="12"/>
        <v/>
      </c>
      <c r="AT32" s="41" t="str">
        <f t="shared" si="12"/>
        <v/>
      </c>
      <c r="AU32" s="41" t="str">
        <f t="shared" si="12"/>
        <v/>
      </c>
      <c r="AV32" s="41" t="str">
        <f t="shared" si="12"/>
        <v/>
      </c>
      <c r="AW32" s="41" t="str">
        <f t="shared" si="12"/>
        <v/>
      </c>
      <c r="AX32" s="41" t="str">
        <f t="shared" si="12"/>
        <v/>
      </c>
      <c r="AY32" s="41" t="str">
        <f t="shared" si="12"/>
        <v/>
      </c>
      <c r="AZ32" s="41" t="str">
        <f t="shared" si="12"/>
        <v/>
      </c>
      <c r="BA32" s="41" t="str">
        <f t="shared" si="12"/>
        <v/>
      </c>
      <c r="BB32" s="41" t="str">
        <f t="shared" si="12"/>
        <v/>
      </c>
      <c r="BC32" s="41" t="str">
        <f t="shared" si="12"/>
        <v/>
      </c>
      <c r="BD32" s="41" t="str">
        <f t="shared" si="12"/>
        <v/>
      </c>
      <c r="BE32" s="41" t="str">
        <f t="shared" si="12"/>
        <v/>
      </c>
      <c r="BF32" s="41" t="str">
        <f t="shared" si="12"/>
        <v/>
      </c>
      <c r="BG32" s="41" t="str">
        <f t="shared" si="12"/>
        <v/>
      </c>
      <c r="BH32" s="41" t="str">
        <f t="shared" si="12"/>
        <v/>
      </c>
      <c r="BI32" s="41" t="str">
        <f t="shared" si="12"/>
        <v/>
      </c>
      <c r="BJ32" s="41" t="str">
        <f t="shared" si="12"/>
        <v/>
      </c>
      <c r="BK32" s="41" t="str">
        <f t="shared" si="12"/>
        <v/>
      </c>
      <c r="BL32" s="41" t="str">
        <f t="shared" si="12"/>
        <v/>
      </c>
      <c r="BM32" s="42" t="str">
        <f t="shared" si="12"/>
        <v/>
      </c>
    </row>
    <row r="33" spans="6:65" ht="13.5" customHeight="1" x14ac:dyDescent="0.2">
      <c r="F33" s="33"/>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c r="BK33" s="34"/>
      <c r="BL33" s="34"/>
      <c r="BM33" s="35"/>
    </row>
    <row r="34" spans="6:65" ht="13.5" customHeight="1" x14ac:dyDescent="0.25">
      <c r="F34" s="36" t="str">
        <f t="shared" ref="F34:BM34" si="13">IFERROR(LOOKUP(F35,$A$2:$B$28),"")</f>
        <v xml:space="preserve"> </v>
      </c>
      <c r="G34" s="37" t="str">
        <f t="shared" si="13"/>
        <v xml:space="preserve"> </v>
      </c>
      <c r="H34" s="37" t="str">
        <f t="shared" si="13"/>
        <v xml:space="preserve"> </v>
      </c>
      <c r="I34" s="37" t="str">
        <f t="shared" si="13"/>
        <v xml:space="preserve"> </v>
      </c>
      <c r="J34" s="37" t="str">
        <f t="shared" si="13"/>
        <v xml:space="preserve"> </v>
      </c>
      <c r="K34" s="37" t="str">
        <f t="shared" si="13"/>
        <v xml:space="preserve"> </v>
      </c>
      <c r="L34" s="37" t="str">
        <f t="shared" si="13"/>
        <v xml:space="preserve"> </v>
      </c>
      <c r="M34" s="37" t="str">
        <f t="shared" si="13"/>
        <v xml:space="preserve"> </v>
      </c>
      <c r="N34" s="37" t="str">
        <f t="shared" si="13"/>
        <v xml:space="preserve"> </v>
      </c>
      <c r="O34" s="37" t="str">
        <f t="shared" si="13"/>
        <v xml:space="preserve"> </v>
      </c>
      <c r="P34" s="37" t="str">
        <f t="shared" si="13"/>
        <v xml:space="preserve"> </v>
      </c>
      <c r="Q34" s="37" t="str">
        <f t="shared" si="13"/>
        <v xml:space="preserve"> </v>
      </c>
      <c r="R34" s="37" t="str">
        <f t="shared" si="13"/>
        <v xml:space="preserve"> </v>
      </c>
      <c r="S34" s="37" t="str">
        <f t="shared" si="13"/>
        <v xml:space="preserve"> </v>
      </c>
      <c r="T34" s="37" t="str">
        <f t="shared" si="13"/>
        <v xml:space="preserve"> </v>
      </c>
      <c r="U34" s="37" t="str">
        <f t="shared" si="13"/>
        <v xml:space="preserve"> </v>
      </c>
      <c r="V34" s="37" t="str">
        <f t="shared" si="13"/>
        <v xml:space="preserve"> </v>
      </c>
      <c r="W34" s="37" t="str">
        <f t="shared" si="13"/>
        <v xml:space="preserve"> </v>
      </c>
      <c r="X34" s="37" t="str">
        <f t="shared" si="13"/>
        <v xml:space="preserve"> </v>
      </c>
      <c r="Y34" s="37" t="str">
        <f t="shared" si="13"/>
        <v xml:space="preserve"> </v>
      </c>
      <c r="Z34" s="37" t="str">
        <f t="shared" si="13"/>
        <v xml:space="preserve"> </v>
      </c>
      <c r="AA34" s="37" t="str">
        <f t="shared" si="13"/>
        <v xml:space="preserve"> </v>
      </c>
      <c r="AB34" s="37" t="str">
        <f t="shared" si="13"/>
        <v xml:space="preserve"> </v>
      </c>
      <c r="AC34" s="37" t="str">
        <f t="shared" si="13"/>
        <v xml:space="preserve"> </v>
      </c>
      <c r="AD34" s="37" t="str">
        <f t="shared" si="13"/>
        <v xml:space="preserve"> </v>
      </c>
      <c r="AE34" s="37" t="str">
        <f t="shared" si="13"/>
        <v xml:space="preserve"> </v>
      </c>
      <c r="AF34" s="37" t="str">
        <f t="shared" si="13"/>
        <v xml:space="preserve"> </v>
      </c>
      <c r="AG34" s="37" t="str">
        <f t="shared" si="13"/>
        <v xml:space="preserve"> </v>
      </c>
      <c r="AH34" s="37" t="str">
        <f t="shared" si="13"/>
        <v xml:space="preserve"> </v>
      </c>
      <c r="AI34" s="37" t="str">
        <f t="shared" si="13"/>
        <v xml:space="preserve"> </v>
      </c>
      <c r="AJ34" s="37" t="str">
        <f t="shared" si="13"/>
        <v xml:space="preserve"> </v>
      </c>
      <c r="AK34" s="37" t="str">
        <f t="shared" si="13"/>
        <v xml:space="preserve"> </v>
      </c>
      <c r="AL34" s="37" t="str">
        <f t="shared" si="13"/>
        <v xml:space="preserve"> </v>
      </c>
      <c r="AM34" s="37" t="str">
        <f t="shared" si="13"/>
        <v xml:space="preserve"> </v>
      </c>
      <c r="AN34" s="37" t="str">
        <f t="shared" si="13"/>
        <v xml:space="preserve"> </v>
      </c>
      <c r="AO34" s="37" t="str">
        <f t="shared" si="13"/>
        <v xml:space="preserve"> </v>
      </c>
      <c r="AP34" s="37" t="str">
        <f t="shared" si="13"/>
        <v xml:space="preserve"> </v>
      </c>
      <c r="AQ34" s="37" t="str">
        <f t="shared" si="13"/>
        <v xml:space="preserve"> </v>
      </c>
      <c r="AR34" s="37" t="str">
        <f t="shared" si="13"/>
        <v/>
      </c>
      <c r="AS34" s="37" t="str">
        <f t="shared" si="13"/>
        <v/>
      </c>
      <c r="AT34" s="37" t="str">
        <f t="shared" si="13"/>
        <v/>
      </c>
      <c r="AU34" s="37" t="str">
        <f t="shared" si="13"/>
        <v/>
      </c>
      <c r="AV34" s="37" t="str">
        <f t="shared" si="13"/>
        <v/>
      </c>
      <c r="AW34" s="37" t="str">
        <f t="shared" si="13"/>
        <v/>
      </c>
      <c r="AX34" s="37" t="str">
        <f t="shared" si="13"/>
        <v/>
      </c>
      <c r="AY34" s="37" t="str">
        <f t="shared" si="13"/>
        <v/>
      </c>
      <c r="AZ34" s="37" t="str">
        <f t="shared" si="13"/>
        <v/>
      </c>
      <c r="BA34" s="37" t="str">
        <f t="shared" si="13"/>
        <v/>
      </c>
      <c r="BB34" s="37" t="str">
        <f t="shared" si="13"/>
        <v/>
      </c>
      <c r="BC34" s="37" t="str">
        <f t="shared" si="13"/>
        <v/>
      </c>
      <c r="BD34" s="37" t="str">
        <f t="shared" si="13"/>
        <v/>
      </c>
      <c r="BE34" s="37" t="str">
        <f t="shared" si="13"/>
        <v/>
      </c>
      <c r="BF34" s="37" t="str">
        <f t="shared" si="13"/>
        <v/>
      </c>
      <c r="BG34" s="37" t="str">
        <f t="shared" si="13"/>
        <v/>
      </c>
      <c r="BH34" s="37" t="str">
        <f t="shared" si="13"/>
        <v/>
      </c>
      <c r="BI34" s="37" t="str">
        <f t="shared" si="13"/>
        <v/>
      </c>
      <c r="BJ34" s="37" t="str">
        <f t="shared" si="13"/>
        <v/>
      </c>
      <c r="BK34" s="37" t="str">
        <f t="shared" si="13"/>
        <v/>
      </c>
      <c r="BL34" s="37" t="str">
        <f t="shared" si="13"/>
        <v/>
      </c>
      <c r="BM34" s="38" t="str">
        <f t="shared" si="13"/>
        <v/>
      </c>
    </row>
    <row r="35" spans="6:65" ht="13.5" customHeight="1" thickBot="1" x14ac:dyDescent="0.25">
      <c r="F35" s="43" t="str">
        <f>F9</f>
        <v>Q</v>
      </c>
      <c r="G35" s="44" t="str">
        <f t="shared" ref="G35:BM35" si="14">G9</f>
        <v>Z</v>
      </c>
      <c r="H35" s="44" t="str">
        <f t="shared" si="14"/>
        <v xml:space="preserve"> </v>
      </c>
      <c r="I35" s="44" t="str">
        <f t="shared" si="14"/>
        <v>B</v>
      </c>
      <c r="J35" s="44" t="str">
        <f t="shared" si="14"/>
        <v>G</v>
      </c>
      <c r="K35" s="44" t="str">
        <f t="shared" si="14"/>
        <v>Z</v>
      </c>
      <c r="L35" s="44" t="str">
        <f t="shared" si="14"/>
        <v>P</v>
      </c>
      <c r="M35" s="44" t="str">
        <f t="shared" si="14"/>
        <v>X</v>
      </c>
      <c r="N35" s="44" t="str">
        <f t="shared" si="14"/>
        <v>E</v>
      </c>
      <c r="O35" s="44" t="str">
        <f t="shared" si="14"/>
        <v xml:space="preserve"> </v>
      </c>
      <c r="P35" s="44" t="str">
        <f t="shared" si="14"/>
        <v>X</v>
      </c>
      <c r="Q35" s="44" t="str">
        <f t="shared" si="14"/>
        <v>A</v>
      </c>
      <c r="R35" s="44" t="str">
        <f t="shared" si="14"/>
        <v xml:space="preserve"> </v>
      </c>
      <c r="S35" s="44" t="str">
        <f t="shared" si="14"/>
        <v>K</v>
      </c>
      <c r="T35" s="44" t="str">
        <f t="shared" si="14"/>
        <v>J</v>
      </c>
      <c r="U35" s="44" t="str">
        <f t="shared" si="14"/>
        <v>G</v>
      </c>
      <c r="V35" s="44" t="str">
        <f t="shared" si="14"/>
        <v>K</v>
      </c>
      <c r="W35" s="44" t="str">
        <f t="shared" si="14"/>
        <v xml:space="preserve"> </v>
      </c>
      <c r="X35" s="44" t="str">
        <f t="shared" si="14"/>
        <v>Z</v>
      </c>
      <c r="Y35" s="44" t="str">
        <f t="shared" si="14"/>
        <v>A</v>
      </c>
      <c r="Z35" s="44" t="str">
        <f t="shared" si="14"/>
        <v>H</v>
      </c>
      <c r="AA35" s="44" t="str">
        <f t="shared" si="14"/>
        <v xml:space="preserve"> </v>
      </c>
      <c r="AB35" s="44" t="str">
        <f t="shared" si="14"/>
        <v>U</v>
      </c>
      <c r="AC35" s="44" t="str">
        <f t="shared" si="14"/>
        <v>G</v>
      </c>
      <c r="AD35" s="44" t="str">
        <f t="shared" si="14"/>
        <v>X</v>
      </c>
      <c r="AE35" s="44" t="str">
        <f t="shared" si="14"/>
        <v xml:space="preserve"> </v>
      </c>
      <c r="AF35" s="44" t="str">
        <f t="shared" si="14"/>
        <v>U</v>
      </c>
      <c r="AG35" s="44" t="str">
        <f t="shared" si="14"/>
        <v>A</v>
      </c>
      <c r="AH35" s="44" t="str">
        <f t="shared" si="14"/>
        <v>X</v>
      </c>
      <c r="AI35" s="44" t="str">
        <f t="shared" si="14"/>
        <v>U</v>
      </c>
      <c r="AJ35" s="44" t="str">
        <f t="shared" si="14"/>
        <v>S</v>
      </c>
      <c r="AK35" s="44" t="str">
        <f t="shared" si="14"/>
        <v>X</v>
      </c>
      <c r="AL35" s="44" t="str">
        <f t="shared" si="14"/>
        <v>K</v>
      </c>
      <c r="AM35" s="44" t="str">
        <f t="shared" si="14"/>
        <v>F</v>
      </c>
      <c r="AN35" s="44" t="str">
        <f t="shared" si="14"/>
        <v>G</v>
      </c>
      <c r="AO35" s="44" t="str">
        <f t="shared" si="14"/>
        <v>K</v>
      </c>
      <c r="AP35" s="44" t="str">
        <f t="shared" si="14"/>
        <v>S</v>
      </c>
      <c r="AQ35" s="44" t="str">
        <f t="shared" si="14"/>
        <v xml:space="preserve"> </v>
      </c>
      <c r="AR35" s="44" t="str">
        <f t="shared" si="14"/>
        <v/>
      </c>
      <c r="AS35" s="44" t="str">
        <f t="shared" si="14"/>
        <v/>
      </c>
      <c r="AT35" s="44" t="str">
        <f t="shared" si="14"/>
        <v/>
      </c>
      <c r="AU35" s="44" t="str">
        <f t="shared" si="14"/>
        <v/>
      </c>
      <c r="AV35" s="44" t="str">
        <f t="shared" si="14"/>
        <v/>
      </c>
      <c r="AW35" s="44" t="str">
        <f t="shared" si="14"/>
        <v/>
      </c>
      <c r="AX35" s="44" t="str">
        <f t="shared" si="14"/>
        <v/>
      </c>
      <c r="AY35" s="44" t="str">
        <f t="shared" si="14"/>
        <v/>
      </c>
      <c r="AZ35" s="44" t="str">
        <f t="shared" si="14"/>
        <v/>
      </c>
      <c r="BA35" s="44" t="str">
        <f t="shared" si="14"/>
        <v/>
      </c>
      <c r="BB35" s="44" t="str">
        <f t="shared" si="14"/>
        <v/>
      </c>
      <c r="BC35" s="44" t="str">
        <f t="shared" si="14"/>
        <v/>
      </c>
      <c r="BD35" s="44" t="str">
        <f t="shared" si="14"/>
        <v/>
      </c>
      <c r="BE35" s="44" t="str">
        <f t="shared" si="14"/>
        <v/>
      </c>
      <c r="BF35" s="44" t="str">
        <f t="shared" si="14"/>
        <v/>
      </c>
      <c r="BG35" s="44" t="str">
        <f t="shared" si="14"/>
        <v/>
      </c>
      <c r="BH35" s="44" t="str">
        <f t="shared" si="14"/>
        <v/>
      </c>
      <c r="BI35" s="44" t="str">
        <f t="shared" si="14"/>
        <v/>
      </c>
      <c r="BJ35" s="44" t="str">
        <f t="shared" si="14"/>
        <v/>
      </c>
      <c r="BK35" s="44" t="str">
        <f t="shared" si="14"/>
        <v/>
      </c>
      <c r="BL35" s="44" t="str">
        <f t="shared" si="14"/>
        <v/>
      </c>
      <c r="BM35" s="61" t="str">
        <f t="shared" si="14"/>
        <v/>
      </c>
    </row>
    <row r="36" spans="6:65" ht="13.5" customHeight="1" x14ac:dyDescent="0.2"/>
    <row r="37" spans="6:65" ht="13.5" customHeight="1" x14ac:dyDescent="0.2"/>
    <row r="38" spans="6:65" ht="13.5" customHeight="1" x14ac:dyDescent="0.2"/>
    <row r="39" spans="6:65" ht="13.5" customHeight="1" x14ac:dyDescent="0.2"/>
    <row r="40" spans="6:65" ht="13.5" customHeight="1" x14ac:dyDescent="0.2"/>
    <row r="41" spans="6:65" ht="13.5" customHeight="1" x14ac:dyDescent="0.2"/>
  </sheetData>
  <phoneticPr fontId="1" type="noConversion"/>
  <conditionalFormatting sqref="F4:BM16">
    <cfRule type="notContainsBlanks" dxfId="22" priority="4">
      <formula>LEN(TRIM(F4))&gt;0</formula>
    </cfRule>
  </conditionalFormatting>
  <conditionalFormatting sqref="B3:B28">
    <cfRule type="containsText" dxfId="21" priority="1" operator="containsText" text=" ">
      <formula>NOT(ISERROR(SEARCH(" ",B3)))</formula>
    </cfRule>
  </conditionalFormatting>
  <printOptions horizontalCentered="1" verticalCentered="1" headings="1" gridLines="1"/>
  <pageMargins left="0.75" right="0.75" top="1" bottom="1" header="0.5" footer="0.5"/>
  <pageSetup orientation="landscape" horizontalDpi="1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80150-4A2E-429A-BF19-C4914A5CA991}">
  <sheetPr codeName="Sheet3"/>
  <dimension ref="A1:J59"/>
  <sheetViews>
    <sheetView workbookViewId="0">
      <selection activeCell="C34" sqref="C34:C59"/>
    </sheetView>
  </sheetViews>
  <sheetFormatPr defaultRowHeight="12.75" x14ac:dyDescent="0.2"/>
  <cols>
    <col min="2" max="2" width="7.7109375" bestFit="1" customWidth="1"/>
    <col min="3" max="3" width="10.85546875" bestFit="1" customWidth="1"/>
    <col min="5" max="5" width="5.42578125" customWidth="1"/>
    <col min="6" max="7" width="9.140625" style="76"/>
  </cols>
  <sheetData>
    <row r="1" spans="1:10" ht="13.5" thickBot="1" x14ac:dyDescent="0.25">
      <c r="A1" s="74">
        <v>32</v>
      </c>
      <c r="B1" s="74" t="s">
        <v>1</v>
      </c>
      <c r="C1" s="74" t="s">
        <v>1</v>
      </c>
    </row>
    <row r="2" spans="1:10" ht="15.75" thickBot="1" x14ac:dyDescent="0.3">
      <c r="A2" s="74">
        <v>33</v>
      </c>
      <c r="B2" s="74" t="str">
        <f>CHAR(A2)</f>
        <v>!</v>
      </c>
      <c r="C2" s="74" t="str">
        <f>B2</f>
        <v>!</v>
      </c>
      <c r="I2" s="83" t="s">
        <v>650</v>
      </c>
      <c r="J2" s="84"/>
    </row>
    <row r="3" spans="1:10" ht="15" thickBot="1" x14ac:dyDescent="0.25">
      <c r="A3" s="74">
        <v>34</v>
      </c>
      <c r="B3" s="74" t="str">
        <f t="shared" ref="B3:B37" si="0">CHAR(A3)</f>
        <v>"</v>
      </c>
      <c r="C3" s="74" t="str">
        <f t="shared" ref="C3:C33" si="1">B3</f>
        <v>"</v>
      </c>
      <c r="I3" s="63" t="s">
        <v>642</v>
      </c>
      <c r="J3" s="64">
        <v>65</v>
      </c>
    </row>
    <row r="4" spans="1:10" ht="14.25" x14ac:dyDescent="0.2">
      <c r="A4" s="74">
        <v>35</v>
      </c>
      <c r="B4" s="74" t="str">
        <f t="shared" si="0"/>
        <v>#</v>
      </c>
      <c r="C4" s="74" t="str">
        <f t="shared" si="1"/>
        <v>#</v>
      </c>
      <c r="I4" s="63" t="s">
        <v>643</v>
      </c>
      <c r="J4" s="64">
        <v>90</v>
      </c>
    </row>
    <row r="5" spans="1:10" x14ac:dyDescent="0.2">
      <c r="A5" s="74">
        <v>36</v>
      </c>
      <c r="B5" s="74" t="str">
        <f t="shared" si="0"/>
        <v>$</v>
      </c>
      <c r="C5" s="74" t="str">
        <f t="shared" si="1"/>
        <v>$</v>
      </c>
    </row>
    <row r="6" spans="1:10" x14ac:dyDescent="0.2">
      <c r="A6" s="74">
        <v>37</v>
      </c>
      <c r="B6" s="74" t="str">
        <f t="shared" si="0"/>
        <v>%</v>
      </c>
      <c r="C6" s="74" t="str">
        <f t="shared" si="1"/>
        <v>%</v>
      </c>
    </row>
    <row r="7" spans="1:10" x14ac:dyDescent="0.2">
      <c r="A7" s="74">
        <v>38</v>
      </c>
      <c r="B7" s="74" t="str">
        <f t="shared" si="0"/>
        <v>&amp;</v>
      </c>
      <c r="C7" s="74" t="str">
        <f t="shared" si="1"/>
        <v>&amp;</v>
      </c>
    </row>
    <row r="8" spans="1:10" x14ac:dyDescent="0.2">
      <c r="A8" s="74">
        <v>39</v>
      </c>
      <c r="B8" s="74" t="str">
        <f t="shared" si="0"/>
        <v>'</v>
      </c>
      <c r="C8" s="74" t="str">
        <f t="shared" si="1"/>
        <v>'</v>
      </c>
    </row>
    <row r="9" spans="1:10" x14ac:dyDescent="0.2">
      <c r="A9" s="74">
        <v>40</v>
      </c>
      <c r="B9" s="74" t="str">
        <f t="shared" si="0"/>
        <v>(</v>
      </c>
      <c r="C9" s="74" t="str">
        <f t="shared" si="1"/>
        <v>(</v>
      </c>
    </row>
    <row r="10" spans="1:10" x14ac:dyDescent="0.2">
      <c r="A10" s="74">
        <v>41</v>
      </c>
      <c r="B10" s="74" t="str">
        <f t="shared" si="0"/>
        <v>)</v>
      </c>
      <c r="C10" s="74" t="str">
        <f t="shared" si="1"/>
        <v>)</v>
      </c>
      <c r="G10" s="79" t="s">
        <v>1</v>
      </c>
      <c r="H10">
        <f>CODE(G10)</f>
        <v>32</v>
      </c>
    </row>
    <row r="11" spans="1:10" x14ac:dyDescent="0.2">
      <c r="A11" s="74">
        <v>42</v>
      </c>
      <c r="B11" s="74" t="str">
        <f t="shared" si="0"/>
        <v>*</v>
      </c>
      <c r="C11" s="74" t="str">
        <f t="shared" si="1"/>
        <v>*</v>
      </c>
    </row>
    <row r="12" spans="1:10" x14ac:dyDescent="0.2">
      <c r="A12" s="74">
        <v>43</v>
      </c>
      <c r="B12" s="74" t="str">
        <f t="shared" si="0"/>
        <v>+</v>
      </c>
      <c r="C12" s="74" t="str">
        <f t="shared" si="1"/>
        <v>+</v>
      </c>
    </row>
    <row r="13" spans="1:10" x14ac:dyDescent="0.2">
      <c r="A13" s="74">
        <v>44</v>
      </c>
      <c r="B13" s="74" t="str">
        <f t="shared" si="0"/>
        <v>,</v>
      </c>
      <c r="C13" s="74" t="str">
        <f t="shared" si="1"/>
        <v>,</v>
      </c>
    </row>
    <row r="14" spans="1:10" x14ac:dyDescent="0.2">
      <c r="A14" s="74">
        <v>45</v>
      </c>
      <c r="B14" s="74" t="str">
        <f t="shared" si="0"/>
        <v>-</v>
      </c>
      <c r="C14" s="74" t="str">
        <f t="shared" si="1"/>
        <v>-</v>
      </c>
    </row>
    <row r="15" spans="1:10" x14ac:dyDescent="0.2">
      <c r="A15" s="74">
        <v>46</v>
      </c>
      <c r="B15" s="74" t="str">
        <f t="shared" si="0"/>
        <v>.</v>
      </c>
      <c r="C15" s="74" t="str">
        <f t="shared" si="1"/>
        <v>.</v>
      </c>
    </row>
    <row r="16" spans="1:10" x14ac:dyDescent="0.2">
      <c r="A16" s="74">
        <v>47</v>
      </c>
      <c r="B16" s="74" t="str">
        <f t="shared" si="0"/>
        <v>/</v>
      </c>
      <c r="C16" s="74" t="str">
        <f t="shared" si="1"/>
        <v>/</v>
      </c>
    </row>
    <row r="17" spans="1:3" x14ac:dyDescent="0.2">
      <c r="A17" s="74">
        <v>48</v>
      </c>
      <c r="B17" s="74" t="str">
        <f t="shared" si="0"/>
        <v>0</v>
      </c>
      <c r="C17" s="74" t="str">
        <f t="shared" si="1"/>
        <v>0</v>
      </c>
    </row>
    <row r="18" spans="1:3" x14ac:dyDescent="0.2">
      <c r="A18" s="74">
        <v>49</v>
      </c>
      <c r="B18" s="74" t="str">
        <f t="shared" si="0"/>
        <v>1</v>
      </c>
      <c r="C18" s="74" t="str">
        <f t="shared" si="1"/>
        <v>1</v>
      </c>
    </row>
    <row r="19" spans="1:3" x14ac:dyDescent="0.2">
      <c r="A19" s="74">
        <v>50</v>
      </c>
      <c r="B19" s="74" t="str">
        <f t="shared" si="0"/>
        <v>2</v>
      </c>
      <c r="C19" s="74" t="str">
        <f t="shared" si="1"/>
        <v>2</v>
      </c>
    </row>
    <row r="20" spans="1:3" x14ac:dyDescent="0.2">
      <c r="A20" s="74">
        <v>51</v>
      </c>
      <c r="B20" s="74" t="str">
        <f t="shared" si="0"/>
        <v>3</v>
      </c>
      <c r="C20" s="74" t="str">
        <f t="shared" si="1"/>
        <v>3</v>
      </c>
    </row>
    <row r="21" spans="1:3" x14ac:dyDescent="0.2">
      <c r="A21" s="74">
        <v>52</v>
      </c>
      <c r="B21" s="74" t="str">
        <f t="shared" si="0"/>
        <v>4</v>
      </c>
      <c r="C21" s="74" t="str">
        <f t="shared" si="1"/>
        <v>4</v>
      </c>
    </row>
    <row r="22" spans="1:3" x14ac:dyDescent="0.2">
      <c r="A22" s="74">
        <v>53</v>
      </c>
      <c r="B22" s="74" t="str">
        <f t="shared" si="0"/>
        <v>5</v>
      </c>
      <c r="C22" s="74" t="str">
        <f t="shared" si="1"/>
        <v>5</v>
      </c>
    </row>
    <row r="23" spans="1:3" x14ac:dyDescent="0.2">
      <c r="A23" s="74">
        <v>54</v>
      </c>
      <c r="B23" s="74" t="str">
        <f t="shared" si="0"/>
        <v>6</v>
      </c>
      <c r="C23" s="74" t="str">
        <f t="shared" si="1"/>
        <v>6</v>
      </c>
    </row>
    <row r="24" spans="1:3" x14ac:dyDescent="0.2">
      <c r="A24" s="74">
        <v>55</v>
      </c>
      <c r="B24" s="74" t="str">
        <f t="shared" si="0"/>
        <v>7</v>
      </c>
      <c r="C24" s="74" t="str">
        <f t="shared" si="1"/>
        <v>7</v>
      </c>
    </row>
    <row r="25" spans="1:3" x14ac:dyDescent="0.2">
      <c r="A25" s="74">
        <v>56</v>
      </c>
      <c r="B25" s="74" t="str">
        <f t="shared" si="0"/>
        <v>8</v>
      </c>
      <c r="C25" s="74" t="str">
        <f t="shared" si="1"/>
        <v>8</v>
      </c>
    </row>
    <row r="26" spans="1:3" x14ac:dyDescent="0.2">
      <c r="A26" s="74">
        <v>57</v>
      </c>
      <c r="B26" s="74" t="str">
        <f t="shared" si="0"/>
        <v>9</v>
      </c>
      <c r="C26" s="74" t="str">
        <f t="shared" si="1"/>
        <v>9</v>
      </c>
    </row>
    <row r="27" spans="1:3" x14ac:dyDescent="0.2">
      <c r="A27" s="74">
        <v>58</v>
      </c>
      <c r="B27" s="74" t="str">
        <f t="shared" si="0"/>
        <v>:</v>
      </c>
      <c r="C27" s="74" t="str">
        <f t="shared" si="1"/>
        <v>:</v>
      </c>
    </row>
    <row r="28" spans="1:3" x14ac:dyDescent="0.2">
      <c r="A28" s="74">
        <v>59</v>
      </c>
      <c r="B28" s="74" t="str">
        <f t="shared" si="0"/>
        <v>;</v>
      </c>
      <c r="C28" s="74" t="str">
        <f t="shared" si="1"/>
        <v>;</v>
      </c>
    </row>
    <row r="29" spans="1:3" x14ac:dyDescent="0.2">
      <c r="A29" s="74">
        <v>60</v>
      </c>
      <c r="B29" s="74" t="str">
        <f t="shared" si="0"/>
        <v>&lt;</v>
      </c>
      <c r="C29" s="74" t="str">
        <f t="shared" si="1"/>
        <v>&lt;</v>
      </c>
    </row>
    <row r="30" spans="1:3" x14ac:dyDescent="0.2">
      <c r="A30" s="74">
        <v>61</v>
      </c>
      <c r="B30" s="74" t="str">
        <f t="shared" si="0"/>
        <v>=</v>
      </c>
      <c r="C30" s="74" t="str">
        <f t="shared" si="1"/>
        <v>=</v>
      </c>
    </row>
    <row r="31" spans="1:3" x14ac:dyDescent="0.2">
      <c r="A31" s="74">
        <v>62</v>
      </c>
      <c r="B31" s="74" t="str">
        <f t="shared" si="0"/>
        <v>&gt;</v>
      </c>
      <c r="C31" s="74" t="str">
        <f t="shared" si="1"/>
        <v>&gt;</v>
      </c>
    </row>
    <row r="32" spans="1:3" x14ac:dyDescent="0.2">
      <c r="A32" s="74">
        <v>63</v>
      </c>
      <c r="B32" s="74" t="str">
        <f t="shared" si="0"/>
        <v>?</v>
      </c>
      <c r="C32" s="74" t="str">
        <f t="shared" si="1"/>
        <v>?</v>
      </c>
    </row>
    <row r="33" spans="1:9" ht="13.5" thickBot="1" x14ac:dyDescent="0.25">
      <c r="A33" s="74">
        <v>64</v>
      </c>
      <c r="B33" s="74" t="str">
        <f t="shared" si="0"/>
        <v>@</v>
      </c>
      <c r="C33" s="74" t="str">
        <f t="shared" si="1"/>
        <v>@</v>
      </c>
      <c r="H33" s="46" t="s">
        <v>649</v>
      </c>
    </row>
    <row r="34" spans="1:9" s="75" customFormat="1" ht="14.25" thickBot="1" x14ac:dyDescent="0.25">
      <c r="A34" s="75">
        <v>65</v>
      </c>
      <c r="B34" s="75" t="str">
        <f t="shared" si="0"/>
        <v>A</v>
      </c>
      <c r="C34" s="75" t="s">
        <v>19</v>
      </c>
      <c r="F34" s="77">
        <f t="array" aca="1" ref="F34" ca="1">IFERROR(LARGE(ROW(INDIRECT($J$3&amp;":"&amp;$J$4))*NOT(COUNTIF($F$33:F33,ROW(INDIRECT($J$3&amp;":"&amp;$J$4)))),RANDBETWEEN(1,$J$4-$J$3-ROW(A1)+2)),"")</f>
        <v>65</v>
      </c>
      <c r="G34" s="78" t="str">
        <f ca="1">CHAR(F34)</f>
        <v>A</v>
      </c>
      <c r="H34" s="75">
        <f ca="1">IF(G34=B34,1,0)</f>
        <v>1</v>
      </c>
      <c r="I34" s="75">
        <f ca="1">SUM(H34:H59)</f>
        <v>1</v>
      </c>
    </row>
    <row r="35" spans="1:9" s="75" customFormat="1" ht="14.25" thickBot="1" x14ac:dyDescent="0.25">
      <c r="A35" s="75">
        <v>66</v>
      </c>
      <c r="B35" s="75" t="str">
        <f t="shared" si="0"/>
        <v>B</v>
      </c>
      <c r="C35" s="75" t="s">
        <v>25</v>
      </c>
      <c r="F35" s="77">
        <f t="array" aca="1" ref="F35" ca="1">IFERROR(LARGE(ROW(INDIRECT($J$3&amp;":"&amp;$J$4))*NOT(COUNTIF($F$33:F34,ROW(INDIRECT($J$3&amp;":"&amp;$J$4)))),RANDBETWEEN(1,$J$4-$J$3-ROW(A2)+2)),"")</f>
        <v>87</v>
      </c>
      <c r="G35" s="78" t="str">
        <f t="shared" ref="G35:G59" ca="1" si="2">CHAR(F35)</f>
        <v>W</v>
      </c>
      <c r="H35" s="75">
        <f t="shared" ref="H35:H59" ca="1" si="3">IF(G35=B35,1,0)</f>
        <v>0</v>
      </c>
    </row>
    <row r="36" spans="1:9" s="75" customFormat="1" ht="14.25" thickBot="1" x14ac:dyDescent="0.25">
      <c r="A36" s="75">
        <v>67</v>
      </c>
      <c r="B36" s="75" t="str">
        <f t="shared" si="0"/>
        <v>C</v>
      </c>
      <c r="C36" s="75" t="s">
        <v>6</v>
      </c>
      <c r="F36" s="77">
        <f t="array" aca="1" ref="F36" ca="1">IFERROR(LARGE(ROW(INDIRECT($J$3&amp;":"&amp;$J$4))*NOT(COUNTIF($F$33:F35,ROW(INDIRECT($J$3&amp;":"&amp;$J$4)))),RANDBETWEEN(1,$J$4-$J$3-ROW(A3)+2)),"")</f>
        <v>66</v>
      </c>
      <c r="G36" s="78" t="str">
        <f t="shared" ca="1" si="2"/>
        <v>B</v>
      </c>
      <c r="H36" s="75">
        <f t="shared" ca="1" si="3"/>
        <v>0</v>
      </c>
    </row>
    <row r="37" spans="1:9" s="75" customFormat="1" ht="14.25" thickBot="1" x14ac:dyDescent="0.25">
      <c r="A37" s="75">
        <v>68</v>
      </c>
      <c r="B37" s="75" t="str">
        <f t="shared" si="0"/>
        <v>D</v>
      </c>
      <c r="C37" s="75" t="s">
        <v>14</v>
      </c>
      <c r="F37" s="77">
        <f t="array" aca="1" ref="F37" ca="1">IFERROR(LARGE(ROW(INDIRECT($J$3&amp;":"&amp;$J$4))*NOT(COUNTIF($F$33:F36,ROW(INDIRECT($J$3&amp;":"&amp;$J$4)))),RANDBETWEEN(1,$J$4-$J$3-ROW(A4)+2)),"")</f>
        <v>90</v>
      </c>
      <c r="G37" s="78" t="str">
        <f t="shared" ca="1" si="2"/>
        <v>Z</v>
      </c>
      <c r="H37" s="75">
        <f t="shared" ca="1" si="3"/>
        <v>0</v>
      </c>
    </row>
    <row r="38" spans="1:9" s="75" customFormat="1" ht="14.25" thickBot="1" x14ac:dyDescent="0.25">
      <c r="A38" s="75">
        <v>69</v>
      </c>
      <c r="B38" s="75" t="str">
        <f t="shared" ref="B38:B59" si="4">CHAR(A38)</f>
        <v>E</v>
      </c>
      <c r="C38" s="75" t="s">
        <v>12</v>
      </c>
      <c r="F38" s="77">
        <f t="array" aca="1" ref="F38" ca="1">IFERROR(LARGE(ROW(INDIRECT($J$3&amp;":"&amp;$J$4))*NOT(COUNTIF($F$33:F37,ROW(INDIRECT($J$3&amp;":"&amp;$J$4)))),RANDBETWEEN(1,$J$4-$J$3-ROW(A5)+2)),"")</f>
        <v>84</v>
      </c>
      <c r="G38" s="78" t="str">
        <f t="shared" ca="1" si="2"/>
        <v>T</v>
      </c>
      <c r="H38" s="75">
        <f t="shared" ca="1" si="3"/>
        <v>0</v>
      </c>
    </row>
    <row r="39" spans="1:9" s="75" customFormat="1" ht="14.25" thickBot="1" x14ac:dyDescent="0.25">
      <c r="A39" s="75">
        <v>70</v>
      </c>
      <c r="B39" s="75" t="str">
        <f t="shared" si="4"/>
        <v>F</v>
      </c>
      <c r="C39" s="75" t="s">
        <v>9</v>
      </c>
      <c r="F39" s="77">
        <f t="array" aca="1" ref="F39" ca="1">IFERROR(LARGE(ROW(INDIRECT($J$3&amp;":"&amp;$J$4))*NOT(COUNTIF($F$33:F38,ROW(INDIRECT($J$3&amp;":"&amp;$J$4)))),RANDBETWEEN(1,$J$4-$J$3-ROW(A6)+2)),"")</f>
        <v>68</v>
      </c>
      <c r="G39" s="78" t="str">
        <f t="shared" ca="1" si="2"/>
        <v>D</v>
      </c>
      <c r="H39" s="75">
        <f t="shared" ca="1" si="3"/>
        <v>0</v>
      </c>
    </row>
    <row r="40" spans="1:9" s="75" customFormat="1" ht="14.25" thickBot="1" x14ac:dyDescent="0.25">
      <c r="A40" s="75">
        <v>71</v>
      </c>
      <c r="B40" s="75" t="str">
        <f t="shared" si="4"/>
        <v>G</v>
      </c>
      <c r="C40" s="75" t="s">
        <v>4</v>
      </c>
      <c r="F40" s="77">
        <f t="array" aca="1" ref="F40" ca="1">IFERROR(LARGE(ROW(INDIRECT($J$3&amp;":"&amp;$J$4))*NOT(COUNTIF($F$33:F39,ROW(INDIRECT($J$3&amp;":"&amp;$J$4)))),RANDBETWEEN(1,$J$4-$J$3-ROW(A7)+2)),"")</f>
        <v>74</v>
      </c>
      <c r="G40" s="78" t="str">
        <f t="shared" ca="1" si="2"/>
        <v>J</v>
      </c>
      <c r="H40" s="75">
        <f t="shared" ca="1" si="3"/>
        <v>0</v>
      </c>
    </row>
    <row r="41" spans="1:9" s="75" customFormat="1" ht="14.25" thickBot="1" x14ac:dyDescent="0.25">
      <c r="A41" s="75">
        <v>72</v>
      </c>
      <c r="B41" s="75" t="str">
        <f t="shared" si="4"/>
        <v>H</v>
      </c>
      <c r="C41" s="75" t="s">
        <v>21</v>
      </c>
      <c r="F41" s="77">
        <f t="array" aca="1" ref="F41" ca="1">IFERROR(LARGE(ROW(INDIRECT($J$3&amp;":"&amp;$J$4))*NOT(COUNTIF($F$33:F40,ROW(INDIRECT($J$3&amp;":"&amp;$J$4)))),RANDBETWEEN(1,$J$4-$J$3-ROW(A8)+2)),"")</f>
        <v>75</v>
      </c>
      <c r="G41" s="78" t="str">
        <f t="shared" ca="1" si="2"/>
        <v>K</v>
      </c>
      <c r="H41" s="75">
        <f t="shared" ca="1" si="3"/>
        <v>0</v>
      </c>
    </row>
    <row r="42" spans="1:9" s="75" customFormat="1" ht="14.25" thickBot="1" x14ac:dyDescent="0.25">
      <c r="A42" s="75">
        <v>73</v>
      </c>
      <c r="B42" s="75" t="str">
        <f t="shared" si="4"/>
        <v>I</v>
      </c>
      <c r="C42" s="75" t="s">
        <v>24</v>
      </c>
      <c r="F42" s="77">
        <f t="array" aca="1" ref="F42" ca="1">IFERROR(LARGE(ROW(INDIRECT($J$3&amp;":"&amp;$J$4))*NOT(COUNTIF($F$33:F41,ROW(INDIRECT($J$3&amp;":"&amp;$J$4)))),RANDBETWEEN(1,$J$4-$J$3-ROW(A9)+2)),"")</f>
        <v>88</v>
      </c>
      <c r="G42" s="78" t="str">
        <f t="shared" ca="1" si="2"/>
        <v>X</v>
      </c>
      <c r="H42" s="75">
        <f t="shared" ca="1" si="3"/>
        <v>0</v>
      </c>
    </row>
    <row r="43" spans="1:9" s="75" customFormat="1" ht="14.25" thickBot="1" x14ac:dyDescent="0.25">
      <c r="A43" s="75">
        <v>74</v>
      </c>
      <c r="B43" s="75" t="str">
        <f t="shared" si="4"/>
        <v>J</v>
      </c>
      <c r="C43" s="75" t="s">
        <v>26</v>
      </c>
      <c r="F43" s="77">
        <f t="array" aca="1" ref="F43" ca="1">IFERROR(LARGE(ROW(INDIRECT($J$3&amp;":"&amp;$J$4))*NOT(COUNTIF($F$33:F42,ROW(INDIRECT($J$3&amp;":"&amp;$J$4)))),RANDBETWEEN(1,$J$4-$J$3-ROW(A10)+2)),"")</f>
        <v>79</v>
      </c>
      <c r="G43" s="78" t="str">
        <f t="shared" ca="1" si="2"/>
        <v>O</v>
      </c>
      <c r="H43" s="75">
        <f t="shared" ca="1" si="3"/>
        <v>0</v>
      </c>
    </row>
    <row r="44" spans="1:9" s="75" customFormat="1" ht="14.25" thickBot="1" x14ac:dyDescent="0.25">
      <c r="A44" s="75">
        <v>75</v>
      </c>
      <c r="B44" s="75" t="str">
        <f t="shared" si="4"/>
        <v>K</v>
      </c>
      <c r="C44" s="75" t="s">
        <v>10</v>
      </c>
      <c r="F44" s="77">
        <f t="array" aca="1" ref="F44" ca="1">IFERROR(LARGE(ROW(INDIRECT($J$3&amp;":"&amp;$J$4))*NOT(COUNTIF($F$33:F43,ROW(INDIRECT($J$3&amp;":"&amp;$J$4)))),RANDBETWEEN(1,$J$4-$J$3-ROW(A11)+2)),"")</f>
        <v>81</v>
      </c>
      <c r="G44" s="78" t="str">
        <f t="shared" ca="1" si="2"/>
        <v>Q</v>
      </c>
      <c r="H44" s="75">
        <f t="shared" ca="1" si="3"/>
        <v>0</v>
      </c>
    </row>
    <row r="45" spans="1:9" s="75" customFormat="1" ht="14.25" thickBot="1" x14ac:dyDescent="0.25">
      <c r="A45" s="75">
        <v>76</v>
      </c>
      <c r="B45" s="75" t="str">
        <f t="shared" si="4"/>
        <v>L</v>
      </c>
      <c r="C45" s="75" t="s">
        <v>16</v>
      </c>
      <c r="F45" s="77">
        <f t="array" aca="1" ref="F45" ca="1">IFERROR(LARGE(ROW(INDIRECT($J$3&amp;":"&amp;$J$4))*NOT(COUNTIF($F$33:F44,ROW(INDIRECT($J$3&amp;":"&amp;$J$4)))),RANDBETWEEN(1,$J$4-$J$3-ROW(A12)+2)),"")</f>
        <v>69</v>
      </c>
      <c r="G45" s="78" t="str">
        <f t="shared" ca="1" si="2"/>
        <v>E</v>
      </c>
      <c r="H45" s="75">
        <f t="shared" ca="1" si="3"/>
        <v>0</v>
      </c>
    </row>
    <row r="46" spans="1:9" s="75" customFormat="1" ht="14.25" thickBot="1" x14ac:dyDescent="0.25">
      <c r="A46" s="75">
        <v>77</v>
      </c>
      <c r="B46" s="75" t="str">
        <f t="shared" si="4"/>
        <v>M</v>
      </c>
      <c r="C46" s="75" t="s">
        <v>11</v>
      </c>
      <c r="F46" s="77">
        <f t="array" aca="1" ref="F46" ca="1">IFERROR(LARGE(ROW(INDIRECT($J$3&amp;":"&amp;$J$4))*NOT(COUNTIF($F$33:F45,ROW(INDIRECT($J$3&amp;":"&amp;$J$4)))),RANDBETWEEN(1,$J$4-$J$3-ROW(A13)+2)),"")</f>
        <v>82</v>
      </c>
      <c r="G46" s="78" t="str">
        <f t="shared" ca="1" si="2"/>
        <v>R</v>
      </c>
      <c r="H46" s="75">
        <f t="shared" ca="1" si="3"/>
        <v>0</v>
      </c>
    </row>
    <row r="47" spans="1:9" s="75" customFormat="1" ht="14.25" thickBot="1" x14ac:dyDescent="0.25">
      <c r="A47" s="75">
        <v>78</v>
      </c>
      <c r="B47" s="75" t="str">
        <f t="shared" si="4"/>
        <v>N</v>
      </c>
      <c r="C47" s="75" t="s">
        <v>28</v>
      </c>
      <c r="F47" s="77">
        <f t="array" aca="1" ref="F47" ca="1">IFERROR(LARGE(ROW(INDIRECT($J$3&amp;":"&amp;$J$4))*NOT(COUNTIF($F$33:F46,ROW(INDIRECT($J$3&amp;":"&amp;$J$4)))),RANDBETWEEN(1,$J$4-$J$3-ROW(A14)+2)),"")</f>
        <v>86</v>
      </c>
      <c r="G47" s="78" t="str">
        <f t="shared" ca="1" si="2"/>
        <v>V</v>
      </c>
      <c r="H47" s="75">
        <f t="shared" ca="1" si="3"/>
        <v>0</v>
      </c>
    </row>
    <row r="48" spans="1:9" s="75" customFormat="1" ht="14.25" thickBot="1" x14ac:dyDescent="0.25">
      <c r="A48" s="75">
        <v>79</v>
      </c>
      <c r="B48" s="75" t="str">
        <f t="shared" si="4"/>
        <v>O</v>
      </c>
      <c r="C48" s="75" t="s">
        <v>7</v>
      </c>
      <c r="F48" s="77">
        <f t="array" aca="1" ref="F48" ca="1">IFERROR(LARGE(ROW(INDIRECT($J$3&amp;":"&amp;$J$4))*NOT(COUNTIF($F$33:F47,ROW(INDIRECT($J$3&amp;":"&amp;$J$4)))),RANDBETWEEN(1,$J$4-$J$3-ROW(A15)+2)),"")</f>
        <v>70</v>
      </c>
      <c r="G48" s="78" t="str">
        <f t="shared" ca="1" si="2"/>
        <v>F</v>
      </c>
      <c r="H48" s="75">
        <f t="shared" ca="1" si="3"/>
        <v>0</v>
      </c>
    </row>
    <row r="49" spans="1:8" s="75" customFormat="1" ht="14.25" thickBot="1" x14ac:dyDescent="0.25">
      <c r="A49" s="75">
        <v>80</v>
      </c>
      <c r="B49" s="75" t="str">
        <f t="shared" si="4"/>
        <v>P</v>
      </c>
      <c r="C49" s="75" t="s">
        <v>15</v>
      </c>
      <c r="F49" s="77">
        <f t="array" aca="1" ref="F49" ca="1">IFERROR(LARGE(ROW(INDIRECT($J$3&amp;":"&amp;$J$4))*NOT(COUNTIF($F$33:F48,ROW(INDIRECT($J$3&amp;":"&amp;$J$4)))),RANDBETWEEN(1,$J$4-$J$3-ROW(A16)+2)),"")</f>
        <v>85</v>
      </c>
      <c r="G49" s="78" t="str">
        <f t="shared" ca="1" si="2"/>
        <v>U</v>
      </c>
      <c r="H49" s="75">
        <f t="shared" ca="1" si="3"/>
        <v>0</v>
      </c>
    </row>
    <row r="50" spans="1:8" s="75" customFormat="1" ht="14.25" thickBot="1" x14ac:dyDescent="0.25">
      <c r="A50" s="75">
        <v>81</v>
      </c>
      <c r="B50" s="75" t="str">
        <f t="shared" si="4"/>
        <v>Q</v>
      </c>
      <c r="C50" s="75" t="s">
        <v>27</v>
      </c>
      <c r="F50" s="77">
        <f t="array" aca="1" ref="F50" ca="1">IFERROR(LARGE(ROW(INDIRECT($J$3&amp;":"&amp;$J$4))*NOT(COUNTIF($F$33:F49,ROW(INDIRECT($J$3&amp;":"&amp;$J$4)))),RANDBETWEEN(1,$J$4-$J$3-ROW(A17)+2)),"")</f>
        <v>83</v>
      </c>
      <c r="G50" s="78" t="str">
        <f t="shared" ca="1" si="2"/>
        <v>S</v>
      </c>
      <c r="H50" s="75">
        <f t="shared" ca="1" si="3"/>
        <v>0</v>
      </c>
    </row>
    <row r="51" spans="1:8" s="75" customFormat="1" ht="14.25" thickBot="1" x14ac:dyDescent="0.25">
      <c r="A51" s="75">
        <v>82</v>
      </c>
      <c r="B51" s="75" t="str">
        <f t="shared" si="4"/>
        <v>R</v>
      </c>
      <c r="C51" s="75" t="s">
        <v>13</v>
      </c>
      <c r="F51" s="77">
        <f t="array" aca="1" ref="F51" ca="1">IFERROR(LARGE(ROW(INDIRECT($J$3&amp;":"&amp;$J$4))*NOT(COUNTIF($F$33:F50,ROW(INDIRECT($J$3&amp;":"&amp;$J$4)))),RANDBETWEEN(1,$J$4-$J$3-ROW(A18)+2)),"")</f>
        <v>78</v>
      </c>
      <c r="G51" s="78" t="str">
        <f t="shared" ca="1" si="2"/>
        <v>N</v>
      </c>
      <c r="H51" s="75">
        <f t="shared" ca="1" si="3"/>
        <v>0</v>
      </c>
    </row>
    <row r="52" spans="1:8" s="75" customFormat="1" ht="14.25" thickBot="1" x14ac:dyDescent="0.25">
      <c r="A52" s="75">
        <v>83</v>
      </c>
      <c r="B52" s="75" t="str">
        <f t="shared" si="4"/>
        <v>S</v>
      </c>
      <c r="C52" s="75" t="s">
        <v>5</v>
      </c>
      <c r="F52" s="77">
        <f t="array" aca="1" ref="F52" ca="1">IFERROR(LARGE(ROW(INDIRECT($J$3&amp;":"&amp;$J$4))*NOT(COUNTIF($F$33:F51,ROW(INDIRECT($J$3&amp;":"&amp;$J$4)))),RANDBETWEEN(1,$J$4-$J$3-ROW(A19)+2)),"")</f>
        <v>77</v>
      </c>
      <c r="G52" s="78" t="str">
        <f t="shared" ca="1" si="2"/>
        <v>M</v>
      </c>
      <c r="H52" s="75">
        <f t="shared" ca="1" si="3"/>
        <v>0</v>
      </c>
    </row>
    <row r="53" spans="1:8" s="75" customFormat="1" ht="14.25" thickBot="1" x14ac:dyDescent="0.25">
      <c r="A53" s="75">
        <v>84</v>
      </c>
      <c r="B53" s="75" t="str">
        <f t="shared" si="4"/>
        <v>T</v>
      </c>
      <c r="C53" s="75" t="s">
        <v>22</v>
      </c>
      <c r="F53" s="77">
        <f t="array" aca="1" ref="F53" ca="1">IFERROR(LARGE(ROW(INDIRECT($J$3&amp;":"&amp;$J$4))*NOT(COUNTIF($F$33:F52,ROW(INDIRECT($J$3&amp;":"&amp;$J$4)))),RANDBETWEEN(1,$J$4-$J$3-ROW(A20)+2)),"")</f>
        <v>76</v>
      </c>
      <c r="G53" s="78" t="str">
        <f t="shared" ca="1" si="2"/>
        <v>L</v>
      </c>
      <c r="H53" s="75">
        <f t="shared" ca="1" si="3"/>
        <v>0</v>
      </c>
    </row>
    <row r="54" spans="1:8" s="75" customFormat="1" ht="14.25" thickBot="1" x14ac:dyDescent="0.25">
      <c r="A54" s="75">
        <v>85</v>
      </c>
      <c r="B54" s="75" t="str">
        <f t="shared" si="4"/>
        <v>U</v>
      </c>
      <c r="C54" s="75" t="s">
        <v>20</v>
      </c>
      <c r="F54" s="77">
        <f t="array" aca="1" ref="F54" ca="1">IFERROR(LARGE(ROW(INDIRECT($J$3&amp;":"&amp;$J$4))*NOT(COUNTIF($F$33:F53,ROW(INDIRECT($J$3&amp;":"&amp;$J$4)))),RANDBETWEEN(1,$J$4-$J$3-ROW(A21)+2)),"")</f>
        <v>89</v>
      </c>
      <c r="G54" s="78" t="str">
        <f t="shared" ca="1" si="2"/>
        <v>Y</v>
      </c>
      <c r="H54" s="75">
        <f t="shared" ca="1" si="3"/>
        <v>0</v>
      </c>
    </row>
    <row r="55" spans="1:8" s="75" customFormat="1" ht="14.25" thickBot="1" x14ac:dyDescent="0.25">
      <c r="A55" s="75">
        <v>86</v>
      </c>
      <c r="B55" s="75" t="str">
        <f t="shared" si="4"/>
        <v>V</v>
      </c>
      <c r="C55" s="75" t="s">
        <v>23</v>
      </c>
      <c r="F55" s="77">
        <f t="array" aca="1" ref="F55" ca="1">IFERROR(LARGE(ROW(INDIRECT($J$3&amp;":"&amp;$J$4))*NOT(COUNTIF($F$33:F54,ROW(INDIRECT($J$3&amp;":"&amp;$J$4)))),RANDBETWEEN(1,$J$4-$J$3-ROW(A22)+2)),"")</f>
        <v>72</v>
      </c>
      <c r="G55" s="78" t="str">
        <f t="shared" ca="1" si="2"/>
        <v>H</v>
      </c>
      <c r="H55" s="75">
        <f t="shared" ca="1" si="3"/>
        <v>0</v>
      </c>
    </row>
    <row r="56" spans="1:8" s="75" customFormat="1" ht="14.25" thickBot="1" x14ac:dyDescent="0.25">
      <c r="A56" s="75">
        <v>87</v>
      </c>
      <c r="B56" s="75" t="str">
        <f t="shared" si="4"/>
        <v>W</v>
      </c>
      <c r="C56" s="75" t="s">
        <v>18</v>
      </c>
      <c r="F56" s="77">
        <f t="array" aca="1" ref="F56" ca="1">IFERROR(LARGE(ROW(INDIRECT($J$3&amp;":"&amp;$J$4))*NOT(COUNTIF($F$33:F55,ROW(INDIRECT($J$3&amp;":"&amp;$J$4)))),RANDBETWEEN(1,$J$4-$J$3-ROW(A23)+2)),"")</f>
        <v>67</v>
      </c>
      <c r="G56" s="78" t="str">
        <f t="shared" ca="1" si="2"/>
        <v>C</v>
      </c>
      <c r="H56" s="75">
        <f t="shared" ca="1" si="3"/>
        <v>0</v>
      </c>
    </row>
    <row r="57" spans="1:8" s="75" customFormat="1" ht="14.25" thickBot="1" x14ac:dyDescent="0.25">
      <c r="A57" s="75">
        <v>88</v>
      </c>
      <c r="B57" s="75" t="str">
        <f t="shared" si="4"/>
        <v>X</v>
      </c>
      <c r="C57" s="75" t="s">
        <v>8</v>
      </c>
      <c r="F57" s="77">
        <f t="array" aca="1" ref="F57" ca="1">IFERROR(LARGE(ROW(INDIRECT($J$3&amp;":"&amp;$J$4))*NOT(COUNTIF($F$33:F56,ROW(INDIRECT($J$3&amp;":"&amp;$J$4)))),RANDBETWEEN(1,$J$4-$J$3-ROW(A24)+2)),"")</f>
        <v>71</v>
      </c>
      <c r="G57" s="78" t="str">
        <f t="shared" ca="1" si="2"/>
        <v>G</v>
      </c>
      <c r="H57" s="75">
        <f t="shared" ca="1" si="3"/>
        <v>0</v>
      </c>
    </row>
    <row r="58" spans="1:8" s="75" customFormat="1" ht="14.25" thickBot="1" x14ac:dyDescent="0.25">
      <c r="A58" s="75">
        <v>89</v>
      </c>
      <c r="B58" s="75" t="str">
        <f t="shared" si="4"/>
        <v>Y</v>
      </c>
      <c r="C58" s="75" t="s">
        <v>29</v>
      </c>
      <c r="F58" s="77">
        <f t="array" aca="1" ref="F58" ca="1">IFERROR(LARGE(ROW(INDIRECT($J$3&amp;":"&amp;$J$4))*NOT(COUNTIF($F$33:F57,ROW(INDIRECT($J$3&amp;":"&amp;$J$4)))),RANDBETWEEN(1,$J$4-$J$3-ROW(A25)+2)),"")</f>
        <v>80</v>
      </c>
      <c r="G58" s="78" t="str">
        <f t="shared" ca="1" si="2"/>
        <v>P</v>
      </c>
      <c r="H58" s="75">
        <f t="shared" ca="1" si="3"/>
        <v>0</v>
      </c>
    </row>
    <row r="59" spans="1:8" s="75" customFormat="1" ht="14.25" thickBot="1" x14ac:dyDescent="0.25">
      <c r="A59" s="75">
        <v>90</v>
      </c>
      <c r="B59" s="75" t="str">
        <f t="shared" si="4"/>
        <v>Z</v>
      </c>
      <c r="C59" s="75" t="s">
        <v>17</v>
      </c>
      <c r="F59" s="77">
        <f t="array" aca="1" ref="F59" ca="1">IFERROR(LARGE(ROW(INDIRECT($J$3&amp;":"&amp;$J$4))*NOT(COUNTIF($F$33:F58,ROW(INDIRECT($J$3&amp;":"&amp;$J$4)))),RANDBETWEEN(1,$J$4-$J$3-ROW(A26)+2)),"")</f>
        <v>73</v>
      </c>
      <c r="G59" s="78" t="str">
        <f t="shared" ca="1" si="2"/>
        <v>I</v>
      </c>
      <c r="H59" s="75">
        <f t="shared" ca="1" si="3"/>
        <v>0</v>
      </c>
    </row>
  </sheetData>
  <sortState ref="A2:F36">
    <sortCondition ref="A2"/>
  </sortState>
  <mergeCells count="1">
    <mergeCell ref="I2:J2"/>
  </mergeCells>
  <conditionalFormatting sqref="G34:G59">
    <cfRule type="cellIs" dxfId="20" priority="1" operator="equal">
      <formula>$B34</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LockSubstitutionCodes">
                <anchor moveWithCells="1" sizeWithCells="1">
                  <from>
                    <xdr:col>11</xdr:col>
                    <xdr:colOff>485775</xdr:colOff>
                    <xdr:row>5</xdr:row>
                    <xdr:rowOff>0</xdr:rowOff>
                  </from>
                  <to>
                    <xdr:col>15</xdr:col>
                    <xdr:colOff>133350</xdr:colOff>
                    <xdr:row>12</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F82F4-A181-4142-B738-92A4481DA507}">
  <sheetPr codeName="Sheet4"/>
  <dimension ref="A1:AH606"/>
  <sheetViews>
    <sheetView topLeftCell="A22" workbookViewId="0">
      <selection activeCell="B45" sqref="B45"/>
    </sheetView>
  </sheetViews>
  <sheetFormatPr defaultRowHeight="12.75" x14ac:dyDescent="0.2"/>
  <cols>
    <col min="1" max="1" width="10.28515625" customWidth="1"/>
    <col min="2" max="2" width="24.28515625" customWidth="1"/>
    <col min="4" max="4" width="12.85546875" customWidth="1"/>
    <col min="6" max="9" width="4.42578125" customWidth="1"/>
    <col min="10" max="11" width="4.28515625" customWidth="1"/>
    <col min="12" max="12" width="4.5703125" customWidth="1"/>
    <col min="13" max="13" width="4.42578125" customWidth="1"/>
    <col min="14" max="14" width="3.7109375" customWidth="1"/>
    <col min="15" max="15" width="4.140625" customWidth="1"/>
    <col min="16" max="16" width="4.42578125" customWidth="1"/>
    <col min="17" max="17" width="4.28515625" customWidth="1"/>
    <col min="18" max="18" width="4.7109375" customWidth="1"/>
    <col min="19" max="19" width="4.42578125" customWidth="1"/>
    <col min="20" max="20" width="4.5703125" customWidth="1"/>
    <col min="21" max="21" width="4.42578125" customWidth="1"/>
    <col min="22" max="22" width="4.5703125" customWidth="1"/>
    <col min="23" max="24" width="4.42578125" customWidth="1"/>
    <col min="25" max="25" width="4.28515625" customWidth="1"/>
    <col min="26" max="27" width="4.42578125" customWidth="1"/>
    <col min="28" max="28" width="5" customWidth="1"/>
    <col min="29" max="29" width="4.42578125" customWidth="1"/>
    <col min="30" max="30" width="4.28515625" customWidth="1"/>
    <col min="31" max="31" width="4.140625" customWidth="1"/>
    <col min="32" max="32" width="16" style="56" customWidth="1"/>
    <col min="33" max="33" width="23" style="56" customWidth="1"/>
    <col min="34" max="34" width="18.28515625" customWidth="1"/>
  </cols>
  <sheetData>
    <row r="1" spans="1:34" x14ac:dyDescent="0.2">
      <c r="A1" t="s">
        <v>65</v>
      </c>
      <c r="B1" t="s">
        <v>64</v>
      </c>
      <c r="C1" s="46" t="s">
        <v>640</v>
      </c>
      <c r="D1" t="s">
        <v>66</v>
      </c>
      <c r="E1" s="46" t="s">
        <v>37</v>
      </c>
      <c r="F1" s="46" t="s">
        <v>7</v>
      </c>
      <c r="G1" s="46" t="s">
        <v>5</v>
      </c>
      <c r="H1" s="46" t="s">
        <v>18</v>
      </c>
      <c r="I1" s="46" t="s">
        <v>8</v>
      </c>
      <c r="J1" s="46" t="s">
        <v>4</v>
      </c>
      <c r="K1" s="46" t="s">
        <v>13</v>
      </c>
      <c r="L1" s="46" t="s">
        <v>19</v>
      </c>
      <c r="M1" s="46" t="s">
        <v>20</v>
      </c>
      <c r="N1" s="46" t="s">
        <v>16</v>
      </c>
      <c r="O1" s="46" t="s">
        <v>21</v>
      </c>
      <c r="P1" s="46" t="s">
        <v>22</v>
      </c>
      <c r="Q1" s="46" t="s">
        <v>9</v>
      </c>
      <c r="R1" s="46" t="s">
        <v>10</v>
      </c>
      <c r="S1" s="46" t="s">
        <v>23</v>
      </c>
      <c r="T1" s="46" t="s">
        <v>17</v>
      </c>
      <c r="U1" s="46" t="s">
        <v>24</v>
      </c>
      <c r="V1" s="46" t="s">
        <v>25</v>
      </c>
      <c r="W1" s="46" t="s">
        <v>14</v>
      </c>
      <c r="X1" s="46" t="s">
        <v>12</v>
      </c>
      <c r="Y1" s="46" t="s">
        <v>15</v>
      </c>
      <c r="Z1" s="46" t="s">
        <v>6</v>
      </c>
      <c r="AA1" s="46" t="s">
        <v>26</v>
      </c>
      <c r="AB1" s="46" t="s">
        <v>27</v>
      </c>
      <c r="AC1" s="46" t="s">
        <v>28</v>
      </c>
      <c r="AD1" s="46" t="s">
        <v>11</v>
      </c>
      <c r="AE1" s="46" t="s">
        <v>29</v>
      </c>
      <c r="AF1" s="58" t="s">
        <v>628</v>
      </c>
      <c r="AG1" s="58" t="s">
        <v>629</v>
      </c>
      <c r="AH1" s="46" t="s">
        <v>630</v>
      </c>
    </row>
    <row r="2" spans="1:34" ht="15" x14ac:dyDescent="0.2">
      <c r="A2">
        <v>272</v>
      </c>
      <c r="B2" s="57" t="s">
        <v>334</v>
      </c>
      <c r="C2" s="57"/>
      <c r="D2">
        <f t="shared" ref="D2:D65" si="0">LEN(B2)</f>
        <v>607</v>
      </c>
      <c r="E2" s="1">
        <f t="shared" ref="E2:E65" si="1">IF(LEN(TRIM(B2))=0,0,LEN(TRIM(B2))-LEN(SUBSTITUTE(B2," ",""))+1)</f>
        <v>101</v>
      </c>
      <c r="F2">
        <f t="shared" ref="F2:O11" si="2">LEN($B2)-LEN(SUBSTITUTE($B2,F$1,""))</f>
        <v>42</v>
      </c>
      <c r="G2">
        <f t="shared" si="2"/>
        <v>7</v>
      </c>
      <c r="H2">
        <f t="shared" si="2"/>
        <v>12</v>
      </c>
      <c r="I2">
        <f t="shared" si="2"/>
        <v>7</v>
      </c>
      <c r="J2">
        <f t="shared" si="2"/>
        <v>51</v>
      </c>
      <c r="K2">
        <f t="shared" si="2"/>
        <v>8</v>
      </c>
      <c r="L2">
        <f t="shared" si="2"/>
        <v>18</v>
      </c>
      <c r="M2">
        <f t="shared" si="2"/>
        <v>29</v>
      </c>
      <c r="N2">
        <f t="shared" si="2"/>
        <v>37</v>
      </c>
      <c r="O2">
        <f t="shared" si="2"/>
        <v>0</v>
      </c>
      <c r="P2">
        <f t="shared" ref="P2:Y11" si="3">LEN($B2)-LEN(SUBSTITUTE($B2,P$1,""))</f>
        <v>5</v>
      </c>
      <c r="Q2">
        <f t="shared" si="3"/>
        <v>16</v>
      </c>
      <c r="R2">
        <f t="shared" si="3"/>
        <v>18</v>
      </c>
      <c r="S2">
        <f t="shared" si="3"/>
        <v>34</v>
      </c>
      <c r="T2">
        <f t="shared" si="3"/>
        <v>45</v>
      </c>
      <c r="U2">
        <f t="shared" si="3"/>
        <v>11</v>
      </c>
      <c r="V2">
        <f t="shared" si="3"/>
        <v>0</v>
      </c>
      <c r="W2">
        <f t="shared" si="3"/>
        <v>38</v>
      </c>
      <c r="X2">
        <f t="shared" si="3"/>
        <v>32</v>
      </c>
      <c r="Y2">
        <f t="shared" si="3"/>
        <v>38</v>
      </c>
      <c r="Z2">
        <f t="shared" ref="Z2:AE11" si="4">LEN($B2)-LEN(SUBSTITUTE($B2,Z$1,""))</f>
        <v>17</v>
      </c>
      <c r="AA2">
        <f t="shared" si="4"/>
        <v>4</v>
      </c>
      <c r="AB2">
        <f t="shared" si="4"/>
        <v>4</v>
      </c>
      <c r="AC2">
        <f t="shared" si="4"/>
        <v>3</v>
      </c>
      <c r="AD2">
        <f t="shared" si="4"/>
        <v>11</v>
      </c>
      <c r="AE2">
        <f t="shared" si="4"/>
        <v>1</v>
      </c>
      <c r="AF2" s="56">
        <f t="shared" ref="AF2:AF65" si="5">26-COUNTIF(F2:AE2,0)</f>
        <v>24</v>
      </c>
      <c r="AG2" s="59">
        <f t="shared" ref="AG2:AG65" si="6">D2/E2</f>
        <v>6.0099009900990099</v>
      </c>
      <c r="AH2">
        <f t="shared" ref="AH2:AH65" si="7">AG2/AF2</f>
        <v>0.25041254125412543</v>
      </c>
    </row>
    <row r="3" spans="1:34" ht="15" x14ac:dyDescent="0.2">
      <c r="A3">
        <v>391</v>
      </c>
      <c r="B3" s="57" t="s">
        <v>443</v>
      </c>
      <c r="C3" s="57"/>
      <c r="D3">
        <f t="shared" si="0"/>
        <v>563</v>
      </c>
      <c r="E3" s="1">
        <f t="shared" si="1"/>
        <v>86</v>
      </c>
      <c r="F3">
        <f t="shared" si="2"/>
        <v>21</v>
      </c>
      <c r="G3">
        <f t="shared" si="2"/>
        <v>2</v>
      </c>
      <c r="H3">
        <f t="shared" si="2"/>
        <v>13</v>
      </c>
      <c r="I3">
        <f t="shared" si="2"/>
        <v>14</v>
      </c>
      <c r="J3">
        <f t="shared" si="2"/>
        <v>77</v>
      </c>
      <c r="K3">
        <f t="shared" si="2"/>
        <v>4</v>
      </c>
      <c r="L3">
        <f t="shared" si="2"/>
        <v>2</v>
      </c>
      <c r="M3">
        <f t="shared" si="2"/>
        <v>4</v>
      </c>
      <c r="N3">
        <f t="shared" si="2"/>
        <v>26</v>
      </c>
      <c r="O3">
        <f t="shared" si="2"/>
        <v>1</v>
      </c>
      <c r="P3">
        <f t="shared" si="3"/>
        <v>0</v>
      </c>
      <c r="Q3">
        <f t="shared" si="3"/>
        <v>21</v>
      </c>
      <c r="R3">
        <f t="shared" si="3"/>
        <v>14</v>
      </c>
      <c r="S3">
        <f t="shared" si="3"/>
        <v>35</v>
      </c>
      <c r="T3">
        <f t="shared" si="3"/>
        <v>30</v>
      </c>
      <c r="U3">
        <f t="shared" si="3"/>
        <v>11</v>
      </c>
      <c r="V3">
        <f t="shared" si="3"/>
        <v>4</v>
      </c>
      <c r="W3">
        <f t="shared" si="3"/>
        <v>32</v>
      </c>
      <c r="X3">
        <f t="shared" si="3"/>
        <v>34</v>
      </c>
      <c r="Y3">
        <f t="shared" si="3"/>
        <v>30</v>
      </c>
      <c r="Z3">
        <f t="shared" si="4"/>
        <v>33</v>
      </c>
      <c r="AA3">
        <f t="shared" si="4"/>
        <v>16</v>
      </c>
      <c r="AB3">
        <f t="shared" si="4"/>
        <v>0</v>
      </c>
      <c r="AC3">
        <f t="shared" si="4"/>
        <v>3</v>
      </c>
      <c r="AD3">
        <f t="shared" si="4"/>
        <v>0</v>
      </c>
      <c r="AE3">
        <f t="shared" si="4"/>
        <v>6</v>
      </c>
      <c r="AF3" s="56">
        <f t="shared" si="5"/>
        <v>23</v>
      </c>
      <c r="AG3" s="59">
        <f t="shared" si="6"/>
        <v>6.5465116279069768</v>
      </c>
      <c r="AH3">
        <f t="shared" si="7"/>
        <v>0.28463094034378161</v>
      </c>
    </row>
    <row r="4" spans="1:34" ht="15" x14ac:dyDescent="0.2">
      <c r="A4">
        <v>386</v>
      </c>
      <c r="B4" s="57" t="s">
        <v>651</v>
      </c>
      <c r="C4" s="57"/>
      <c r="D4">
        <f t="shared" si="0"/>
        <v>515</v>
      </c>
      <c r="E4" s="1">
        <f t="shared" si="1"/>
        <v>87</v>
      </c>
      <c r="F4">
        <f t="shared" si="2"/>
        <v>28</v>
      </c>
      <c r="G4">
        <f t="shared" si="2"/>
        <v>6</v>
      </c>
      <c r="H4">
        <f t="shared" si="2"/>
        <v>15</v>
      </c>
      <c r="I4">
        <f t="shared" si="2"/>
        <v>10</v>
      </c>
      <c r="J4">
        <f t="shared" si="2"/>
        <v>56</v>
      </c>
      <c r="K4">
        <f t="shared" si="2"/>
        <v>8</v>
      </c>
      <c r="L4">
        <f t="shared" si="2"/>
        <v>9</v>
      </c>
      <c r="M4">
        <f t="shared" si="2"/>
        <v>13</v>
      </c>
      <c r="N4">
        <f t="shared" si="2"/>
        <v>30</v>
      </c>
      <c r="O4">
        <f t="shared" si="2"/>
        <v>1</v>
      </c>
      <c r="P4">
        <f t="shared" si="3"/>
        <v>1</v>
      </c>
      <c r="Q4">
        <f t="shared" si="3"/>
        <v>20</v>
      </c>
      <c r="R4">
        <f t="shared" si="3"/>
        <v>12</v>
      </c>
      <c r="S4">
        <f t="shared" si="3"/>
        <v>30</v>
      </c>
      <c r="T4">
        <f t="shared" si="3"/>
        <v>34</v>
      </c>
      <c r="U4">
        <f t="shared" si="3"/>
        <v>8</v>
      </c>
      <c r="V4">
        <f t="shared" si="3"/>
        <v>0</v>
      </c>
      <c r="W4">
        <f t="shared" si="3"/>
        <v>29</v>
      </c>
      <c r="X4">
        <f t="shared" si="3"/>
        <v>30</v>
      </c>
      <c r="Y4">
        <f t="shared" si="3"/>
        <v>41</v>
      </c>
      <c r="Z4">
        <f t="shared" si="4"/>
        <v>10</v>
      </c>
      <c r="AA4">
        <f t="shared" si="4"/>
        <v>7</v>
      </c>
      <c r="AB4">
        <f t="shared" si="4"/>
        <v>5</v>
      </c>
      <c r="AC4">
        <f t="shared" si="4"/>
        <v>3</v>
      </c>
      <c r="AD4">
        <f t="shared" si="4"/>
        <v>7</v>
      </c>
      <c r="AE4">
        <f t="shared" si="4"/>
        <v>0</v>
      </c>
      <c r="AF4" s="56">
        <f t="shared" si="5"/>
        <v>24</v>
      </c>
      <c r="AG4" s="59">
        <f t="shared" si="6"/>
        <v>5.9195402298850572</v>
      </c>
      <c r="AH4">
        <f t="shared" si="7"/>
        <v>0.24664750957854406</v>
      </c>
    </row>
    <row r="5" spans="1:34" ht="15" x14ac:dyDescent="0.2">
      <c r="A5">
        <v>359</v>
      </c>
      <c r="B5" s="57" t="s">
        <v>418</v>
      </c>
      <c r="C5" s="57"/>
      <c r="D5">
        <f t="shared" si="0"/>
        <v>499</v>
      </c>
      <c r="E5" s="1">
        <f t="shared" si="1"/>
        <v>94</v>
      </c>
      <c r="F5">
        <f t="shared" si="2"/>
        <v>36</v>
      </c>
      <c r="G5">
        <f t="shared" si="2"/>
        <v>4</v>
      </c>
      <c r="H5">
        <f t="shared" si="2"/>
        <v>6</v>
      </c>
      <c r="I5">
        <f t="shared" si="2"/>
        <v>15</v>
      </c>
      <c r="J5">
        <f t="shared" si="2"/>
        <v>46</v>
      </c>
      <c r="K5">
        <f t="shared" si="2"/>
        <v>13</v>
      </c>
      <c r="L5">
        <f t="shared" si="2"/>
        <v>6</v>
      </c>
      <c r="M5">
        <f t="shared" si="2"/>
        <v>16</v>
      </c>
      <c r="N5">
        <f t="shared" si="2"/>
        <v>34</v>
      </c>
      <c r="O5">
        <f t="shared" si="2"/>
        <v>0</v>
      </c>
      <c r="P5">
        <f t="shared" si="3"/>
        <v>1</v>
      </c>
      <c r="Q5">
        <f t="shared" si="3"/>
        <v>19</v>
      </c>
      <c r="R5">
        <f t="shared" si="3"/>
        <v>9</v>
      </c>
      <c r="S5">
        <f t="shared" si="3"/>
        <v>22</v>
      </c>
      <c r="T5">
        <f t="shared" si="3"/>
        <v>24</v>
      </c>
      <c r="U5">
        <f t="shared" si="3"/>
        <v>6</v>
      </c>
      <c r="V5">
        <f t="shared" si="3"/>
        <v>2</v>
      </c>
      <c r="W5">
        <f t="shared" si="3"/>
        <v>19</v>
      </c>
      <c r="X5">
        <f t="shared" si="3"/>
        <v>21</v>
      </c>
      <c r="Y5">
        <f t="shared" si="3"/>
        <v>39</v>
      </c>
      <c r="Z5">
        <f t="shared" si="4"/>
        <v>17</v>
      </c>
      <c r="AA5">
        <f t="shared" si="4"/>
        <v>9</v>
      </c>
      <c r="AB5">
        <f t="shared" si="4"/>
        <v>12</v>
      </c>
      <c r="AC5">
        <f t="shared" si="4"/>
        <v>2</v>
      </c>
      <c r="AD5">
        <f t="shared" si="4"/>
        <v>12</v>
      </c>
      <c r="AE5">
        <f t="shared" si="4"/>
        <v>0</v>
      </c>
      <c r="AF5" s="56">
        <f t="shared" si="5"/>
        <v>24</v>
      </c>
      <c r="AG5" s="59">
        <f t="shared" si="6"/>
        <v>5.3085106382978724</v>
      </c>
      <c r="AH5">
        <f t="shared" si="7"/>
        <v>0.22118794326241134</v>
      </c>
    </row>
    <row r="6" spans="1:34" ht="15" x14ac:dyDescent="0.2">
      <c r="A6">
        <v>370</v>
      </c>
      <c r="B6" s="57" t="s">
        <v>426</v>
      </c>
      <c r="C6" s="57"/>
      <c r="D6">
        <f t="shared" si="0"/>
        <v>488</v>
      </c>
      <c r="E6" s="1">
        <f t="shared" si="1"/>
        <v>84</v>
      </c>
      <c r="F6">
        <f t="shared" si="2"/>
        <v>35</v>
      </c>
      <c r="G6">
        <f t="shared" si="2"/>
        <v>9</v>
      </c>
      <c r="H6">
        <f t="shared" si="2"/>
        <v>8</v>
      </c>
      <c r="I6">
        <f t="shared" si="2"/>
        <v>19</v>
      </c>
      <c r="J6">
        <f t="shared" si="2"/>
        <v>32</v>
      </c>
      <c r="K6">
        <f t="shared" si="2"/>
        <v>12</v>
      </c>
      <c r="L6">
        <f t="shared" si="2"/>
        <v>6</v>
      </c>
      <c r="M6">
        <f t="shared" si="2"/>
        <v>19</v>
      </c>
      <c r="N6">
        <f t="shared" si="2"/>
        <v>35</v>
      </c>
      <c r="O6">
        <f t="shared" si="2"/>
        <v>0</v>
      </c>
      <c r="P6">
        <f t="shared" si="3"/>
        <v>3</v>
      </c>
      <c r="Q6">
        <f t="shared" si="3"/>
        <v>22</v>
      </c>
      <c r="R6">
        <f t="shared" si="3"/>
        <v>7</v>
      </c>
      <c r="S6">
        <f t="shared" si="3"/>
        <v>22</v>
      </c>
      <c r="T6">
        <f t="shared" si="3"/>
        <v>35</v>
      </c>
      <c r="U6">
        <f t="shared" si="3"/>
        <v>15</v>
      </c>
      <c r="V6">
        <f t="shared" si="3"/>
        <v>0</v>
      </c>
      <c r="W6">
        <f t="shared" si="3"/>
        <v>31</v>
      </c>
      <c r="X6">
        <f t="shared" si="3"/>
        <v>22</v>
      </c>
      <c r="Y6">
        <f t="shared" si="3"/>
        <v>36</v>
      </c>
      <c r="Z6">
        <f t="shared" si="4"/>
        <v>8</v>
      </c>
      <c r="AA6">
        <f t="shared" si="4"/>
        <v>3</v>
      </c>
      <c r="AB6">
        <f t="shared" si="4"/>
        <v>6</v>
      </c>
      <c r="AC6">
        <f t="shared" si="4"/>
        <v>0</v>
      </c>
      <c r="AD6">
        <f t="shared" si="4"/>
        <v>8</v>
      </c>
      <c r="AE6">
        <f t="shared" si="4"/>
        <v>0</v>
      </c>
      <c r="AF6" s="56">
        <f t="shared" si="5"/>
        <v>22</v>
      </c>
      <c r="AG6" s="59">
        <f t="shared" si="6"/>
        <v>5.8095238095238093</v>
      </c>
      <c r="AH6">
        <f t="shared" si="7"/>
        <v>0.26406926406926406</v>
      </c>
    </row>
    <row r="7" spans="1:34" ht="15" x14ac:dyDescent="0.2">
      <c r="A7">
        <v>366</v>
      </c>
      <c r="B7" s="57" t="s">
        <v>652</v>
      </c>
      <c r="C7" s="57"/>
      <c r="D7">
        <f t="shared" si="0"/>
        <v>466</v>
      </c>
      <c r="E7" s="1">
        <f t="shared" si="1"/>
        <v>83</v>
      </c>
      <c r="F7">
        <f t="shared" si="2"/>
        <v>23</v>
      </c>
      <c r="G7">
        <f t="shared" si="2"/>
        <v>7</v>
      </c>
      <c r="H7">
        <f t="shared" si="2"/>
        <v>5</v>
      </c>
      <c r="I7">
        <f t="shared" si="2"/>
        <v>17</v>
      </c>
      <c r="J7">
        <f t="shared" si="2"/>
        <v>44</v>
      </c>
      <c r="K7">
        <f t="shared" si="2"/>
        <v>11</v>
      </c>
      <c r="L7">
        <f t="shared" si="2"/>
        <v>7</v>
      </c>
      <c r="M7">
        <f t="shared" si="2"/>
        <v>9</v>
      </c>
      <c r="N7">
        <f t="shared" si="2"/>
        <v>20</v>
      </c>
      <c r="O7">
        <f t="shared" si="2"/>
        <v>1</v>
      </c>
      <c r="P7">
        <f t="shared" si="3"/>
        <v>1</v>
      </c>
      <c r="Q7">
        <f t="shared" si="3"/>
        <v>19</v>
      </c>
      <c r="R7">
        <f t="shared" si="3"/>
        <v>6</v>
      </c>
      <c r="S7">
        <f t="shared" si="3"/>
        <v>23</v>
      </c>
      <c r="T7">
        <f t="shared" si="3"/>
        <v>38</v>
      </c>
      <c r="U7">
        <f t="shared" si="3"/>
        <v>11</v>
      </c>
      <c r="V7">
        <f t="shared" si="3"/>
        <v>0</v>
      </c>
      <c r="W7">
        <f t="shared" si="3"/>
        <v>28</v>
      </c>
      <c r="X7">
        <f t="shared" si="3"/>
        <v>17</v>
      </c>
      <c r="Y7">
        <f t="shared" si="3"/>
        <v>34</v>
      </c>
      <c r="Z7">
        <f t="shared" si="4"/>
        <v>19</v>
      </c>
      <c r="AA7">
        <f t="shared" si="4"/>
        <v>8</v>
      </c>
      <c r="AB7">
        <f t="shared" si="4"/>
        <v>7</v>
      </c>
      <c r="AC7">
        <f t="shared" si="4"/>
        <v>1</v>
      </c>
      <c r="AD7">
        <f t="shared" si="4"/>
        <v>13</v>
      </c>
      <c r="AE7">
        <f t="shared" si="4"/>
        <v>0</v>
      </c>
      <c r="AF7" s="56">
        <f t="shared" si="5"/>
        <v>24</v>
      </c>
      <c r="AG7" s="59">
        <f t="shared" si="6"/>
        <v>5.6144578313253009</v>
      </c>
      <c r="AH7">
        <f t="shared" si="7"/>
        <v>0.23393574297188754</v>
      </c>
    </row>
    <row r="8" spans="1:34" ht="15" x14ac:dyDescent="0.2">
      <c r="A8">
        <v>575</v>
      </c>
      <c r="B8" s="57" t="s">
        <v>596</v>
      </c>
      <c r="C8" s="57"/>
      <c r="D8">
        <f t="shared" si="0"/>
        <v>463</v>
      </c>
      <c r="E8" s="1">
        <f t="shared" si="1"/>
        <v>75</v>
      </c>
      <c r="F8">
        <f t="shared" si="2"/>
        <v>24</v>
      </c>
      <c r="G8">
        <f t="shared" si="2"/>
        <v>6</v>
      </c>
      <c r="H8">
        <f t="shared" si="2"/>
        <v>9</v>
      </c>
      <c r="I8">
        <f t="shared" si="2"/>
        <v>12</v>
      </c>
      <c r="J8">
        <f t="shared" si="2"/>
        <v>47</v>
      </c>
      <c r="K8">
        <f t="shared" si="2"/>
        <v>9</v>
      </c>
      <c r="L8">
        <f t="shared" si="2"/>
        <v>4</v>
      </c>
      <c r="M8">
        <f t="shared" si="2"/>
        <v>18</v>
      </c>
      <c r="N8">
        <f t="shared" si="2"/>
        <v>10</v>
      </c>
      <c r="O8">
        <f t="shared" si="2"/>
        <v>0</v>
      </c>
      <c r="P8">
        <f t="shared" si="3"/>
        <v>0</v>
      </c>
      <c r="Q8">
        <f t="shared" si="3"/>
        <v>37</v>
      </c>
      <c r="R8">
        <f t="shared" si="3"/>
        <v>4</v>
      </c>
      <c r="S8">
        <f t="shared" si="3"/>
        <v>10</v>
      </c>
      <c r="T8">
        <f t="shared" si="3"/>
        <v>31</v>
      </c>
      <c r="U8">
        <f t="shared" si="3"/>
        <v>9</v>
      </c>
      <c r="V8">
        <f t="shared" si="3"/>
        <v>0</v>
      </c>
      <c r="W8">
        <f t="shared" si="3"/>
        <v>21</v>
      </c>
      <c r="X8">
        <f t="shared" si="3"/>
        <v>22</v>
      </c>
      <c r="Y8">
        <f t="shared" si="3"/>
        <v>31</v>
      </c>
      <c r="Z8">
        <f t="shared" si="4"/>
        <v>7</v>
      </c>
      <c r="AA8">
        <f t="shared" si="4"/>
        <v>1</v>
      </c>
      <c r="AB8">
        <f t="shared" si="4"/>
        <v>5</v>
      </c>
      <c r="AC8">
        <f t="shared" si="4"/>
        <v>1</v>
      </c>
      <c r="AD8">
        <f t="shared" si="4"/>
        <v>4</v>
      </c>
      <c r="AE8">
        <f t="shared" si="4"/>
        <v>0</v>
      </c>
      <c r="AF8" s="56">
        <f t="shared" si="5"/>
        <v>22</v>
      </c>
      <c r="AG8" s="59">
        <f t="shared" si="6"/>
        <v>6.1733333333333329</v>
      </c>
      <c r="AH8">
        <f t="shared" si="7"/>
        <v>0.28060606060606058</v>
      </c>
    </row>
    <row r="9" spans="1:34" ht="15" x14ac:dyDescent="0.2">
      <c r="A9">
        <v>354</v>
      </c>
      <c r="B9" s="57" t="s">
        <v>653</v>
      </c>
      <c r="C9" s="57"/>
      <c r="D9">
        <f t="shared" si="0"/>
        <v>460</v>
      </c>
      <c r="E9" s="1">
        <f t="shared" si="1"/>
        <v>83</v>
      </c>
      <c r="F9">
        <f t="shared" si="2"/>
        <v>29</v>
      </c>
      <c r="G9">
        <f t="shared" si="2"/>
        <v>8</v>
      </c>
      <c r="H9">
        <f t="shared" si="2"/>
        <v>13</v>
      </c>
      <c r="I9">
        <f t="shared" si="2"/>
        <v>12</v>
      </c>
      <c r="J9">
        <f t="shared" si="2"/>
        <v>38</v>
      </c>
      <c r="K9">
        <f t="shared" si="2"/>
        <v>7</v>
      </c>
      <c r="L9">
        <f t="shared" si="2"/>
        <v>10</v>
      </c>
      <c r="M9">
        <f t="shared" si="2"/>
        <v>15</v>
      </c>
      <c r="N9">
        <f t="shared" si="2"/>
        <v>29</v>
      </c>
      <c r="O9">
        <f t="shared" si="2"/>
        <v>3</v>
      </c>
      <c r="P9">
        <f t="shared" si="3"/>
        <v>1</v>
      </c>
      <c r="Q9">
        <f t="shared" si="3"/>
        <v>13</v>
      </c>
      <c r="R9">
        <f t="shared" si="3"/>
        <v>9</v>
      </c>
      <c r="S9">
        <f t="shared" si="3"/>
        <v>29</v>
      </c>
      <c r="T9">
        <f t="shared" si="3"/>
        <v>28</v>
      </c>
      <c r="U9">
        <f t="shared" si="3"/>
        <v>4</v>
      </c>
      <c r="V9">
        <f t="shared" si="3"/>
        <v>0</v>
      </c>
      <c r="W9">
        <f t="shared" si="3"/>
        <v>16</v>
      </c>
      <c r="X9">
        <f t="shared" si="3"/>
        <v>22</v>
      </c>
      <c r="Y9">
        <f t="shared" si="3"/>
        <v>43</v>
      </c>
      <c r="Z9">
        <f t="shared" si="4"/>
        <v>17</v>
      </c>
      <c r="AA9">
        <f t="shared" si="4"/>
        <v>2</v>
      </c>
      <c r="AB9">
        <f t="shared" si="4"/>
        <v>7</v>
      </c>
      <c r="AC9">
        <f t="shared" si="4"/>
        <v>2</v>
      </c>
      <c r="AD9">
        <f t="shared" si="4"/>
        <v>7</v>
      </c>
      <c r="AE9">
        <f t="shared" si="4"/>
        <v>0</v>
      </c>
      <c r="AF9" s="56">
        <f t="shared" si="5"/>
        <v>24</v>
      </c>
      <c r="AG9" s="59">
        <f t="shared" si="6"/>
        <v>5.5421686746987948</v>
      </c>
      <c r="AH9">
        <f t="shared" si="7"/>
        <v>0.23092369477911645</v>
      </c>
    </row>
    <row r="10" spans="1:34" ht="15" x14ac:dyDescent="0.2">
      <c r="A10">
        <v>320</v>
      </c>
      <c r="B10" s="57" t="s">
        <v>380</v>
      </c>
      <c r="C10" s="57"/>
      <c r="D10">
        <f t="shared" si="0"/>
        <v>448</v>
      </c>
      <c r="E10" s="1">
        <f t="shared" si="1"/>
        <v>85</v>
      </c>
      <c r="F10">
        <f t="shared" si="2"/>
        <v>37</v>
      </c>
      <c r="G10">
        <f t="shared" si="2"/>
        <v>4</v>
      </c>
      <c r="H10">
        <f t="shared" si="2"/>
        <v>8</v>
      </c>
      <c r="I10">
        <f t="shared" si="2"/>
        <v>15</v>
      </c>
      <c r="J10">
        <f t="shared" si="2"/>
        <v>44</v>
      </c>
      <c r="K10">
        <f t="shared" si="2"/>
        <v>4</v>
      </c>
      <c r="L10">
        <f t="shared" si="2"/>
        <v>8</v>
      </c>
      <c r="M10">
        <f t="shared" si="2"/>
        <v>17</v>
      </c>
      <c r="N10">
        <f t="shared" si="2"/>
        <v>28</v>
      </c>
      <c r="O10">
        <f t="shared" si="2"/>
        <v>0</v>
      </c>
      <c r="P10">
        <f t="shared" si="3"/>
        <v>3</v>
      </c>
      <c r="Q10">
        <f t="shared" si="3"/>
        <v>10</v>
      </c>
      <c r="R10">
        <f t="shared" si="3"/>
        <v>12</v>
      </c>
      <c r="S10">
        <f t="shared" si="3"/>
        <v>24</v>
      </c>
      <c r="T10">
        <f t="shared" si="3"/>
        <v>30</v>
      </c>
      <c r="U10">
        <f t="shared" si="3"/>
        <v>6</v>
      </c>
      <c r="V10">
        <f t="shared" si="3"/>
        <v>0</v>
      </c>
      <c r="W10">
        <f t="shared" si="3"/>
        <v>22</v>
      </c>
      <c r="X10">
        <f t="shared" si="3"/>
        <v>24</v>
      </c>
      <c r="Y10">
        <f t="shared" si="3"/>
        <v>35</v>
      </c>
      <c r="Z10">
        <f t="shared" si="4"/>
        <v>3</v>
      </c>
      <c r="AA10">
        <f t="shared" si="4"/>
        <v>7</v>
      </c>
      <c r="AB10">
        <f t="shared" si="4"/>
        <v>6</v>
      </c>
      <c r="AC10">
        <f t="shared" si="4"/>
        <v>0</v>
      </c>
      <c r="AD10">
        <f t="shared" si="4"/>
        <v>8</v>
      </c>
      <c r="AE10">
        <f t="shared" si="4"/>
        <v>0</v>
      </c>
      <c r="AF10" s="56">
        <f t="shared" si="5"/>
        <v>22</v>
      </c>
      <c r="AG10" s="59">
        <f t="shared" si="6"/>
        <v>5.2705882352941176</v>
      </c>
      <c r="AH10">
        <f t="shared" si="7"/>
        <v>0.23957219251336898</v>
      </c>
    </row>
    <row r="11" spans="1:34" ht="15" x14ac:dyDescent="0.2">
      <c r="A11">
        <v>393</v>
      </c>
      <c r="B11" s="57" t="s">
        <v>444</v>
      </c>
      <c r="C11" s="57"/>
      <c r="D11">
        <f t="shared" si="0"/>
        <v>447</v>
      </c>
      <c r="E11" s="1">
        <f t="shared" si="1"/>
        <v>80</v>
      </c>
      <c r="F11">
        <f t="shared" si="2"/>
        <v>22</v>
      </c>
      <c r="G11">
        <f t="shared" si="2"/>
        <v>1</v>
      </c>
      <c r="H11">
        <f t="shared" si="2"/>
        <v>9</v>
      </c>
      <c r="I11">
        <f t="shared" si="2"/>
        <v>10</v>
      </c>
      <c r="J11">
        <f t="shared" si="2"/>
        <v>52</v>
      </c>
      <c r="K11">
        <f t="shared" si="2"/>
        <v>4</v>
      </c>
      <c r="L11">
        <f t="shared" si="2"/>
        <v>9</v>
      </c>
      <c r="M11">
        <f t="shared" si="2"/>
        <v>17</v>
      </c>
      <c r="N11">
        <f t="shared" si="2"/>
        <v>22</v>
      </c>
      <c r="O11">
        <f t="shared" si="2"/>
        <v>1</v>
      </c>
      <c r="P11">
        <f t="shared" si="3"/>
        <v>1</v>
      </c>
      <c r="Q11">
        <f t="shared" si="3"/>
        <v>18</v>
      </c>
      <c r="R11">
        <f t="shared" si="3"/>
        <v>10</v>
      </c>
      <c r="S11">
        <f t="shared" si="3"/>
        <v>28</v>
      </c>
      <c r="T11">
        <f t="shared" si="3"/>
        <v>25</v>
      </c>
      <c r="U11">
        <f t="shared" si="3"/>
        <v>13</v>
      </c>
      <c r="V11">
        <f t="shared" si="3"/>
        <v>2</v>
      </c>
      <c r="W11">
        <f t="shared" si="3"/>
        <v>18</v>
      </c>
      <c r="X11">
        <f t="shared" si="3"/>
        <v>17</v>
      </c>
      <c r="Y11">
        <f t="shared" si="3"/>
        <v>40</v>
      </c>
      <c r="Z11">
        <f t="shared" si="4"/>
        <v>14</v>
      </c>
      <c r="AA11">
        <f t="shared" si="4"/>
        <v>5</v>
      </c>
      <c r="AB11">
        <f t="shared" si="4"/>
        <v>5</v>
      </c>
      <c r="AC11">
        <f t="shared" si="4"/>
        <v>1</v>
      </c>
      <c r="AD11">
        <f t="shared" si="4"/>
        <v>11</v>
      </c>
      <c r="AE11">
        <f t="shared" si="4"/>
        <v>0</v>
      </c>
      <c r="AF11" s="56">
        <f t="shared" si="5"/>
        <v>25</v>
      </c>
      <c r="AG11" s="59">
        <f t="shared" si="6"/>
        <v>5.5875000000000004</v>
      </c>
      <c r="AH11">
        <f t="shared" si="7"/>
        <v>0.2235</v>
      </c>
    </row>
    <row r="12" spans="1:34" ht="15" x14ac:dyDescent="0.2">
      <c r="A12">
        <v>371</v>
      </c>
      <c r="B12" s="57" t="s">
        <v>427</v>
      </c>
      <c r="C12" s="57"/>
      <c r="D12">
        <f t="shared" si="0"/>
        <v>442</v>
      </c>
      <c r="E12" s="1">
        <f t="shared" si="1"/>
        <v>82</v>
      </c>
      <c r="F12">
        <f t="shared" ref="F12:O21" si="8">LEN($B12)-LEN(SUBSTITUTE($B12,F$1,""))</f>
        <v>25</v>
      </c>
      <c r="G12">
        <f t="shared" si="8"/>
        <v>6</v>
      </c>
      <c r="H12">
        <f t="shared" si="8"/>
        <v>6</v>
      </c>
      <c r="I12">
        <f t="shared" si="8"/>
        <v>11</v>
      </c>
      <c r="J12">
        <f t="shared" si="8"/>
        <v>43</v>
      </c>
      <c r="K12">
        <f t="shared" si="8"/>
        <v>5</v>
      </c>
      <c r="L12">
        <f t="shared" si="8"/>
        <v>7</v>
      </c>
      <c r="M12">
        <f t="shared" si="8"/>
        <v>11</v>
      </c>
      <c r="N12">
        <f t="shared" si="8"/>
        <v>26</v>
      </c>
      <c r="O12">
        <f t="shared" si="8"/>
        <v>2</v>
      </c>
      <c r="P12">
        <f t="shared" ref="P12:Y21" si="9">LEN($B12)-LEN(SUBSTITUTE($B12,P$1,""))</f>
        <v>1</v>
      </c>
      <c r="Q12">
        <f t="shared" si="9"/>
        <v>8</v>
      </c>
      <c r="R12">
        <f t="shared" si="9"/>
        <v>9</v>
      </c>
      <c r="S12">
        <f t="shared" si="9"/>
        <v>24</v>
      </c>
      <c r="T12">
        <f t="shared" si="9"/>
        <v>33</v>
      </c>
      <c r="U12">
        <f t="shared" si="9"/>
        <v>9</v>
      </c>
      <c r="V12">
        <f t="shared" si="9"/>
        <v>0</v>
      </c>
      <c r="W12">
        <f t="shared" si="9"/>
        <v>29</v>
      </c>
      <c r="X12">
        <f t="shared" si="9"/>
        <v>19</v>
      </c>
      <c r="Y12">
        <f t="shared" si="9"/>
        <v>35</v>
      </c>
      <c r="Z12">
        <f t="shared" ref="Z12:AE21" si="10">LEN($B12)-LEN(SUBSTITUTE($B12,Z$1,""))</f>
        <v>11</v>
      </c>
      <c r="AA12">
        <f t="shared" si="10"/>
        <v>4</v>
      </c>
      <c r="AB12">
        <f t="shared" si="10"/>
        <v>8</v>
      </c>
      <c r="AC12">
        <f t="shared" si="10"/>
        <v>0</v>
      </c>
      <c r="AD12">
        <f t="shared" si="10"/>
        <v>12</v>
      </c>
      <c r="AE12">
        <f t="shared" si="10"/>
        <v>0</v>
      </c>
      <c r="AF12" s="56">
        <f t="shared" si="5"/>
        <v>23</v>
      </c>
      <c r="AG12" s="59">
        <f t="shared" si="6"/>
        <v>5.3902439024390247</v>
      </c>
      <c r="AH12">
        <f t="shared" si="7"/>
        <v>0.23435843054082717</v>
      </c>
    </row>
    <row r="13" spans="1:34" ht="15" x14ac:dyDescent="0.2">
      <c r="A13">
        <v>521</v>
      </c>
      <c r="B13" s="57" t="s">
        <v>552</v>
      </c>
      <c r="C13" s="57"/>
      <c r="D13">
        <f t="shared" si="0"/>
        <v>436</v>
      </c>
      <c r="E13" s="1">
        <f t="shared" si="1"/>
        <v>74</v>
      </c>
      <c r="F13">
        <f t="shared" si="8"/>
        <v>22</v>
      </c>
      <c r="G13">
        <f t="shared" si="8"/>
        <v>11</v>
      </c>
      <c r="H13">
        <f t="shared" si="8"/>
        <v>10</v>
      </c>
      <c r="I13">
        <f t="shared" si="8"/>
        <v>9</v>
      </c>
      <c r="J13">
        <f t="shared" si="8"/>
        <v>38</v>
      </c>
      <c r="K13">
        <f t="shared" si="8"/>
        <v>14</v>
      </c>
      <c r="L13">
        <f t="shared" si="8"/>
        <v>13</v>
      </c>
      <c r="M13">
        <f t="shared" si="8"/>
        <v>10</v>
      </c>
      <c r="N13">
        <f t="shared" si="8"/>
        <v>28</v>
      </c>
      <c r="O13">
        <f t="shared" si="8"/>
        <v>0</v>
      </c>
      <c r="P13">
        <f t="shared" si="9"/>
        <v>2</v>
      </c>
      <c r="Q13">
        <f t="shared" si="9"/>
        <v>15</v>
      </c>
      <c r="R13">
        <f t="shared" si="9"/>
        <v>13</v>
      </c>
      <c r="S13">
        <f t="shared" si="9"/>
        <v>25</v>
      </c>
      <c r="T13">
        <f t="shared" si="9"/>
        <v>30</v>
      </c>
      <c r="U13">
        <f t="shared" si="9"/>
        <v>10</v>
      </c>
      <c r="V13">
        <f t="shared" si="9"/>
        <v>1</v>
      </c>
      <c r="W13">
        <f t="shared" si="9"/>
        <v>22</v>
      </c>
      <c r="X13">
        <f t="shared" si="9"/>
        <v>15</v>
      </c>
      <c r="Y13">
        <f t="shared" si="9"/>
        <v>35</v>
      </c>
      <c r="Z13">
        <f t="shared" si="10"/>
        <v>19</v>
      </c>
      <c r="AA13">
        <f t="shared" si="10"/>
        <v>2</v>
      </c>
      <c r="AB13">
        <f t="shared" si="10"/>
        <v>4</v>
      </c>
      <c r="AC13">
        <f t="shared" si="10"/>
        <v>1</v>
      </c>
      <c r="AD13">
        <f t="shared" si="10"/>
        <v>4</v>
      </c>
      <c r="AE13">
        <f t="shared" si="10"/>
        <v>0</v>
      </c>
      <c r="AF13" s="56">
        <f t="shared" si="5"/>
        <v>24</v>
      </c>
      <c r="AG13" s="59">
        <f t="shared" si="6"/>
        <v>5.8918918918918921</v>
      </c>
      <c r="AH13">
        <f t="shared" si="7"/>
        <v>0.24549549549549551</v>
      </c>
    </row>
    <row r="14" spans="1:34" ht="15" x14ac:dyDescent="0.2">
      <c r="A14">
        <v>365</v>
      </c>
      <c r="B14" s="57" t="s">
        <v>423</v>
      </c>
      <c r="C14" s="57"/>
      <c r="D14">
        <f t="shared" si="0"/>
        <v>435</v>
      </c>
      <c r="E14" s="1">
        <f t="shared" si="1"/>
        <v>71</v>
      </c>
      <c r="F14">
        <f t="shared" si="8"/>
        <v>26</v>
      </c>
      <c r="G14">
        <f t="shared" si="8"/>
        <v>5</v>
      </c>
      <c r="H14">
        <f t="shared" si="8"/>
        <v>8</v>
      </c>
      <c r="I14">
        <f t="shared" si="8"/>
        <v>13</v>
      </c>
      <c r="J14">
        <f t="shared" si="8"/>
        <v>49</v>
      </c>
      <c r="K14">
        <f t="shared" si="8"/>
        <v>9</v>
      </c>
      <c r="L14">
        <f t="shared" si="8"/>
        <v>5</v>
      </c>
      <c r="M14">
        <f t="shared" si="8"/>
        <v>15</v>
      </c>
      <c r="N14">
        <f t="shared" si="8"/>
        <v>25</v>
      </c>
      <c r="O14">
        <f t="shared" si="8"/>
        <v>0</v>
      </c>
      <c r="P14">
        <f t="shared" si="9"/>
        <v>1</v>
      </c>
      <c r="Q14">
        <f t="shared" si="9"/>
        <v>16</v>
      </c>
      <c r="R14">
        <f t="shared" si="9"/>
        <v>8</v>
      </c>
      <c r="S14">
        <f t="shared" si="9"/>
        <v>24</v>
      </c>
      <c r="T14">
        <f t="shared" si="9"/>
        <v>29</v>
      </c>
      <c r="U14">
        <f t="shared" si="9"/>
        <v>14</v>
      </c>
      <c r="V14">
        <f t="shared" si="9"/>
        <v>0</v>
      </c>
      <c r="W14">
        <f t="shared" si="9"/>
        <v>23</v>
      </c>
      <c r="X14">
        <f t="shared" si="9"/>
        <v>27</v>
      </c>
      <c r="Y14">
        <f t="shared" si="9"/>
        <v>36</v>
      </c>
      <c r="Z14">
        <f t="shared" si="10"/>
        <v>6</v>
      </c>
      <c r="AA14">
        <f t="shared" si="10"/>
        <v>2</v>
      </c>
      <c r="AB14">
        <f t="shared" si="10"/>
        <v>5</v>
      </c>
      <c r="AC14">
        <f t="shared" si="10"/>
        <v>0</v>
      </c>
      <c r="AD14">
        <f t="shared" si="10"/>
        <v>5</v>
      </c>
      <c r="AE14">
        <f t="shared" si="10"/>
        <v>0</v>
      </c>
      <c r="AF14" s="56">
        <f t="shared" si="5"/>
        <v>22</v>
      </c>
      <c r="AG14" s="59">
        <f t="shared" si="6"/>
        <v>6.126760563380282</v>
      </c>
      <c r="AH14">
        <f t="shared" si="7"/>
        <v>0.27848911651728553</v>
      </c>
    </row>
    <row r="15" spans="1:34" ht="15" x14ac:dyDescent="0.2">
      <c r="A15">
        <v>299</v>
      </c>
      <c r="B15" s="57" t="s">
        <v>360</v>
      </c>
      <c r="C15" s="57"/>
      <c r="D15">
        <f t="shared" si="0"/>
        <v>431</v>
      </c>
      <c r="E15" s="1">
        <f t="shared" si="1"/>
        <v>62</v>
      </c>
      <c r="F15">
        <f t="shared" si="8"/>
        <v>30</v>
      </c>
      <c r="G15">
        <f t="shared" si="8"/>
        <v>11</v>
      </c>
      <c r="H15">
        <f t="shared" si="8"/>
        <v>19</v>
      </c>
      <c r="I15">
        <f t="shared" si="8"/>
        <v>13</v>
      </c>
      <c r="J15">
        <f t="shared" si="8"/>
        <v>37</v>
      </c>
      <c r="K15">
        <f t="shared" si="8"/>
        <v>4</v>
      </c>
      <c r="L15">
        <f t="shared" si="8"/>
        <v>9</v>
      </c>
      <c r="M15">
        <f t="shared" si="8"/>
        <v>14</v>
      </c>
      <c r="N15">
        <f t="shared" si="8"/>
        <v>29</v>
      </c>
      <c r="O15">
        <f t="shared" si="8"/>
        <v>1</v>
      </c>
      <c r="P15">
        <f t="shared" si="9"/>
        <v>0</v>
      </c>
      <c r="Q15">
        <f t="shared" si="9"/>
        <v>18</v>
      </c>
      <c r="R15">
        <f t="shared" si="9"/>
        <v>9</v>
      </c>
      <c r="S15">
        <f t="shared" si="9"/>
        <v>27</v>
      </c>
      <c r="T15">
        <f t="shared" si="9"/>
        <v>22</v>
      </c>
      <c r="U15">
        <f t="shared" si="9"/>
        <v>12</v>
      </c>
      <c r="V15">
        <f t="shared" si="9"/>
        <v>0</v>
      </c>
      <c r="W15">
        <f t="shared" si="9"/>
        <v>16</v>
      </c>
      <c r="X15">
        <f t="shared" si="9"/>
        <v>28</v>
      </c>
      <c r="Y15">
        <f t="shared" si="9"/>
        <v>29</v>
      </c>
      <c r="Z15">
        <f t="shared" si="10"/>
        <v>6</v>
      </c>
      <c r="AA15">
        <f t="shared" si="10"/>
        <v>1</v>
      </c>
      <c r="AB15">
        <f t="shared" si="10"/>
        <v>8</v>
      </c>
      <c r="AC15">
        <f t="shared" si="10"/>
        <v>4</v>
      </c>
      <c r="AD15">
        <f t="shared" si="10"/>
        <v>9</v>
      </c>
      <c r="AE15">
        <f t="shared" si="10"/>
        <v>2</v>
      </c>
      <c r="AF15" s="56">
        <f t="shared" si="5"/>
        <v>24</v>
      </c>
      <c r="AG15" s="59">
        <f t="shared" si="6"/>
        <v>6.9516129032258061</v>
      </c>
      <c r="AH15">
        <f t="shared" si="7"/>
        <v>0.28965053763440857</v>
      </c>
    </row>
    <row r="16" spans="1:34" ht="15" x14ac:dyDescent="0.2">
      <c r="A16">
        <v>442</v>
      </c>
      <c r="B16" s="57" t="s">
        <v>485</v>
      </c>
      <c r="C16" s="57"/>
      <c r="D16">
        <f t="shared" si="0"/>
        <v>424</v>
      </c>
      <c r="E16" s="1">
        <f t="shared" si="1"/>
        <v>53</v>
      </c>
      <c r="F16">
        <f t="shared" si="8"/>
        <v>19</v>
      </c>
      <c r="G16">
        <f t="shared" si="8"/>
        <v>4</v>
      </c>
      <c r="H16">
        <f t="shared" si="8"/>
        <v>13</v>
      </c>
      <c r="I16">
        <f t="shared" si="8"/>
        <v>9</v>
      </c>
      <c r="J16">
        <f t="shared" si="8"/>
        <v>35</v>
      </c>
      <c r="K16">
        <f t="shared" si="8"/>
        <v>10</v>
      </c>
      <c r="L16">
        <f t="shared" si="8"/>
        <v>8</v>
      </c>
      <c r="M16">
        <f t="shared" si="8"/>
        <v>4</v>
      </c>
      <c r="N16">
        <f t="shared" si="8"/>
        <v>23</v>
      </c>
      <c r="O16">
        <f t="shared" si="8"/>
        <v>2</v>
      </c>
      <c r="P16">
        <f t="shared" si="9"/>
        <v>0</v>
      </c>
      <c r="Q16">
        <f t="shared" si="9"/>
        <v>12</v>
      </c>
      <c r="R16">
        <f t="shared" si="9"/>
        <v>7</v>
      </c>
      <c r="S16">
        <f t="shared" si="9"/>
        <v>18</v>
      </c>
      <c r="T16">
        <f t="shared" si="9"/>
        <v>23</v>
      </c>
      <c r="U16">
        <f t="shared" si="9"/>
        <v>10</v>
      </c>
      <c r="V16">
        <f t="shared" si="9"/>
        <v>0</v>
      </c>
      <c r="W16">
        <f t="shared" si="9"/>
        <v>27</v>
      </c>
      <c r="X16">
        <f t="shared" si="9"/>
        <v>14</v>
      </c>
      <c r="Y16">
        <f t="shared" si="9"/>
        <v>25</v>
      </c>
      <c r="Z16">
        <f t="shared" si="10"/>
        <v>18</v>
      </c>
      <c r="AA16">
        <f t="shared" si="10"/>
        <v>7</v>
      </c>
      <c r="AB16">
        <f t="shared" si="10"/>
        <v>10</v>
      </c>
      <c r="AC16">
        <f t="shared" si="10"/>
        <v>3</v>
      </c>
      <c r="AD16">
        <f t="shared" si="10"/>
        <v>8</v>
      </c>
      <c r="AE16">
        <f t="shared" si="10"/>
        <v>0</v>
      </c>
      <c r="AF16" s="56">
        <f t="shared" si="5"/>
        <v>23</v>
      </c>
      <c r="AG16" s="59">
        <f t="shared" si="6"/>
        <v>8</v>
      </c>
      <c r="AH16">
        <f t="shared" si="7"/>
        <v>0.34782608695652173</v>
      </c>
    </row>
    <row r="17" spans="1:34" ht="15" x14ac:dyDescent="0.2">
      <c r="A17">
        <v>325</v>
      </c>
      <c r="B17" s="57" t="s">
        <v>385</v>
      </c>
      <c r="C17" s="57"/>
      <c r="D17">
        <f t="shared" si="0"/>
        <v>417</v>
      </c>
      <c r="E17" s="1">
        <f t="shared" si="1"/>
        <v>74</v>
      </c>
      <c r="F17">
        <f t="shared" si="8"/>
        <v>17</v>
      </c>
      <c r="G17">
        <f t="shared" si="8"/>
        <v>13</v>
      </c>
      <c r="H17">
        <f t="shared" si="8"/>
        <v>9</v>
      </c>
      <c r="I17">
        <f t="shared" si="8"/>
        <v>10</v>
      </c>
      <c r="J17">
        <f t="shared" si="8"/>
        <v>40</v>
      </c>
      <c r="K17">
        <f t="shared" si="8"/>
        <v>6</v>
      </c>
      <c r="L17">
        <f t="shared" si="8"/>
        <v>2</v>
      </c>
      <c r="M17">
        <f t="shared" si="8"/>
        <v>12</v>
      </c>
      <c r="N17">
        <f t="shared" si="8"/>
        <v>23</v>
      </c>
      <c r="O17">
        <f t="shared" si="8"/>
        <v>0</v>
      </c>
      <c r="P17">
        <f t="shared" si="9"/>
        <v>0</v>
      </c>
      <c r="Q17">
        <f t="shared" si="9"/>
        <v>11</v>
      </c>
      <c r="R17">
        <f t="shared" si="9"/>
        <v>13</v>
      </c>
      <c r="S17">
        <f t="shared" si="9"/>
        <v>20</v>
      </c>
      <c r="T17">
        <f t="shared" si="9"/>
        <v>35</v>
      </c>
      <c r="U17">
        <f t="shared" si="9"/>
        <v>8</v>
      </c>
      <c r="V17">
        <f t="shared" si="9"/>
        <v>0</v>
      </c>
      <c r="W17">
        <f t="shared" si="9"/>
        <v>23</v>
      </c>
      <c r="X17">
        <f t="shared" si="9"/>
        <v>25</v>
      </c>
      <c r="Y17">
        <f t="shared" si="9"/>
        <v>34</v>
      </c>
      <c r="Z17">
        <f t="shared" si="10"/>
        <v>9</v>
      </c>
      <c r="AA17">
        <f t="shared" si="10"/>
        <v>4</v>
      </c>
      <c r="AB17">
        <f t="shared" si="10"/>
        <v>7</v>
      </c>
      <c r="AC17">
        <f t="shared" si="10"/>
        <v>1</v>
      </c>
      <c r="AD17">
        <f t="shared" si="10"/>
        <v>12</v>
      </c>
      <c r="AE17">
        <f t="shared" si="10"/>
        <v>0</v>
      </c>
      <c r="AF17" s="56">
        <f t="shared" si="5"/>
        <v>22</v>
      </c>
      <c r="AG17" s="59">
        <f t="shared" si="6"/>
        <v>5.6351351351351351</v>
      </c>
      <c r="AH17">
        <f t="shared" si="7"/>
        <v>0.25614250614250617</v>
      </c>
    </row>
    <row r="18" spans="1:34" ht="15" x14ac:dyDescent="0.2">
      <c r="A18">
        <v>469</v>
      </c>
      <c r="B18" s="57" t="s">
        <v>508</v>
      </c>
      <c r="C18" s="57"/>
      <c r="D18">
        <f t="shared" si="0"/>
        <v>405</v>
      </c>
      <c r="E18" s="1">
        <f t="shared" si="1"/>
        <v>67</v>
      </c>
      <c r="F18">
        <f t="shared" si="8"/>
        <v>30</v>
      </c>
      <c r="G18">
        <f t="shared" si="8"/>
        <v>2</v>
      </c>
      <c r="H18">
        <f t="shared" si="8"/>
        <v>12</v>
      </c>
      <c r="I18">
        <f t="shared" si="8"/>
        <v>9</v>
      </c>
      <c r="J18">
        <f t="shared" si="8"/>
        <v>41</v>
      </c>
      <c r="K18">
        <f t="shared" si="8"/>
        <v>2</v>
      </c>
      <c r="L18">
        <f t="shared" si="8"/>
        <v>4</v>
      </c>
      <c r="M18">
        <f t="shared" si="8"/>
        <v>13</v>
      </c>
      <c r="N18">
        <f t="shared" si="8"/>
        <v>18</v>
      </c>
      <c r="O18">
        <f t="shared" si="8"/>
        <v>2</v>
      </c>
      <c r="P18">
        <f t="shared" si="9"/>
        <v>2</v>
      </c>
      <c r="Q18">
        <f t="shared" si="9"/>
        <v>16</v>
      </c>
      <c r="R18">
        <f t="shared" si="9"/>
        <v>5</v>
      </c>
      <c r="S18">
        <f t="shared" si="9"/>
        <v>34</v>
      </c>
      <c r="T18">
        <f t="shared" si="9"/>
        <v>21</v>
      </c>
      <c r="U18">
        <f t="shared" si="9"/>
        <v>3</v>
      </c>
      <c r="V18">
        <f t="shared" si="9"/>
        <v>1</v>
      </c>
      <c r="W18">
        <f t="shared" si="9"/>
        <v>24</v>
      </c>
      <c r="X18">
        <f t="shared" si="9"/>
        <v>31</v>
      </c>
      <c r="Y18">
        <f t="shared" si="9"/>
        <v>29</v>
      </c>
      <c r="Z18">
        <f t="shared" si="10"/>
        <v>12</v>
      </c>
      <c r="AA18">
        <f t="shared" si="10"/>
        <v>4</v>
      </c>
      <c r="AB18">
        <f t="shared" si="10"/>
        <v>6</v>
      </c>
      <c r="AC18">
        <f t="shared" si="10"/>
        <v>0</v>
      </c>
      <c r="AD18">
        <f t="shared" si="10"/>
        <v>7</v>
      </c>
      <c r="AE18">
        <f t="shared" si="10"/>
        <v>0</v>
      </c>
      <c r="AF18" s="56">
        <f t="shared" si="5"/>
        <v>24</v>
      </c>
      <c r="AG18" s="59">
        <f t="shared" si="6"/>
        <v>6.044776119402985</v>
      </c>
      <c r="AH18">
        <f t="shared" si="7"/>
        <v>0.25186567164179102</v>
      </c>
    </row>
    <row r="19" spans="1:34" ht="15" x14ac:dyDescent="0.2">
      <c r="A19">
        <v>406</v>
      </c>
      <c r="B19" s="57" t="s">
        <v>457</v>
      </c>
      <c r="C19" s="57"/>
      <c r="D19">
        <f t="shared" si="0"/>
        <v>400</v>
      </c>
      <c r="E19" s="1">
        <f t="shared" si="1"/>
        <v>69</v>
      </c>
      <c r="F19">
        <f t="shared" si="8"/>
        <v>21</v>
      </c>
      <c r="G19">
        <f t="shared" si="8"/>
        <v>4</v>
      </c>
      <c r="H19">
        <f t="shared" si="8"/>
        <v>10</v>
      </c>
      <c r="I19">
        <f t="shared" si="8"/>
        <v>12</v>
      </c>
      <c r="J19">
        <f t="shared" si="8"/>
        <v>41</v>
      </c>
      <c r="K19">
        <f t="shared" si="8"/>
        <v>8</v>
      </c>
      <c r="L19">
        <f t="shared" si="8"/>
        <v>9</v>
      </c>
      <c r="M19">
        <f t="shared" si="8"/>
        <v>14</v>
      </c>
      <c r="N19">
        <f t="shared" si="8"/>
        <v>21</v>
      </c>
      <c r="O19">
        <f t="shared" si="8"/>
        <v>2</v>
      </c>
      <c r="P19">
        <f t="shared" si="9"/>
        <v>3</v>
      </c>
      <c r="Q19">
        <f t="shared" si="9"/>
        <v>11</v>
      </c>
      <c r="R19">
        <f t="shared" si="9"/>
        <v>10</v>
      </c>
      <c r="S19">
        <f t="shared" si="9"/>
        <v>18</v>
      </c>
      <c r="T19">
        <f t="shared" si="9"/>
        <v>27</v>
      </c>
      <c r="U19">
        <f t="shared" si="9"/>
        <v>9</v>
      </c>
      <c r="V19">
        <f t="shared" si="9"/>
        <v>0</v>
      </c>
      <c r="W19">
        <f t="shared" si="9"/>
        <v>21</v>
      </c>
      <c r="X19">
        <f t="shared" si="9"/>
        <v>23</v>
      </c>
      <c r="Y19">
        <f t="shared" si="9"/>
        <v>34</v>
      </c>
      <c r="Z19">
        <f t="shared" si="10"/>
        <v>3</v>
      </c>
      <c r="AA19">
        <f t="shared" si="10"/>
        <v>4</v>
      </c>
      <c r="AB19">
        <f t="shared" si="10"/>
        <v>6</v>
      </c>
      <c r="AC19">
        <f t="shared" si="10"/>
        <v>0</v>
      </c>
      <c r="AD19">
        <f t="shared" si="10"/>
        <v>4</v>
      </c>
      <c r="AE19">
        <f t="shared" si="10"/>
        <v>0</v>
      </c>
      <c r="AF19" s="56">
        <f t="shared" si="5"/>
        <v>23</v>
      </c>
      <c r="AG19" s="59">
        <f t="shared" si="6"/>
        <v>5.7971014492753623</v>
      </c>
      <c r="AH19">
        <f t="shared" si="7"/>
        <v>0.25204788909892878</v>
      </c>
    </row>
    <row r="20" spans="1:34" ht="15" x14ac:dyDescent="0.2">
      <c r="A20">
        <v>518</v>
      </c>
      <c r="B20" s="57" t="s">
        <v>654</v>
      </c>
      <c r="C20" s="57"/>
      <c r="D20">
        <f t="shared" si="0"/>
        <v>381</v>
      </c>
      <c r="E20" s="1">
        <f t="shared" si="1"/>
        <v>65</v>
      </c>
      <c r="F20">
        <f t="shared" si="8"/>
        <v>27</v>
      </c>
      <c r="G20">
        <f t="shared" si="8"/>
        <v>6</v>
      </c>
      <c r="H20">
        <f t="shared" si="8"/>
        <v>10</v>
      </c>
      <c r="I20">
        <f t="shared" si="8"/>
        <v>3</v>
      </c>
      <c r="J20">
        <f t="shared" si="8"/>
        <v>27</v>
      </c>
      <c r="K20">
        <f t="shared" si="8"/>
        <v>10</v>
      </c>
      <c r="L20">
        <f t="shared" si="8"/>
        <v>17</v>
      </c>
      <c r="M20">
        <f t="shared" si="8"/>
        <v>13</v>
      </c>
      <c r="N20">
        <f t="shared" si="8"/>
        <v>22</v>
      </c>
      <c r="O20">
        <f t="shared" si="8"/>
        <v>0</v>
      </c>
      <c r="P20">
        <f t="shared" si="9"/>
        <v>4</v>
      </c>
      <c r="Q20">
        <f t="shared" si="9"/>
        <v>18</v>
      </c>
      <c r="R20">
        <f t="shared" si="9"/>
        <v>16</v>
      </c>
      <c r="S20">
        <f t="shared" si="9"/>
        <v>17</v>
      </c>
      <c r="T20">
        <f t="shared" si="9"/>
        <v>27</v>
      </c>
      <c r="U20">
        <f t="shared" si="9"/>
        <v>6</v>
      </c>
      <c r="V20">
        <f t="shared" si="9"/>
        <v>0</v>
      </c>
      <c r="W20">
        <f t="shared" si="9"/>
        <v>22</v>
      </c>
      <c r="X20">
        <f t="shared" si="9"/>
        <v>10</v>
      </c>
      <c r="Y20">
        <f t="shared" si="9"/>
        <v>24</v>
      </c>
      <c r="Z20">
        <f t="shared" si="10"/>
        <v>11</v>
      </c>
      <c r="AA20">
        <f t="shared" si="10"/>
        <v>2</v>
      </c>
      <c r="AB20">
        <f t="shared" si="10"/>
        <v>4</v>
      </c>
      <c r="AC20">
        <f t="shared" si="10"/>
        <v>0</v>
      </c>
      <c r="AD20">
        <f t="shared" si="10"/>
        <v>5</v>
      </c>
      <c r="AE20">
        <f t="shared" si="10"/>
        <v>0</v>
      </c>
      <c r="AF20" s="56">
        <f t="shared" si="5"/>
        <v>22</v>
      </c>
      <c r="AG20" s="59">
        <f t="shared" si="6"/>
        <v>5.8615384615384611</v>
      </c>
      <c r="AH20">
        <f t="shared" si="7"/>
        <v>0.26643356643356642</v>
      </c>
    </row>
    <row r="21" spans="1:34" ht="15" x14ac:dyDescent="0.2">
      <c r="A21">
        <v>323</v>
      </c>
      <c r="B21" s="57" t="s">
        <v>383</v>
      </c>
      <c r="C21" s="57"/>
      <c r="D21">
        <f t="shared" si="0"/>
        <v>377</v>
      </c>
      <c r="E21" s="1">
        <f t="shared" si="1"/>
        <v>68</v>
      </c>
      <c r="F21">
        <f t="shared" si="8"/>
        <v>14</v>
      </c>
      <c r="G21">
        <f t="shared" si="8"/>
        <v>0</v>
      </c>
      <c r="H21">
        <f t="shared" si="8"/>
        <v>8</v>
      </c>
      <c r="I21">
        <f t="shared" si="8"/>
        <v>13</v>
      </c>
      <c r="J21">
        <f t="shared" si="8"/>
        <v>40</v>
      </c>
      <c r="K21">
        <f t="shared" si="8"/>
        <v>14</v>
      </c>
      <c r="L21">
        <f t="shared" si="8"/>
        <v>1</v>
      </c>
      <c r="M21">
        <f t="shared" si="8"/>
        <v>13</v>
      </c>
      <c r="N21">
        <f t="shared" si="8"/>
        <v>22</v>
      </c>
      <c r="O21">
        <f t="shared" si="8"/>
        <v>0</v>
      </c>
      <c r="P21">
        <f t="shared" si="9"/>
        <v>0</v>
      </c>
      <c r="Q21">
        <f t="shared" si="9"/>
        <v>15</v>
      </c>
      <c r="R21">
        <f t="shared" si="9"/>
        <v>8</v>
      </c>
      <c r="S21">
        <f t="shared" si="9"/>
        <v>16</v>
      </c>
      <c r="T21">
        <f t="shared" si="9"/>
        <v>33</v>
      </c>
      <c r="U21">
        <f t="shared" si="9"/>
        <v>9</v>
      </c>
      <c r="V21">
        <f t="shared" si="9"/>
        <v>4</v>
      </c>
      <c r="W21">
        <f t="shared" si="9"/>
        <v>15</v>
      </c>
      <c r="X21">
        <f t="shared" si="9"/>
        <v>16</v>
      </c>
      <c r="Y21">
        <f t="shared" si="9"/>
        <v>27</v>
      </c>
      <c r="Z21">
        <f t="shared" si="10"/>
        <v>12</v>
      </c>
      <c r="AA21">
        <f t="shared" si="10"/>
        <v>2</v>
      </c>
      <c r="AB21">
        <f t="shared" si="10"/>
        <v>7</v>
      </c>
      <c r="AC21">
        <f t="shared" si="10"/>
        <v>0</v>
      </c>
      <c r="AD21">
        <f t="shared" si="10"/>
        <v>6</v>
      </c>
      <c r="AE21">
        <f t="shared" si="10"/>
        <v>0</v>
      </c>
      <c r="AF21" s="56">
        <f t="shared" si="5"/>
        <v>21</v>
      </c>
      <c r="AG21" s="59">
        <f t="shared" si="6"/>
        <v>5.5441176470588234</v>
      </c>
      <c r="AH21">
        <f t="shared" si="7"/>
        <v>0.26400560224089636</v>
      </c>
    </row>
    <row r="22" spans="1:34" ht="15" x14ac:dyDescent="0.2">
      <c r="A22">
        <v>396</v>
      </c>
      <c r="B22" s="57" t="s">
        <v>447</v>
      </c>
      <c r="C22" s="57"/>
      <c r="D22">
        <f t="shared" si="0"/>
        <v>373</v>
      </c>
      <c r="E22" s="1">
        <f t="shared" si="1"/>
        <v>64</v>
      </c>
      <c r="F22">
        <f t="shared" ref="F22:O31" si="11">LEN($B22)-LEN(SUBSTITUTE($B22,F$1,""))</f>
        <v>25</v>
      </c>
      <c r="G22">
        <f t="shared" si="11"/>
        <v>4</v>
      </c>
      <c r="H22">
        <f t="shared" si="11"/>
        <v>8</v>
      </c>
      <c r="I22">
        <f t="shared" si="11"/>
        <v>6</v>
      </c>
      <c r="J22">
        <f t="shared" si="11"/>
        <v>37</v>
      </c>
      <c r="K22">
        <f t="shared" si="11"/>
        <v>5</v>
      </c>
      <c r="L22">
        <f t="shared" si="11"/>
        <v>11</v>
      </c>
      <c r="M22">
        <f t="shared" si="11"/>
        <v>10</v>
      </c>
      <c r="N22">
        <f t="shared" si="11"/>
        <v>18</v>
      </c>
      <c r="O22">
        <f t="shared" si="11"/>
        <v>4</v>
      </c>
      <c r="P22">
        <f t="shared" ref="P22:Y31" si="12">LEN($B22)-LEN(SUBSTITUTE($B22,P$1,""))</f>
        <v>4</v>
      </c>
      <c r="Q22">
        <f t="shared" si="12"/>
        <v>15</v>
      </c>
      <c r="R22">
        <f t="shared" si="12"/>
        <v>8</v>
      </c>
      <c r="S22">
        <f t="shared" si="12"/>
        <v>24</v>
      </c>
      <c r="T22">
        <f t="shared" si="12"/>
        <v>28</v>
      </c>
      <c r="U22">
        <f t="shared" si="12"/>
        <v>13</v>
      </c>
      <c r="V22">
        <f t="shared" si="12"/>
        <v>0</v>
      </c>
      <c r="W22">
        <f t="shared" si="12"/>
        <v>25</v>
      </c>
      <c r="X22">
        <f t="shared" si="12"/>
        <v>14</v>
      </c>
      <c r="Y22">
        <f t="shared" si="12"/>
        <v>27</v>
      </c>
      <c r="Z22">
        <f t="shared" ref="Z22:AE31" si="13">LEN($B22)-LEN(SUBSTITUTE($B22,Z$1,""))</f>
        <v>9</v>
      </c>
      <c r="AA22">
        <f t="shared" si="13"/>
        <v>2</v>
      </c>
      <c r="AB22">
        <f t="shared" si="13"/>
        <v>3</v>
      </c>
      <c r="AC22">
        <f t="shared" si="13"/>
        <v>0</v>
      </c>
      <c r="AD22">
        <f t="shared" si="13"/>
        <v>3</v>
      </c>
      <c r="AE22">
        <f t="shared" si="13"/>
        <v>0</v>
      </c>
      <c r="AF22" s="56">
        <f t="shared" si="5"/>
        <v>23</v>
      </c>
      <c r="AG22" s="59">
        <f t="shared" si="6"/>
        <v>5.828125</v>
      </c>
      <c r="AH22">
        <f t="shared" si="7"/>
        <v>0.25339673913043476</v>
      </c>
    </row>
    <row r="23" spans="1:34" ht="15" x14ac:dyDescent="0.2">
      <c r="A23">
        <v>519</v>
      </c>
      <c r="B23" s="57" t="s">
        <v>655</v>
      </c>
      <c r="C23" s="57"/>
      <c r="D23">
        <f t="shared" si="0"/>
        <v>364</v>
      </c>
      <c r="E23" s="1">
        <f t="shared" si="1"/>
        <v>69</v>
      </c>
      <c r="F23">
        <f t="shared" si="11"/>
        <v>20</v>
      </c>
      <c r="G23">
        <f t="shared" si="11"/>
        <v>3</v>
      </c>
      <c r="H23">
        <f t="shared" si="11"/>
        <v>8</v>
      </c>
      <c r="I23">
        <f t="shared" si="11"/>
        <v>15</v>
      </c>
      <c r="J23">
        <f t="shared" si="11"/>
        <v>42</v>
      </c>
      <c r="K23">
        <f t="shared" si="11"/>
        <v>11</v>
      </c>
      <c r="L23">
        <f t="shared" si="11"/>
        <v>9</v>
      </c>
      <c r="M23">
        <f t="shared" si="11"/>
        <v>8</v>
      </c>
      <c r="N23">
        <f t="shared" si="11"/>
        <v>16</v>
      </c>
      <c r="O23">
        <f t="shared" si="11"/>
        <v>1</v>
      </c>
      <c r="P23">
        <f t="shared" si="12"/>
        <v>1</v>
      </c>
      <c r="Q23">
        <f t="shared" si="12"/>
        <v>9</v>
      </c>
      <c r="R23">
        <f t="shared" si="12"/>
        <v>8</v>
      </c>
      <c r="S23">
        <f t="shared" si="12"/>
        <v>14</v>
      </c>
      <c r="T23">
        <f t="shared" si="12"/>
        <v>31</v>
      </c>
      <c r="U23">
        <f t="shared" si="12"/>
        <v>7</v>
      </c>
      <c r="V23">
        <f t="shared" si="12"/>
        <v>0</v>
      </c>
      <c r="W23">
        <f t="shared" si="12"/>
        <v>18</v>
      </c>
      <c r="X23">
        <f t="shared" si="12"/>
        <v>16</v>
      </c>
      <c r="Y23">
        <f t="shared" si="12"/>
        <v>25</v>
      </c>
      <c r="Z23">
        <f t="shared" si="13"/>
        <v>10</v>
      </c>
      <c r="AA23">
        <f t="shared" si="13"/>
        <v>3</v>
      </c>
      <c r="AB23">
        <f t="shared" si="13"/>
        <v>2</v>
      </c>
      <c r="AC23">
        <f t="shared" si="13"/>
        <v>1</v>
      </c>
      <c r="AD23">
        <f t="shared" si="13"/>
        <v>6</v>
      </c>
      <c r="AE23">
        <f t="shared" si="13"/>
        <v>0</v>
      </c>
      <c r="AF23" s="56">
        <f t="shared" si="5"/>
        <v>24</v>
      </c>
      <c r="AG23" s="59">
        <f t="shared" si="6"/>
        <v>5.27536231884058</v>
      </c>
      <c r="AH23">
        <f t="shared" si="7"/>
        <v>0.21980676328502416</v>
      </c>
    </row>
    <row r="24" spans="1:34" ht="15" x14ac:dyDescent="0.2">
      <c r="A24">
        <v>408</v>
      </c>
      <c r="B24" s="57" t="s">
        <v>459</v>
      </c>
      <c r="C24" s="57"/>
      <c r="D24">
        <f t="shared" si="0"/>
        <v>353</v>
      </c>
      <c r="E24" s="1">
        <f t="shared" si="1"/>
        <v>61</v>
      </c>
      <c r="F24">
        <f t="shared" si="11"/>
        <v>24</v>
      </c>
      <c r="G24">
        <f t="shared" si="11"/>
        <v>7</v>
      </c>
      <c r="H24">
        <f t="shared" si="11"/>
        <v>7</v>
      </c>
      <c r="I24">
        <f t="shared" si="11"/>
        <v>12</v>
      </c>
      <c r="J24">
        <f t="shared" si="11"/>
        <v>36</v>
      </c>
      <c r="K24">
        <f t="shared" si="11"/>
        <v>4</v>
      </c>
      <c r="L24">
        <f t="shared" si="11"/>
        <v>9</v>
      </c>
      <c r="M24">
        <f t="shared" si="11"/>
        <v>17</v>
      </c>
      <c r="N24">
        <f t="shared" si="11"/>
        <v>21</v>
      </c>
      <c r="O24">
        <f t="shared" si="11"/>
        <v>1</v>
      </c>
      <c r="P24">
        <f t="shared" si="12"/>
        <v>3</v>
      </c>
      <c r="Q24">
        <f t="shared" si="12"/>
        <v>3</v>
      </c>
      <c r="R24">
        <f t="shared" si="12"/>
        <v>8</v>
      </c>
      <c r="S24">
        <f t="shared" si="12"/>
        <v>19</v>
      </c>
      <c r="T24">
        <f t="shared" si="12"/>
        <v>23</v>
      </c>
      <c r="U24">
        <f t="shared" si="12"/>
        <v>2</v>
      </c>
      <c r="V24">
        <f t="shared" si="12"/>
        <v>1</v>
      </c>
      <c r="W24">
        <f t="shared" si="12"/>
        <v>17</v>
      </c>
      <c r="X24">
        <f t="shared" si="12"/>
        <v>13</v>
      </c>
      <c r="Y24">
        <f t="shared" si="12"/>
        <v>33</v>
      </c>
      <c r="Z24">
        <f t="shared" si="13"/>
        <v>9</v>
      </c>
      <c r="AA24">
        <f t="shared" si="13"/>
        <v>6</v>
      </c>
      <c r="AB24">
        <f t="shared" si="13"/>
        <v>6</v>
      </c>
      <c r="AC24">
        <f t="shared" si="13"/>
        <v>0</v>
      </c>
      <c r="AD24">
        <f t="shared" si="13"/>
        <v>5</v>
      </c>
      <c r="AE24">
        <f t="shared" si="13"/>
        <v>1</v>
      </c>
      <c r="AF24" s="56">
        <f t="shared" si="5"/>
        <v>25</v>
      </c>
      <c r="AG24" s="59">
        <f t="shared" si="6"/>
        <v>5.7868852459016393</v>
      </c>
      <c r="AH24">
        <f t="shared" si="7"/>
        <v>0.23147540983606557</v>
      </c>
    </row>
    <row r="25" spans="1:34" ht="15" x14ac:dyDescent="0.2">
      <c r="A25">
        <v>448</v>
      </c>
      <c r="B25" s="57" t="s">
        <v>490</v>
      </c>
      <c r="C25" s="57"/>
      <c r="D25">
        <f t="shared" si="0"/>
        <v>350</v>
      </c>
      <c r="E25" s="1">
        <f t="shared" si="1"/>
        <v>66</v>
      </c>
      <c r="F25">
        <f t="shared" si="11"/>
        <v>17</v>
      </c>
      <c r="G25">
        <f t="shared" si="11"/>
        <v>3</v>
      </c>
      <c r="H25">
        <f t="shared" si="11"/>
        <v>10</v>
      </c>
      <c r="I25">
        <f t="shared" si="11"/>
        <v>7</v>
      </c>
      <c r="J25">
        <f t="shared" si="11"/>
        <v>32</v>
      </c>
      <c r="K25">
        <f t="shared" si="11"/>
        <v>12</v>
      </c>
      <c r="L25">
        <f t="shared" si="11"/>
        <v>5</v>
      </c>
      <c r="M25">
        <f t="shared" si="11"/>
        <v>13</v>
      </c>
      <c r="N25">
        <f t="shared" si="11"/>
        <v>21</v>
      </c>
      <c r="O25">
        <f t="shared" si="11"/>
        <v>3</v>
      </c>
      <c r="P25">
        <f t="shared" si="12"/>
        <v>1</v>
      </c>
      <c r="Q25">
        <f t="shared" si="12"/>
        <v>13</v>
      </c>
      <c r="R25">
        <f t="shared" si="12"/>
        <v>4</v>
      </c>
      <c r="S25">
        <f t="shared" si="12"/>
        <v>17</v>
      </c>
      <c r="T25">
        <f t="shared" si="12"/>
        <v>24</v>
      </c>
      <c r="U25">
        <f t="shared" si="12"/>
        <v>4</v>
      </c>
      <c r="V25">
        <f t="shared" si="12"/>
        <v>1</v>
      </c>
      <c r="W25">
        <f t="shared" si="12"/>
        <v>17</v>
      </c>
      <c r="X25">
        <f t="shared" si="12"/>
        <v>16</v>
      </c>
      <c r="Y25">
        <f t="shared" si="12"/>
        <v>28</v>
      </c>
      <c r="Z25">
        <f t="shared" si="13"/>
        <v>10</v>
      </c>
      <c r="AA25">
        <f t="shared" si="13"/>
        <v>2</v>
      </c>
      <c r="AB25">
        <f t="shared" si="13"/>
        <v>7</v>
      </c>
      <c r="AC25">
        <f t="shared" si="13"/>
        <v>0</v>
      </c>
      <c r="AD25">
        <f t="shared" si="13"/>
        <v>6</v>
      </c>
      <c r="AE25">
        <f t="shared" si="13"/>
        <v>0</v>
      </c>
      <c r="AF25" s="56">
        <f t="shared" si="5"/>
        <v>24</v>
      </c>
      <c r="AG25" s="59">
        <f t="shared" si="6"/>
        <v>5.3030303030303028</v>
      </c>
      <c r="AH25">
        <f t="shared" si="7"/>
        <v>0.22095959595959594</v>
      </c>
    </row>
    <row r="26" spans="1:34" ht="15" x14ac:dyDescent="0.2">
      <c r="A26">
        <v>369</v>
      </c>
      <c r="B26" s="57" t="s">
        <v>638</v>
      </c>
      <c r="C26" s="57"/>
      <c r="D26">
        <f t="shared" si="0"/>
        <v>344</v>
      </c>
      <c r="E26" s="1">
        <f t="shared" si="1"/>
        <v>66</v>
      </c>
      <c r="F26">
        <f t="shared" si="11"/>
        <v>16</v>
      </c>
      <c r="G26">
        <f t="shared" si="11"/>
        <v>6</v>
      </c>
      <c r="H26">
        <f t="shared" si="11"/>
        <v>5</v>
      </c>
      <c r="I26">
        <f t="shared" si="11"/>
        <v>7</v>
      </c>
      <c r="J26">
        <f t="shared" si="11"/>
        <v>33</v>
      </c>
      <c r="K26">
        <f t="shared" si="11"/>
        <v>3</v>
      </c>
      <c r="L26">
        <f t="shared" si="11"/>
        <v>7</v>
      </c>
      <c r="M26">
        <f t="shared" si="11"/>
        <v>13</v>
      </c>
      <c r="N26">
        <f t="shared" si="11"/>
        <v>15</v>
      </c>
      <c r="O26">
        <f t="shared" si="11"/>
        <v>0</v>
      </c>
      <c r="P26">
        <f t="shared" si="12"/>
        <v>6</v>
      </c>
      <c r="Q26">
        <f t="shared" si="12"/>
        <v>11</v>
      </c>
      <c r="R26">
        <f t="shared" si="12"/>
        <v>6</v>
      </c>
      <c r="S26">
        <f t="shared" si="12"/>
        <v>18</v>
      </c>
      <c r="T26">
        <f t="shared" si="12"/>
        <v>31</v>
      </c>
      <c r="U26">
        <f t="shared" si="12"/>
        <v>4</v>
      </c>
      <c r="V26">
        <f t="shared" si="12"/>
        <v>0</v>
      </c>
      <c r="W26">
        <f t="shared" si="12"/>
        <v>12</v>
      </c>
      <c r="X26">
        <f t="shared" si="12"/>
        <v>9</v>
      </c>
      <c r="Y26">
        <f t="shared" si="12"/>
        <v>25</v>
      </c>
      <c r="Z26">
        <f t="shared" si="13"/>
        <v>13</v>
      </c>
      <c r="AA26">
        <f t="shared" si="13"/>
        <v>2</v>
      </c>
      <c r="AB26">
        <f t="shared" si="13"/>
        <v>10</v>
      </c>
      <c r="AC26">
        <f t="shared" si="13"/>
        <v>0</v>
      </c>
      <c r="AD26">
        <f t="shared" si="13"/>
        <v>15</v>
      </c>
      <c r="AE26">
        <f t="shared" si="13"/>
        <v>2</v>
      </c>
      <c r="AF26" s="56">
        <f t="shared" si="5"/>
        <v>23</v>
      </c>
      <c r="AG26" s="59">
        <f t="shared" si="6"/>
        <v>5.2121212121212119</v>
      </c>
      <c r="AH26">
        <f t="shared" si="7"/>
        <v>0.22661396574440051</v>
      </c>
    </row>
    <row r="27" spans="1:34" ht="15" x14ac:dyDescent="0.2">
      <c r="A27">
        <v>547</v>
      </c>
      <c r="B27" s="57" t="s">
        <v>574</v>
      </c>
      <c r="C27" s="57"/>
      <c r="D27">
        <f t="shared" si="0"/>
        <v>341</v>
      </c>
      <c r="E27" s="1">
        <f t="shared" si="1"/>
        <v>58</v>
      </c>
      <c r="F27">
        <f t="shared" si="11"/>
        <v>25</v>
      </c>
      <c r="G27">
        <f t="shared" si="11"/>
        <v>2</v>
      </c>
      <c r="H27">
        <f t="shared" si="11"/>
        <v>13</v>
      </c>
      <c r="I27">
        <f t="shared" si="11"/>
        <v>16</v>
      </c>
      <c r="J27">
        <f t="shared" si="11"/>
        <v>22</v>
      </c>
      <c r="K27">
        <f t="shared" si="11"/>
        <v>7</v>
      </c>
      <c r="L27">
        <f t="shared" si="11"/>
        <v>4</v>
      </c>
      <c r="M27">
        <f t="shared" si="11"/>
        <v>16</v>
      </c>
      <c r="N27">
        <f t="shared" si="11"/>
        <v>27</v>
      </c>
      <c r="O27">
        <f t="shared" si="11"/>
        <v>1</v>
      </c>
      <c r="P27">
        <f t="shared" si="12"/>
        <v>2</v>
      </c>
      <c r="Q27">
        <f t="shared" si="12"/>
        <v>9</v>
      </c>
      <c r="R27">
        <f t="shared" si="12"/>
        <v>6</v>
      </c>
      <c r="S27">
        <f t="shared" si="12"/>
        <v>28</v>
      </c>
      <c r="T27">
        <f t="shared" si="12"/>
        <v>21</v>
      </c>
      <c r="U27">
        <f t="shared" si="12"/>
        <v>4</v>
      </c>
      <c r="V27">
        <f t="shared" si="12"/>
        <v>0</v>
      </c>
      <c r="W27">
        <f t="shared" si="12"/>
        <v>8</v>
      </c>
      <c r="X27">
        <f t="shared" si="12"/>
        <v>10</v>
      </c>
      <c r="Y27">
        <f t="shared" si="12"/>
        <v>33</v>
      </c>
      <c r="Z27">
        <f t="shared" si="13"/>
        <v>4</v>
      </c>
      <c r="AA27">
        <f t="shared" si="13"/>
        <v>0</v>
      </c>
      <c r="AB27">
        <f t="shared" si="13"/>
        <v>5</v>
      </c>
      <c r="AC27">
        <f t="shared" si="13"/>
        <v>0</v>
      </c>
      <c r="AD27">
        <f t="shared" si="13"/>
        <v>6</v>
      </c>
      <c r="AE27">
        <f t="shared" si="13"/>
        <v>0</v>
      </c>
      <c r="AF27" s="56">
        <f t="shared" si="5"/>
        <v>22</v>
      </c>
      <c r="AG27" s="59">
        <f t="shared" si="6"/>
        <v>5.8793103448275863</v>
      </c>
      <c r="AH27">
        <f t="shared" si="7"/>
        <v>0.26724137931034481</v>
      </c>
    </row>
    <row r="28" spans="1:34" ht="15" x14ac:dyDescent="0.2">
      <c r="A28">
        <v>361</v>
      </c>
      <c r="B28" s="57" t="s">
        <v>420</v>
      </c>
      <c r="C28" s="57"/>
      <c r="D28">
        <f t="shared" si="0"/>
        <v>339</v>
      </c>
      <c r="E28" s="1">
        <f t="shared" si="1"/>
        <v>59</v>
      </c>
      <c r="F28">
        <f t="shared" si="11"/>
        <v>26</v>
      </c>
      <c r="G28">
        <f t="shared" si="11"/>
        <v>5</v>
      </c>
      <c r="H28">
        <f t="shared" si="11"/>
        <v>4</v>
      </c>
      <c r="I28">
        <f t="shared" si="11"/>
        <v>5</v>
      </c>
      <c r="J28">
        <f t="shared" si="11"/>
        <v>33</v>
      </c>
      <c r="K28">
        <f t="shared" si="11"/>
        <v>5</v>
      </c>
      <c r="L28">
        <f t="shared" si="11"/>
        <v>5</v>
      </c>
      <c r="M28">
        <f t="shared" si="11"/>
        <v>12</v>
      </c>
      <c r="N28">
        <f t="shared" si="11"/>
        <v>21</v>
      </c>
      <c r="O28">
        <f t="shared" si="11"/>
        <v>1</v>
      </c>
      <c r="P28">
        <f t="shared" si="12"/>
        <v>1</v>
      </c>
      <c r="Q28">
        <f t="shared" si="12"/>
        <v>7</v>
      </c>
      <c r="R28">
        <f t="shared" si="12"/>
        <v>6</v>
      </c>
      <c r="S28">
        <f t="shared" si="12"/>
        <v>22</v>
      </c>
      <c r="T28">
        <f t="shared" si="12"/>
        <v>22</v>
      </c>
      <c r="U28">
        <f t="shared" si="12"/>
        <v>5</v>
      </c>
      <c r="V28">
        <f t="shared" si="12"/>
        <v>0</v>
      </c>
      <c r="W28">
        <f t="shared" si="12"/>
        <v>19</v>
      </c>
      <c r="X28">
        <f t="shared" si="12"/>
        <v>13</v>
      </c>
      <c r="Y28">
        <f t="shared" si="12"/>
        <v>29</v>
      </c>
      <c r="Z28">
        <f t="shared" si="13"/>
        <v>9</v>
      </c>
      <c r="AA28">
        <f t="shared" si="13"/>
        <v>4</v>
      </c>
      <c r="AB28">
        <f t="shared" si="13"/>
        <v>1</v>
      </c>
      <c r="AC28">
        <f t="shared" si="13"/>
        <v>1</v>
      </c>
      <c r="AD28">
        <f t="shared" si="13"/>
        <v>2</v>
      </c>
      <c r="AE28">
        <f t="shared" si="13"/>
        <v>2</v>
      </c>
      <c r="AF28" s="56">
        <f t="shared" si="5"/>
        <v>25</v>
      </c>
      <c r="AG28" s="59">
        <f t="shared" si="6"/>
        <v>5.7457627118644066</v>
      </c>
      <c r="AH28">
        <f t="shared" si="7"/>
        <v>0.22983050847457626</v>
      </c>
    </row>
    <row r="29" spans="1:34" ht="15" x14ac:dyDescent="0.2">
      <c r="A29">
        <v>517</v>
      </c>
      <c r="B29" s="57" t="s">
        <v>656</v>
      </c>
      <c r="C29" s="57"/>
      <c r="D29">
        <f t="shared" si="0"/>
        <v>333</v>
      </c>
      <c r="E29" s="1">
        <f t="shared" si="1"/>
        <v>65</v>
      </c>
      <c r="F29">
        <f t="shared" si="11"/>
        <v>24</v>
      </c>
      <c r="G29">
        <f t="shared" si="11"/>
        <v>4</v>
      </c>
      <c r="H29">
        <f t="shared" si="11"/>
        <v>8</v>
      </c>
      <c r="I29">
        <f t="shared" si="11"/>
        <v>7</v>
      </c>
      <c r="J29">
        <f t="shared" si="11"/>
        <v>30</v>
      </c>
      <c r="K29">
        <f t="shared" si="11"/>
        <v>5</v>
      </c>
      <c r="L29">
        <f t="shared" si="11"/>
        <v>8</v>
      </c>
      <c r="M29">
        <f t="shared" si="11"/>
        <v>11</v>
      </c>
      <c r="N29">
        <f t="shared" si="11"/>
        <v>14</v>
      </c>
      <c r="O29">
        <f t="shared" si="11"/>
        <v>0</v>
      </c>
      <c r="P29">
        <f t="shared" si="12"/>
        <v>4</v>
      </c>
      <c r="Q29">
        <f t="shared" si="12"/>
        <v>18</v>
      </c>
      <c r="R29">
        <f t="shared" si="12"/>
        <v>3</v>
      </c>
      <c r="S29">
        <f t="shared" si="12"/>
        <v>14</v>
      </c>
      <c r="T29">
        <f t="shared" si="12"/>
        <v>21</v>
      </c>
      <c r="U29">
        <f t="shared" si="12"/>
        <v>7</v>
      </c>
      <c r="V29">
        <f t="shared" si="12"/>
        <v>0</v>
      </c>
      <c r="W29">
        <f t="shared" si="12"/>
        <v>19</v>
      </c>
      <c r="X29">
        <f t="shared" si="12"/>
        <v>11</v>
      </c>
      <c r="Y29">
        <f t="shared" si="12"/>
        <v>25</v>
      </c>
      <c r="Z29">
        <f t="shared" si="13"/>
        <v>7</v>
      </c>
      <c r="AA29">
        <f t="shared" si="13"/>
        <v>6</v>
      </c>
      <c r="AB29">
        <f t="shared" si="13"/>
        <v>2</v>
      </c>
      <c r="AC29">
        <f t="shared" si="13"/>
        <v>0</v>
      </c>
      <c r="AD29">
        <f t="shared" si="13"/>
        <v>6</v>
      </c>
      <c r="AE29">
        <f t="shared" si="13"/>
        <v>0</v>
      </c>
      <c r="AF29" s="56">
        <f t="shared" si="5"/>
        <v>22</v>
      </c>
      <c r="AG29" s="59">
        <f t="shared" si="6"/>
        <v>5.1230769230769226</v>
      </c>
      <c r="AH29">
        <f t="shared" si="7"/>
        <v>0.23286713286713284</v>
      </c>
    </row>
    <row r="30" spans="1:34" ht="15" x14ac:dyDescent="0.2">
      <c r="A30">
        <v>295</v>
      </c>
      <c r="B30" s="57" t="s">
        <v>356</v>
      </c>
      <c r="C30" s="57"/>
      <c r="D30">
        <f t="shared" si="0"/>
        <v>322</v>
      </c>
      <c r="E30" s="1">
        <f t="shared" si="1"/>
        <v>55</v>
      </c>
      <c r="F30">
        <f t="shared" si="11"/>
        <v>24</v>
      </c>
      <c r="G30">
        <f t="shared" si="11"/>
        <v>5</v>
      </c>
      <c r="H30">
        <f t="shared" si="11"/>
        <v>8</v>
      </c>
      <c r="I30">
        <f t="shared" si="11"/>
        <v>5</v>
      </c>
      <c r="J30">
        <f t="shared" si="11"/>
        <v>31</v>
      </c>
      <c r="K30">
        <f t="shared" si="11"/>
        <v>5</v>
      </c>
      <c r="L30">
        <f t="shared" si="11"/>
        <v>4</v>
      </c>
      <c r="M30">
        <f t="shared" si="11"/>
        <v>21</v>
      </c>
      <c r="N30">
        <f t="shared" si="11"/>
        <v>16</v>
      </c>
      <c r="O30">
        <f t="shared" si="11"/>
        <v>0</v>
      </c>
      <c r="P30">
        <f t="shared" si="12"/>
        <v>2</v>
      </c>
      <c r="Q30">
        <f t="shared" si="12"/>
        <v>7</v>
      </c>
      <c r="R30">
        <f t="shared" si="12"/>
        <v>12</v>
      </c>
      <c r="S30">
        <f t="shared" si="12"/>
        <v>15</v>
      </c>
      <c r="T30">
        <f t="shared" si="12"/>
        <v>20</v>
      </c>
      <c r="U30">
        <f t="shared" si="12"/>
        <v>2</v>
      </c>
      <c r="V30">
        <f t="shared" si="12"/>
        <v>0</v>
      </c>
      <c r="W30">
        <f t="shared" si="12"/>
        <v>11</v>
      </c>
      <c r="X30">
        <f t="shared" si="12"/>
        <v>12</v>
      </c>
      <c r="Y30">
        <f t="shared" si="12"/>
        <v>33</v>
      </c>
      <c r="Z30">
        <f t="shared" si="13"/>
        <v>3</v>
      </c>
      <c r="AA30">
        <f t="shared" si="13"/>
        <v>3</v>
      </c>
      <c r="AB30">
        <f t="shared" si="13"/>
        <v>9</v>
      </c>
      <c r="AC30">
        <f t="shared" si="13"/>
        <v>0</v>
      </c>
      <c r="AD30">
        <f t="shared" si="13"/>
        <v>8</v>
      </c>
      <c r="AE30">
        <f t="shared" si="13"/>
        <v>0</v>
      </c>
      <c r="AF30" s="56">
        <f t="shared" si="5"/>
        <v>22</v>
      </c>
      <c r="AG30" s="59">
        <f t="shared" si="6"/>
        <v>5.8545454545454545</v>
      </c>
      <c r="AH30">
        <f t="shared" si="7"/>
        <v>0.26611570247933886</v>
      </c>
    </row>
    <row r="31" spans="1:34" ht="15" x14ac:dyDescent="0.2">
      <c r="A31">
        <v>445</v>
      </c>
      <c r="B31" s="57" t="s">
        <v>637</v>
      </c>
      <c r="C31" s="57"/>
      <c r="D31">
        <f t="shared" si="0"/>
        <v>314</v>
      </c>
      <c r="E31" s="1">
        <f t="shared" si="1"/>
        <v>57</v>
      </c>
      <c r="F31">
        <f t="shared" si="11"/>
        <v>22</v>
      </c>
      <c r="G31">
        <f t="shared" si="11"/>
        <v>5</v>
      </c>
      <c r="H31">
        <f t="shared" si="11"/>
        <v>7</v>
      </c>
      <c r="I31">
        <f t="shared" si="11"/>
        <v>6</v>
      </c>
      <c r="J31">
        <f t="shared" si="11"/>
        <v>26</v>
      </c>
      <c r="K31">
        <f t="shared" si="11"/>
        <v>10</v>
      </c>
      <c r="L31">
        <f t="shared" si="11"/>
        <v>4</v>
      </c>
      <c r="M31">
        <f t="shared" si="11"/>
        <v>8</v>
      </c>
      <c r="N31">
        <f t="shared" si="11"/>
        <v>20</v>
      </c>
      <c r="O31">
        <f t="shared" si="11"/>
        <v>0</v>
      </c>
      <c r="P31">
        <f t="shared" si="12"/>
        <v>0</v>
      </c>
      <c r="Q31">
        <f t="shared" si="12"/>
        <v>11</v>
      </c>
      <c r="R31">
        <f t="shared" si="12"/>
        <v>1</v>
      </c>
      <c r="S31">
        <f t="shared" si="12"/>
        <v>16</v>
      </c>
      <c r="T31">
        <f t="shared" si="12"/>
        <v>22</v>
      </c>
      <c r="U31">
        <f t="shared" si="12"/>
        <v>6</v>
      </c>
      <c r="V31">
        <f t="shared" si="12"/>
        <v>1</v>
      </c>
      <c r="W31">
        <f t="shared" si="12"/>
        <v>18</v>
      </c>
      <c r="X31">
        <f t="shared" si="12"/>
        <v>17</v>
      </c>
      <c r="Y31">
        <f t="shared" si="12"/>
        <v>23</v>
      </c>
      <c r="Z31">
        <f t="shared" si="13"/>
        <v>14</v>
      </c>
      <c r="AA31">
        <f t="shared" si="13"/>
        <v>2</v>
      </c>
      <c r="AB31">
        <f t="shared" si="13"/>
        <v>2</v>
      </c>
      <c r="AC31">
        <f t="shared" si="13"/>
        <v>0</v>
      </c>
      <c r="AD31">
        <f t="shared" si="13"/>
        <v>9</v>
      </c>
      <c r="AE31">
        <f t="shared" si="13"/>
        <v>0</v>
      </c>
      <c r="AF31" s="56">
        <f t="shared" si="5"/>
        <v>22</v>
      </c>
      <c r="AG31" s="59">
        <f t="shared" si="6"/>
        <v>5.5087719298245617</v>
      </c>
      <c r="AH31">
        <f t="shared" si="7"/>
        <v>0.25039872408293462</v>
      </c>
    </row>
    <row r="32" spans="1:34" ht="15" x14ac:dyDescent="0.2">
      <c r="A32">
        <v>524</v>
      </c>
      <c r="B32" s="57" t="s">
        <v>657</v>
      </c>
      <c r="C32" s="57"/>
      <c r="D32">
        <f t="shared" si="0"/>
        <v>313</v>
      </c>
      <c r="E32" s="1">
        <f t="shared" si="1"/>
        <v>54</v>
      </c>
      <c r="F32">
        <f t="shared" ref="F32:O41" si="14">LEN($B32)-LEN(SUBSTITUTE($B32,F$1,""))</f>
        <v>26</v>
      </c>
      <c r="G32">
        <f t="shared" si="14"/>
        <v>5</v>
      </c>
      <c r="H32">
        <f t="shared" si="14"/>
        <v>8</v>
      </c>
      <c r="I32">
        <f t="shared" si="14"/>
        <v>6</v>
      </c>
      <c r="J32">
        <f t="shared" si="14"/>
        <v>39</v>
      </c>
      <c r="K32">
        <f t="shared" si="14"/>
        <v>2</v>
      </c>
      <c r="L32">
        <f t="shared" si="14"/>
        <v>4</v>
      </c>
      <c r="M32">
        <f t="shared" si="14"/>
        <v>13</v>
      </c>
      <c r="N32">
        <f t="shared" si="14"/>
        <v>21</v>
      </c>
      <c r="O32">
        <f t="shared" si="14"/>
        <v>0</v>
      </c>
      <c r="P32">
        <f t="shared" ref="P32:Y41" si="15">LEN($B32)-LEN(SUBSTITUTE($B32,P$1,""))</f>
        <v>0</v>
      </c>
      <c r="Q32">
        <f t="shared" si="15"/>
        <v>12</v>
      </c>
      <c r="R32">
        <f t="shared" si="15"/>
        <v>4</v>
      </c>
      <c r="S32">
        <f t="shared" si="15"/>
        <v>12</v>
      </c>
      <c r="T32">
        <f t="shared" si="15"/>
        <v>13</v>
      </c>
      <c r="U32">
        <f t="shared" si="15"/>
        <v>6</v>
      </c>
      <c r="V32">
        <f t="shared" si="15"/>
        <v>0</v>
      </c>
      <c r="W32">
        <f t="shared" si="15"/>
        <v>20</v>
      </c>
      <c r="X32">
        <f t="shared" si="15"/>
        <v>16</v>
      </c>
      <c r="Y32">
        <f t="shared" si="15"/>
        <v>24</v>
      </c>
      <c r="Z32">
        <f t="shared" ref="Z32:AE41" si="16">LEN($B32)-LEN(SUBSTITUTE($B32,Z$1,""))</f>
        <v>6</v>
      </c>
      <c r="AA32">
        <f t="shared" si="16"/>
        <v>6</v>
      </c>
      <c r="AB32">
        <f t="shared" si="16"/>
        <v>5</v>
      </c>
      <c r="AC32">
        <f t="shared" si="16"/>
        <v>0</v>
      </c>
      <c r="AD32">
        <f t="shared" si="16"/>
        <v>4</v>
      </c>
      <c r="AE32">
        <f t="shared" si="16"/>
        <v>0</v>
      </c>
      <c r="AF32" s="56">
        <f t="shared" si="5"/>
        <v>21</v>
      </c>
      <c r="AG32" s="59">
        <f t="shared" si="6"/>
        <v>5.7962962962962967</v>
      </c>
      <c r="AH32">
        <f t="shared" si="7"/>
        <v>0.27601410934744269</v>
      </c>
    </row>
    <row r="33" spans="1:34" ht="15" x14ac:dyDescent="0.2">
      <c r="A33">
        <v>527</v>
      </c>
      <c r="B33" s="57" t="s">
        <v>557</v>
      </c>
      <c r="C33" s="57"/>
      <c r="D33">
        <f t="shared" si="0"/>
        <v>313</v>
      </c>
      <c r="E33" s="1">
        <f t="shared" si="1"/>
        <v>54</v>
      </c>
      <c r="F33">
        <f t="shared" si="14"/>
        <v>24</v>
      </c>
      <c r="G33">
        <f t="shared" si="14"/>
        <v>4</v>
      </c>
      <c r="H33">
        <f t="shared" si="14"/>
        <v>10</v>
      </c>
      <c r="I33">
        <f t="shared" si="14"/>
        <v>5</v>
      </c>
      <c r="J33">
        <f t="shared" si="14"/>
        <v>35</v>
      </c>
      <c r="K33">
        <f t="shared" si="14"/>
        <v>6</v>
      </c>
      <c r="L33">
        <f t="shared" si="14"/>
        <v>2</v>
      </c>
      <c r="M33">
        <f t="shared" si="14"/>
        <v>14</v>
      </c>
      <c r="N33">
        <f t="shared" si="14"/>
        <v>11</v>
      </c>
      <c r="O33">
        <f t="shared" si="14"/>
        <v>0</v>
      </c>
      <c r="P33">
        <f t="shared" si="15"/>
        <v>4</v>
      </c>
      <c r="Q33">
        <f t="shared" si="15"/>
        <v>11</v>
      </c>
      <c r="R33">
        <f t="shared" si="15"/>
        <v>6</v>
      </c>
      <c r="S33">
        <f t="shared" si="15"/>
        <v>16</v>
      </c>
      <c r="T33">
        <f t="shared" si="15"/>
        <v>21</v>
      </c>
      <c r="U33">
        <f t="shared" si="15"/>
        <v>11</v>
      </c>
      <c r="V33">
        <f t="shared" si="15"/>
        <v>0</v>
      </c>
      <c r="W33">
        <f t="shared" si="15"/>
        <v>19</v>
      </c>
      <c r="X33">
        <f t="shared" si="15"/>
        <v>18</v>
      </c>
      <c r="Y33">
        <f t="shared" si="15"/>
        <v>26</v>
      </c>
      <c r="Z33">
        <f t="shared" si="16"/>
        <v>6</v>
      </c>
      <c r="AA33">
        <f t="shared" si="16"/>
        <v>1</v>
      </c>
      <c r="AB33">
        <f t="shared" si="16"/>
        <v>3</v>
      </c>
      <c r="AC33">
        <f t="shared" si="16"/>
        <v>0</v>
      </c>
      <c r="AD33">
        <f t="shared" si="16"/>
        <v>3</v>
      </c>
      <c r="AE33">
        <f t="shared" si="16"/>
        <v>0</v>
      </c>
      <c r="AF33" s="56">
        <f t="shared" si="5"/>
        <v>22</v>
      </c>
      <c r="AG33" s="59">
        <f t="shared" si="6"/>
        <v>5.7962962962962967</v>
      </c>
      <c r="AH33">
        <f t="shared" si="7"/>
        <v>0.26346801346801346</v>
      </c>
    </row>
    <row r="34" spans="1:34" ht="15" x14ac:dyDescent="0.2">
      <c r="A34">
        <v>483</v>
      </c>
      <c r="B34" s="57" t="s">
        <v>521</v>
      </c>
      <c r="C34" s="57"/>
      <c r="D34">
        <f t="shared" si="0"/>
        <v>313</v>
      </c>
      <c r="E34" s="1">
        <f t="shared" si="1"/>
        <v>58</v>
      </c>
      <c r="F34">
        <f t="shared" si="14"/>
        <v>24</v>
      </c>
      <c r="G34">
        <f t="shared" si="14"/>
        <v>5</v>
      </c>
      <c r="H34">
        <f t="shared" si="14"/>
        <v>6</v>
      </c>
      <c r="I34">
        <f t="shared" si="14"/>
        <v>7</v>
      </c>
      <c r="J34">
        <f t="shared" si="14"/>
        <v>33</v>
      </c>
      <c r="K34">
        <f t="shared" si="14"/>
        <v>2</v>
      </c>
      <c r="L34">
        <f t="shared" si="14"/>
        <v>7</v>
      </c>
      <c r="M34">
        <f t="shared" si="14"/>
        <v>12</v>
      </c>
      <c r="N34">
        <f t="shared" si="14"/>
        <v>10</v>
      </c>
      <c r="O34">
        <f t="shared" si="14"/>
        <v>0</v>
      </c>
      <c r="P34">
        <f t="shared" si="15"/>
        <v>2</v>
      </c>
      <c r="Q34">
        <f t="shared" si="15"/>
        <v>8</v>
      </c>
      <c r="R34">
        <f t="shared" si="15"/>
        <v>13</v>
      </c>
      <c r="S34">
        <f t="shared" si="15"/>
        <v>7</v>
      </c>
      <c r="T34">
        <f t="shared" si="15"/>
        <v>22</v>
      </c>
      <c r="U34">
        <f t="shared" si="15"/>
        <v>10</v>
      </c>
      <c r="V34">
        <f t="shared" si="15"/>
        <v>0</v>
      </c>
      <c r="W34">
        <f t="shared" si="15"/>
        <v>22</v>
      </c>
      <c r="X34">
        <f t="shared" si="15"/>
        <v>13</v>
      </c>
      <c r="Y34">
        <f t="shared" si="15"/>
        <v>21</v>
      </c>
      <c r="Z34">
        <f t="shared" si="16"/>
        <v>6</v>
      </c>
      <c r="AA34">
        <f t="shared" si="16"/>
        <v>4</v>
      </c>
      <c r="AB34">
        <f t="shared" si="16"/>
        <v>3</v>
      </c>
      <c r="AC34">
        <f t="shared" si="16"/>
        <v>0</v>
      </c>
      <c r="AD34">
        <f t="shared" si="16"/>
        <v>3</v>
      </c>
      <c r="AE34">
        <f t="shared" si="16"/>
        <v>0</v>
      </c>
      <c r="AF34" s="56">
        <f t="shared" si="5"/>
        <v>22</v>
      </c>
      <c r="AG34" s="59">
        <f t="shared" si="6"/>
        <v>5.3965517241379306</v>
      </c>
      <c r="AH34">
        <f t="shared" si="7"/>
        <v>0.2452978056426332</v>
      </c>
    </row>
    <row r="35" spans="1:34" ht="15" x14ac:dyDescent="0.2">
      <c r="A35">
        <v>269</v>
      </c>
      <c r="B35" s="57" t="s">
        <v>331</v>
      </c>
      <c r="C35" s="57"/>
      <c r="D35">
        <f t="shared" si="0"/>
        <v>310</v>
      </c>
      <c r="E35" s="1">
        <f t="shared" si="1"/>
        <v>50</v>
      </c>
      <c r="F35">
        <f t="shared" si="14"/>
        <v>17</v>
      </c>
      <c r="G35">
        <f t="shared" si="14"/>
        <v>5</v>
      </c>
      <c r="H35">
        <f t="shared" si="14"/>
        <v>7</v>
      </c>
      <c r="I35">
        <f t="shared" si="14"/>
        <v>6</v>
      </c>
      <c r="J35">
        <f t="shared" si="14"/>
        <v>23</v>
      </c>
      <c r="K35">
        <f t="shared" si="14"/>
        <v>6</v>
      </c>
      <c r="L35">
        <f t="shared" si="14"/>
        <v>7</v>
      </c>
      <c r="M35">
        <f t="shared" si="14"/>
        <v>10</v>
      </c>
      <c r="N35">
        <f t="shared" si="14"/>
        <v>25</v>
      </c>
      <c r="O35">
        <f t="shared" si="14"/>
        <v>2</v>
      </c>
      <c r="P35">
        <f t="shared" si="15"/>
        <v>4</v>
      </c>
      <c r="Q35">
        <f t="shared" si="15"/>
        <v>15</v>
      </c>
      <c r="R35">
        <f t="shared" si="15"/>
        <v>11</v>
      </c>
      <c r="S35">
        <f t="shared" si="15"/>
        <v>14</v>
      </c>
      <c r="T35">
        <f t="shared" si="15"/>
        <v>16</v>
      </c>
      <c r="U35">
        <f t="shared" si="15"/>
        <v>6</v>
      </c>
      <c r="V35">
        <f t="shared" si="15"/>
        <v>0</v>
      </c>
      <c r="W35">
        <f t="shared" si="15"/>
        <v>11</v>
      </c>
      <c r="X35">
        <f t="shared" si="15"/>
        <v>22</v>
      </c>
      <c r="Y35">
        <f t="shared" si="15"/>
        <v>25</v>
      </c>
      <c r="Z35">
        <f t="shared" si="16"/>
        <v>9</v>
      </c>
      <c r="AA35">
        <f t="shared" si="16"/>
        <v>2</v>
      </c>
      <c r="AB35">
        <f t="shared" si="16"/>
        <v>2</v>
      </c>
      <c r="AC35">
        <f t="shared" si="16"/>
        <v>0</v>
      </c>
      <c r="AD35">
        <f t="shared" si="16"/>
        <v>3</v>
      </c>
      <c r="AE35">
        <f t="shared" si="16"/>
        <v>0</v>
      </c>
      <c r="AF35" s="56">
        <f t="shared" si="5"/>
        <v>23</v>
      </c>
      <c r="AG35" s="59">
        <f t="shared" si="6"/>
        <v>6.2</v>
      </c>
      <c r="AH35">
        <f t="shared" si="7"/>
        <v>0.26956521739130435</v>
      </c>
    </row>
    <row r="36" spans="1:34" ht="15" x14ac:dyDescent="0.2">
      <c r="A36">
        <v>601</v>
      </c>
      <c r="B36" s="57" t="s">
        <v>621</v>
      </c>
      <c r="C36" s="57"/>
      <c r="D36">
        <f t="shared" si="0"/>
        <v>303</v>
      </c>
      <c r="E36" s="1">
        <f t="shared" si="1"/>
        <v>56</v>
      </c>
      <c r="F36">
        <f t="shared" si="14"/>
        <v>17</v>
      </c>
      <c r="G36">
        <f t="shared" si="14"/>
        <v>4</v>
      </c>
      <c r="H36">
        <f t="shared" si="14"/>
        <v>4</v>
      </c>
      <c r="I36">
        <f t="shared" si="14"/>
        <v>5</v>
      </c>
      <c r="J36">
        <f t="shared" si="14"/>
        <v>23</v>
      </c>
      <c r="K36">
        <f t="shared" si="14"/>
        <v>4</v>
      </c>
      <c r="L36">
        <f t="shared" si="14"/>
        <v>10</v>
      </c>
      <c r="M36">
        <f t="shared" si="14"/>
        <v>16</v>
      </c>
      <c r="N36">
        <f t="shared" si="14"/>
        <v>23</v>
      </c>
      <c r="O36">
        <f t="shared" si="14"/>
        <v>0</v>
      </c>
      <c r="P36">
        <f t="shared" si="15"/>
        <v>2</v>
      </c>
      <c r="Q36">
        <f t="shared" si="15"/>
        <v>8</v>
      </c>
      <c r="R36">
        <f t="shared" si="15"/>
        <v>8</v>
      </c>
      <c r="S36">
        <f t="shared" si="15"/>
        <v>17</v>
      </c>
      <c r="T36">
        <f t="shared" si="15"/>
        <v>10</v>
      </c>
      <c r="U36">
        <f t="shared" si="15"/>
        <v>2</v>
      </c>
      <c r="V36">
        <f t="shared" si="15"/>
        <v>0</v>
      </c>
      <c r="W36">
        <f t="shared" si="15"/>
        <v>9</v>
      </c>
      <c r="X36">
        <f t="shared" si="15"/>
        <v>21</v>
      </c>
      <c r="Y36">
        <f t="shared" si="15"/>
        <v>25</v>
      </c>
      <c r="Z36">
        <f t="shared" si="16"/>
        <v>3</v>
      </c>
      <c r="AA36">
        <f t="shared" si="16"/>
        <v>1</v>
      </c>
      <c r="AB36">
        <f t="shared" si="16"/>
        <v>11</v>
      </c>
      <c r="AC36">
        <f t="shared" si="16"/>
        <v>0</v>
      </c>
      <c r="AD36">
        <f t="shared" si="16"/>
        <v>5</v>
      </c>
      <c r="AE36">
        <f t="shared" si="16"/>
        <v>0</v>
      </c>
      <c r="AF36" s="56">
        <f t="shared" si="5"/>
        <v>22</v>
      </c>
      <c r="AG36" s="59">
        <f t="shared" si="6"/>
        <v>5.4107142857142856</v>
      </c>
      <c r="AH36">
        <f t="shared" si="7"/>
        <v>0.24594155844155843</v>
      </c>
    </row>
    <row r="37" spans="1:34" ht="15" x14ac:dyDescent="0.2">
      <c r="A37">
        <v>377</v>
      </c>
      <c r="B37" s="57" t="s">
        <v>432</v>
      </c>
      <c r="C37" s="57"/>
      <c r="D37">
        <f t="shared" si="0"/>
        <v>303</v>
      </c>
      <c r="E37" s="1">
        <f t="shared" si="1"/>
        <v>52</v>
      </c>
      <c r="F37">
        <f t="shared" si="14"/>
        <v>17</v>
      </c>
      <c r="G37">
        <f t="shared" si="14"/>
        <v>3</v>
      </c>
      <c r="H37">
        <f t="shared" si="14"/>
        <v>7</v>
      </c>
      <c r="I37">
        <f t="shared" si="14"/>
        <v>8</v>
      </c>
      <c r="J37">
        <f t="shared" si="14"/>
        <v>34</v>
      </c>
      <c r="K37">
        <f t="shared" si="14"/>
        <v>7</v>
      </c>
      <c r="L37">
        <f t="shared" si="14"/>
        <v>7</v>
      </c>
      <c r="M37">
        <f t="shared" si="14"/>
        <v>11</v>
      </c>
      <c r="N37">
        <f t="shared" si="14"/>
        <v>18</v>
      </c>
      <c r="O37">
        <f t="shared" si="14"/>
        <v>0</v>
      </c>
      <c r="P37">
        <f t="shared" si="15"/>
        <v>1</v>
      </c>
      <c r="Q37">
        <f t="shared" si="15"/>
        <v>9</v>
      </c>
      <c r="R37">
        <f t="shared" si="15"/>
        <v>12</v>
      </c>
      <c r="S37">
        <f t="shared" si="15"/>
        <v>21</v>
      </c>
      <c r="T37">
        <f t="shared" si="15"/>
        <v>19</v>
      </c>
      <c r="U37">
        <f t="shared" si="15"/>
        <v>4</v>
      </c>
      <c r="V37">
        <f t="shared" si="15"/>
        <v>0</v>
      </c>
      <c r="W37">
        <f t="shared" si="15"/>
        <v>17</v>
      </c>
      <c r="X37">
        <f t="shared" si="15"/>
        <v>9</v>
      </c>
      <c r="Y37">
        <f t="shared" si="15"/>
        <v>24</v>
      </c>
      <c r="Z37">
        <f t="shared" si="16"/>
        <v>6</v>
      </c>
      <c r="AA37">
        <f t="shared" si="16"/>
        <v>1</v>
      </c>
      <c r="AB37">
        <f t="shared" si="16"/>
        <v>1</v>
      </c>
      <c r="AC37">
        <f t="shared" si="16"/>
        <v>1</v>
      </c>
      <c r="AD37">
        <f t="shared" si="16"/>
        <v>7</v>
      </c>
      <c r="AE37">
        <f t="shared" si="16"/>
        <v>0</v>
      </c>
      <c r="AF37" s="56">
        <f t="shared" si="5"/>
        <v>23</v>
      </c>
      <c r="AG37" s="59">
        <f t="shared" si="6"/>
        <v>5.8269230769230766</v>
      </c>
      <c r="AH37">
        <f t="shared" si="7"/>
        <v>0.25334448160535117</v>
      </c>
    </row>
    <row r="38" spans="1:34" ht="15" x14ac:dyDescent="0.2">
      <c r="A38">
        <v>438</v>
      </c>
      <c r="B38" s="57" t="s">
        <v>658</v>
      </c>
      <c r="C38" s="57"/>
      <c r="D38">
        <f t="shared" si="0"/>
        <v>300</v>
      </c>
      <c r="E38" s="1">
        <f t="shared" si="1"/>
        <v>57</v>
      </c>
      <c r="F38">
        <f t="shared" si="14"/>
        <v>29</v>
      </c>
      <c r="G38">
        <f t="shared" si="14"/>
        <v>6</v>
      </c>
      <c r="H38">
        <f t="shared" si="14"/>
        <v>12</v>
      </c>
      <c r="I38">
        <f t="shared" si="14"/>
        <v>10</v>
      </c>
      <c r="J38">
        <f t="shared" si="14"/>
        <v>24</v>
      </c>
      <c r="K38">
        <f t="shared" si="14"/>
        <v>11</v>
      </c>
      <c r="L38">
        <f t="shared" si="14"/>
        <v>4</v>
      </c>
      <c r="M38">
        <f t="shared" si="14"/>
        <v>13</v>
      </c>
      <c r="N38">
        <f t="shared" si="14"/>
        <v>19</v>
      </c>
      <c r="O38">
        <f t="shared" si="14"/>
        <v>0</v>
      </c>
      <c r="P38">
        <f t="shared" si="15"/>
        <v>0</v>
      </c>
      <c r="Q38">
        <f t="shared" si="15"/>
        <v>3</v>
      </c>
      <c r="R38">
        <f t="shared" si="15"/>
        <v>11</v>
      </c>
      <c r="S38">
        <f t="shared" si="15"/>
        <v>11</v>
      </c>
      <c r="T38">
        <f t="shared" si="15"/>
        <v>13</v>
      </c>
      <c r="U38">
        <f t="shared" si="15"/>
        <v>5</v>
      </c>
      <c r="V38">
        <f t="shared" si="15"/>
        <v>0</v>
      </c>
      <c r="W38">
        <f t="shared" si="15"/>
        <v>13</v>
      </c>
      <c r="X38">
        <f t="shared" si="15"/>
        <v>15</v>
      </c>
      <c r="Y38">
        <f t="shared" si="15"/>
        <v>15</v>
      </c>
      <c r="Z38">
        <f t="shared" si="16"/>
        <v>9</v>
      </c>
      <c r="AA38">
        <f t="shared" si="16"/>
        <v>2</v>
      </c>
      <c r="AB38">
        <f t="shared" si="16"/>
        <v>3</v>
      </c>
      <c r="AC38">
        <f t="shared" si="16"/>
        <v>0</v>
      </c>
      <c r="AD38">
        <f t="shared" si="16"/>
        <v>5</v>
      </c>
      <c r="AE38">
        <f t="shared" si="16"/>
        <v>0</v>
      </c>
      <c r="AF38" s="56">
        <f t="shared" si="5"/>
        <v>21</v>
      </c>
      <c r="AG38" s="59">
        <f t="shared" si="6"/>
        <v>5.2631578947368425</v>
      </c>
      <c r="AH38">
        <f t="shared" si="7"/>
        <v>0.25062656641604014</v>
      </c>
    </row>
    <row r="39" spans="1:34" ht="15" x14ac:dyDescent="0.2">
      <c r="A39">
        <v>357</v>
      </c>
      <c r="B39" s="57" t="s">
        <v>416</v>
      </c>
      <c r="C39" s="57"/>
      <c r="D39">
        <f t="shared" si="0"/>
        <v>298</v>
      </c>
      <c r="E39" s="1">
        <f t="shared" si="1"/>
        <v>58</v>
      </c>
      <c r="F39">
        <f t="shared" si="14"/>
        <v>15</v>
      </c>
      <c r="G39">
        <f t="shared" si="14"/>
        <v>5</v>
      </c>
      <c r="H39">
        <f t="shared" si="14"/>
        <v>3</v>
      </c>
      <c r="I39">
        <f t="shared" si="14"/>
        <v>5</v>
      </c>
      <c r="J39">
        <f t="shared" si="14"/>
        <v>25</v>
      </c>
      <c r="K39">
        <f t="shared" si="14"/>
        <v>2</v>
      </c>
      <c r="L39">
        <f t="shared" si="14"/>
        <v>8</v>
      </c>
      <c r="M39">
        <f t="shared" si="14"/>
        <v>9</v>
      </c>
      <c r="N39">
        <f t="shared" si="14"/>
        <v>14</v>
      </c>
      <c r="O39">
        <f t="shared" si="14"/>
        <v>1</v>
      </c>
      <c r="P39">
        <f t="shared" si="15"/>
        <v>3</v>
      </c>
      <c r="Q39">
        <f t="shared" si="15"/>
        <v>10</v>
      </c>
      <c r="R39">
        <f t="shared" si="15"/>
        <v>5</v>
      </c>
      <c r="S39">
        <f t="shared" si="15"/>
        <v>11</v>
      </c>
      <c r="T39">
        <f t="shared" si="15"/>
        <v>28</v>
      </c>
      <c r="U39">
        <f t="shared" si="15"/>
        <v>5</v>
      </c>
      <c r="V39">
        <f t="shared" si="15"/>
        <v>0</v>
      </c>
      <c r="W39">
        <f t="shared" si="15"/>
        <v>18</v>
      </c>
      <c r="X39">
        <f t="shared" si="15"/>
        <v>9</v>
      </c>
      <c r="Y39">
        <f t="shared" si="15"/>
        <v>22</v>
      </c>
      <c r="Z39">
        <f t="shared" si="16"/>
        <v>11</v>
      </c>
      <c r="AA39">
        <f t="shared" si="16"/>
        <v>4</v>
      </c>
      <c r="AB39">
        <f t="shared" si="16"/>
        <v>4</v>
      </c>
      <c r="AC39">
        <f t="shared" si="16"/>
        <v>1</v>
      </c>
      <c r="AD39">
        <f t="shared" si="16"/>
        <v>11</v>
      </c>
      <c r="AE39">
        <f t="shared" si="16"/>
        <v>0</v>
      </c>
      <c r="AF39" s="56">
        <f t="shared" si="5"/>
        <v>24</v>
      </c>
      <c r="AG39" s="59">
        <f t="shared" si="6"/>
        <v>5.1379310344827589</v>
      </c>
      <c r="AH39">
        <f t="shared" si="7"/>
        <v>0.21408045977011494</v>
      </c>
    </row>
    <row r="40" spans="1:34" ht="15" x14ac:dyDescent="0.2">
      <c r="A40">
        <v>602</v>
      </c>
      <c r="B40" s="57" t="s">
        <v>622</v>
      </c>
      <c r="C40" s="57"/>
      <c r="D40">
        <f t="shared" si="0"/>
        <v>294</v>
      </c>
      <c r="E40" s="1">
        <f t="shared" si="1"/>
        <v>59</v>
      </c>
      <c r="F40">
        <f t="shared" si="14"/>
        <v>27</v>
      </c>
      <c r="G40">
        <f t="shared" si="14"/>
        <v>2</v>
      </c>
      <c r="H40">
        <f t="shared" si="14"/>
        <v>2</v>
      </c>
      <c r="I40">
        <f t="shared" si="14"/>
        <v>5</v>
      </c>
      <c r="J40">
        <f t="shared" si="14"/>
        <v>28</v>
      </c>
      <c r="K40">
        <f t="shared" si="14"/>
        <v>6</v>
      </c>
      <c r="L40">
        <f t="shared" si="14"/>
        <v>5</v>
      </c>
      <c r="M40">
        <f t="shared" si="14"/>
        <v>11</v>
      </c>
      <c r="N40">
        <f t="shared" si="14"/>
        <v>13</v>
      </c>
      <c r="O40">
        <f t="shared" si="14"/>
        <v>1</v>
      </c>
      <c r="P40">
        <f t="shared" si="15"/>
        <v>0</v>
      </c>
      <c r="Q40">
        <f t="shared" si="15"/>
        <v>8</v>
      </c>
      <c r="R40">
        <f t="shared" si="15"/>
        <v>4</v>
      </c>
      <c r="S40">
        <f t="shared" si="15"/>
        <v>12</v>
      </c>
      <c r="T40">
        <f t="shared" si="15"/>
        <v>18</v>
      </c>
      <c r="U40">
        <f t="shared" si="15"/>
        <v>3</v>
      </c>
      <c r="V40">
        <f t="shared" si="15"/>
        <v>0</v>
      </c>
      <c r="W40">
        <f t="shared" si="15"/>
        <v>18</v>
      </c>
      <c r="X40">
        <f t="shared" si="15"/>
        <v>17</v>
      </c>
      <c r="Y40">
        <f t="shared" si="15"/>
        <v>24</v>
      </c>
      <c r="Z40">
        <f t="shared" si="16"/>
        <v>3</v>
      </c>
      <c r="AA40">
        <f t="shared" si="16"/>
        <v>1</v>
      </c>
      <c r="AB40">
        <f t="shared" si="16"/>
        <v>4</v>
      </c>
      <c r="AC40">
        <f t="shared" si="16"/>
        <v>0</v>
      </c>
      <c r="AD40">
        <f t="shared" si="16"/>
        <v>10</v>
      </c>
      <c r="AE40">
        <f t="shared" si="16"/>
        <v>1</v>
      </c>
      <c r="AF40" s="56">
        <f t="shared" si="5"/>
        <v>23</v>
      </c>
      <c r="AG40" s="59">
        <f t="shared" si="6"/>
        <v>4.9830508474576272</v>
      </c>
      <c r="AH40">
        <f t="shared" si="7"/>
        <v>0.21665438467207074</v>
      </c>
    </row>
    <row r="41" spans="1:34" ht="15" x14ac:dyDescent="0.2">
      <c r="A41">
        <v>516</v>
      </c>
      <c r="B41" s="57" t="s">
        <v>551</v>
      </c>
      <c r="C41" s="57"/>
      <c r="D41">
        <f t="shared" si="0"/>
        <v>291</v>
      </c>
      <c r="E41" s="1">
        <f t="shared" si="1"/>
        <v>55</v>
      </c>
      <c r="F41">
        <f t="shared" si="14"/>
        <v>20</v>
      </c>
      <c r="G41">
        <f t="shared" si="14"/>
        <v>3</v>
      </c>
      <c r="H41">
        <f t="shared" si="14"/>
        <v>4</v>
      </c>
      <c r="I41">
        <f t="shared" si="14"/>
        <v>8</v>
      </c>
      <c r="J41">
        <f t="shared" si="14"/>
        <v>31</v>
      </c>
      <c r="K41">
        <f t="shared" si="14"/>
        <v>5</v>
      </c>
      <c r="L41">
        <f t="shared" si="14"/>
        <v>2</v>
      </c>
      <c r="M41">
        <f t="shared" si="14"/>
        <v>13</v>
      </c>
      <c r="N41">
        <f t="shared" si="14"/>
        <v>10</v>
      </c>
      <c r="O41">
        <f t="shared" si="14"/>
        <v>1</v>
      </c>
      <c r="P41">
        <f t="shared" si="15"/>
        <v>1</v>
      </c>
      <c r="Q41">
        <f t="shared" si="15"/>
        <v>12</v>
      </c>
      <c r="R41">
        <f t="shared" si="15"/>
        <v>6</v>
      </c>
      <c r="S41">
        <f t="shared" si="15"/>
        <v>21</v>
      </c>
      <c r="T41">
        <f t="shared" si="15"/>
        <v>19</v>
      </c>
      <c r="U41">
        <f t="shared" si="15"/>
        <v>2</v>
      </c>
      <c r="V41">
        <f t="shared" si="15"/>
        <v>0</v>
      </c>
      <c r="W41">
        <f t="shared" si="15"/>
        <v>10</v>
      </c>
      <c r="X41">
        <f t="shared" si="15"/>
        <v>12</v>
      </c>
      <c r="Y41">
        <f t="shared" si="15"/>
        <v>18</v>
      </c>
      <c r="Z41">
        <f t="shared" si="16"/>
        <v>10</v>
      </c>
      <c r="AA41">
        <f t="shared" si="16"/>
        <v>2</v>
      </c>
      <c r="AB41">
        <f t="shared" si="16"/>
        <v>7</v>
      </c>
      <c r="AC41">
        <f t="shared" si="16"/>
        <v>0</v>
      </c>
      <c r="AD41">
        <f t="shared" si="16"/>
        <v>11</v>
      </c>
      <c r="AE41">
        <f t="shared" si="16"/>
        <v>0</v>
      </c>
      <c r="AF41" s="56">
        <f t="shared" si="5"/>
        <v>23</v>
      </c>
      <c r="AG41" s="59">
        <f t="shared" si="6"/>
        <v>5.290909090909091</v>
      </c>
      <c r="AH41">
        <f t="shared" si="7"/>
        <v>0.23003952569169961</v>
      </c>
    </row>
    <row r="42" spans="1:34" ht="15" x14ac:dyDescent="0.2">
      <c r="A42">
        <v>308</v>
      </c>
      <c r="B42" s="57" t="s">
        <v>368</v>
      </c>
      <c r="C42" s="57"/>
      <c r="D42">
        <f t="shared" si="0"/>
        <v>289</v>
      </c>
      <c r="E42" s="1">
        <f t="shared" si="1"/>
        <v>49</v>
      </c>
      <c r="F42">
        <f t="shared" ref="F42:O51" si="17">LEN($B42)-LEN(SUBSTITUTE($B42,F$1,""))</f>
        <v>20</v>
      </c>
      <c r="G42">
        <f t="shared" si="17"/>
        <v>3</v>
      </c>
      <c r="H42">
        <f t="shared" si="17"/>
        <v>5</v>
      </c>
      <c r="I42">
        <f t="shared" si="17"/>
        <v>7</v>
      </c>
      <c r="J42">
        <f t="shared" si="17"/>
        <v>22</v>
      </c>
      <c r="K42">
        <f t="shared" si="17"/>
        <v>5</v>
      </c>
      <c r="L42">
        <f t="shared" si="17"/>
        <v>6</v>
      </c>
      <c r="M42">
        <f t="shared" si="17"/>
        <v>9</v>
      </c>
      <c r="N42">
        <f t="shared" si="17"/>
        <v>11</v>
      </c>
      <c r="O42">
        <f t="shared" si="17"/>
        <v>2</v>
      </c>
      <c r="P42">
        <f t="shared" ref="P42:Y51" si="18">LEN($B42)-LEN(SUBSTITUTE($B42,P$1,""))</f>
        <v>3</v>
      </c>
      <c r="Q42">
        <f t="shared" si="18"/>
        <v>12</v>
      </c>
      <c r="R42">
        <f t="shared" si="18"/>
        <v>5</v>
      </c>
      <c r="S42">
        <f t="shared" si="18"/>
        <v>18</v>
      </c>
      <c r="T42">
        <f t="shared" si="18"/>
        <v>21</v>
      </c>
      <c r="U42">
        <f t="shared" si="18"/>
        <v>5</v>
      </c>
      <c r="V42">
        <f t="shared" si="18"/>
        <v>0</v>
      </c>
      <c r="W42">
        <f t="shared" si="18"/>
        <v>10</v>
      </c>
      <c r="X42">
        <f t="shared" si="18"/>
        <v>16</v>
      </c>
      <c r="Y42">
        <f t="shared" si="18"/>
        <v>23</v>
      </c>
      <c r="Z42">
        <f t="shared" ref="Z42:AE51" si="19">LEN($B42)-LEN(SUBSTITUTE($B42,Z$1,""))</f>
        <v>11</v>
      </c>
      <c r="AA42">
        <f t="shared" si="19"/>
        <v>2</v>
      </c>
      <c r="AB42">
        <f t="shared" si="19"/>
        <v>3</v>
      </c>
      <c r="AC42">
        <f t="shared" si="19"/>
        <v>1</v>
      </c>
      <c r="AD42">
        <f t="shared" si="19"/>
        <v>7</v>
      </c>
      <c r="AE42">
        <f t="shared" si="19"/>
        <v>0</v>
      </c>
      <c r="AF42" s="56">
        <f t="shared" si="5"/>
        <v>24</v>
      </c>
      <c r="AG42" s="59">
        <f t="shared" si="6"/>
        <v>5.8979591836734695</v>
      </c>
      <c r="AH42">
        <f t="shared" si="7"/>
        <v>0.24574829931972789</v>
      </c>
    </row>
    <row r="43" spans="1:34" ht="15" x14ac:dyDescent="0.2">
      <c r="A43">
        <v>468</v>
      </c>
      <c r="B43" s="57" t="s">
        <v>507</v>
      </c>
      <c r="C43" s="57"/>
      <c r="D43">
        <f t="shared" si="0"/>
        <v>284</v>
      </c>
      <c r="E43" s="1">
        <f t="shared" si="1"/>
        <v>44</v>
      </c>
      <c r="F43">
        <f t="shared" si="17"/>
        <v>12</v>
      </c>
      <c r="G43">
        <f t="shared" si="17"/>
        <v>3</v>
      </c>
      <c r="H43">
        <f t="shared" si="17"/>
        <v>11</v>
      </c>
      <c r="I43">
        <f t="shared" si="17"/>
        <v>10</v>
      </c>
      <c r="J43">
        <f t="shared" si="17"/>
        <v>35</v>
      </c>
      <c r="K43">
        <f t="shared" si="17"/>
        <v>4</v>
      </c>
      <c r="L43">
        <f t="shared" si="17"/>
        <v>4</v>
      </c>
      <c r="M43">
        <f t="shared" si="17"/>
        <v>10</v>
      </c>
      <c r="N43">
        <f t="shared" si="17"/>
        <v>21</v>
      </c>
      <c r="O43">
        <f t="shared" si="17"/>
        <v>0</v>
      </c>
      <c r="P43">
        <f t="shared" si="18"/>
        <v>1</v>
      </c>
      <c r="Q43">
        <f t="shared" si="18"/>
        <v>11</v>
      </c>
      <c r="R43">
        <f t="shared" si="18"/>
        <v>4</v>
      </c>
      <c r="S43">
        <f t="shared" si="18"/>
        <v>21</v>
      </c>
      <c r="T43">
        <f t="shared" si="18"/>
        <v>18</v>
      </c>
      <c r="U43">
        <f t="shared" si="18"/>
        <v>10</v>
      </c>
      <c r="V43">
        <f t="shared" si="18"/>
        <v>0</v>
      </c>
      <c r="W43">
        <f t="shared" si="18"/>
        <v>10</v>
      </c>
      <c r="X43">
        <f t="shared" si="18"/>
        <v>25</v>
      </c>
      <c r="Y43">
        <f t="shared" si="18"/>
        <v>16</v>
      </c>
      <c r="Z43">
        <f t="shared" si="19"/>
        <v>5</v>
      </c>
      <c r="AA43">
        <f t="shared" si="19"/>
        <v>0</v>
      </c>
      <c r="AB43">
        <f t="shared" si="19"/>
        <v>4</v>
      </c>
      <c r="AC43">
        <f t="shared" si="19"/>
        <v>0</v>
      </c>
      <c r="AD43">
        <f t="shared" si="19"/>
        <v>2</v>
      </c>
      <c r="AE43">
        <f t="shared" si="19"/>
        <v>0</v>
      </c>
      <c r="AF43" s="56">
        <f t="shared" si="5"/>
        <v>21</v>
      </c>
      <c r="AG43" s="59">
        <f t="shared" si="6"/>
        <v>6.4545454545454541</v>
      </c>
      <c r="AH43">
        <f t="shared" si="7"/>
        <v>0.30735930735930733</v>
      </c>
    </row>
    <row r="44" spans="1:34" ht="15" x14ac:dyDescent="0.2">
      <c r="A44">
        <v>387</v>
      </c>
      <c r="B44" s="57" t="s">
        <v>659</v>
      </c>
      <c r="C44" s="57"/>
      <c r="D44">
        <f t="shared" si="0"/>
        <v>280</v>
      </c>
      <c r="E44" s="1">
        <f t="shared" si="1"/>
        <v>44</v>
      </c>
      <c r="F44">
        <f t="shared" si="17"/>
        <v>16</v>
      </c>
      <c r="G44">
        <f t="shared" si="17"/>
        <v>3</v>
      </c>
      <c r="H44">
        <f t="shared" si="17"/>
        <v>7</v>
      </c>
      <c r="I44">
        <f t="shared" si="17"/>
        <v>6</v>
      </c>
      <c r="J44">
        <f t="shared" si="17"/>
        <v>18</v>
      </c>
      <c r="K44">
        <f t="shared" si="17"/>
        <v>5</v>
      </c>
      <c r="L44">
        <f t="shared" si="17"/>
        <v>4</v>
      </c>
      <c r="M44">
        <f t="shared" si="17"/>
        <v>7</v>
      </c>
      <c r="N44">
        <f t="shared" si="17"/>
        <v>18</v>
      </c>
      <c r="O44">
        <f t="shared" si="17"/>
        <v>1</v>
      </c>
      <c r="P44">
        <f t="shared" si="18"/>
        <v>1</v>
      </c>
      <c r="Q44">
        <f t="shared" si="18"/>
        <v>22</v>
      </c>
      <c r="R44">
        <f t="shared" si="18"/>
        <v>3</v>
      </c>
      <c r="S44">
        <f t="shared" si="18"/>
        <v>8</v>
      </c>
      <c r="T44">
        <f t="shared" si="18"/>
        <v>23</v>
      </c>
      <c r="U44">
        <f t="shared" si="18"/>
        <v>4</v>
      </c>
      <c r="V44">
        <f t="shared" si="18"/>
        <v>0</v>
      </c>
      <c r="W44">
        <f t="shared" si="18"/>
        <v>13</v>
      </c>
      <c r="X44">
        <f t="shared" si="18"/>
        <v>14</v>
      </c>
      <c r="Y44">
        <f t="shared" si="18"/>
        <v>23</v>
      </c>
      <c r="Z44">
        <f t="shared" si="19"/>
        <v>10</v>
      </c>
      <c r="AA44">
        <f t="shared" si="19"/>
        <v>3</v>
      </c>
      <c r="AB44">
        <f t="shared" si="19"/>
        <v>5</v>
      </c>
      <c r="AC44">
        <f t="shared" si="19"/>
        <v>0</v>
      </c>
      <c r="AD44">
        <f t="shared" si="19"/>
        <v>9</v>
      </c>
      <c r="AE44">
        <f t="shared" si="19"/>
        <v>0</v>
      </c>
      <c r="AF44" s="56">
        <f t="shared" si="5"/>
        <v>23</v>
      </c>
      <c r="AG44" s="59">
        <f t="shared" si="6"/>
        <v>6.3636363636363633</v>
      </c>
      <c r="AH44">
        <f t="shared" si="7"/>
        <v>0.27667984189723321</v>
      </c>
    </row>
    <row r="45" spans="1:34" ht="15" x14ac:dyDescent="0.2">
      <c r="A45">
        <v>552</v>
      </c>
      <c r="B45" s="57" t="s">
        <v>660</v>
      </c>
      <c r="C45" s="57"/>
      <c r="D45">
        <f t="shared" si="0"/>
        <v>279</v>
      </c>
      <c r="E45" s="1">
        <f t="shared" si="1"/>
        <v>53</v>
      </c>
      <c r="F45">
        <f t="shared" si="17"/>
        <v>16</v>
      </c>
      <c r="G45">
        <f t="shared" si="17"/>
        <v>4</v>
      </c>
      <c r="H45">
        <f t="shared" si="17"/>
        <v>7</v>
      </c>
      <c r="I45">
        <f t="shared" si="17"/>
        <v>3</v>
      </c>
      <c r="J45">
        <f t="shared" si="17"/>
        <v>20</v>
      </c>
      <c r="K45">
        <f t="shared" si="17"/>
        <v>1</v>
      </c>
      <c r="L45">
        <f t="shared" si="17"/>
        <v>7</v>
      </c>
      <c r="M45">
        <f t="shared" si="17"/>
        <v>8</v>
      </c>
      <c r="N45">
        <f t="shared" si="17"/>
        <v>10</v>
      </c>
      <c r="O45">
        <f t="shared" si="17"/>
        <v>1</v>
      </c>
      <c r="P45">
        <f t="shared" si="18"/>
        <v>4</v>
      </c>
      <c r="Q45">
        <f t="shared" si="18"/>
        <v>5</v>
      </c>
      <c r="R45">
        <f t="shared" si="18"/>
        <v>6</v>
      </c>
      <c r="S45">
        <f t="shared" si="18"/>
        <v>22</v>
      </c>
      <c r="T45">
        <f t="shared" si="18"/>
        <v>24</v>
      </c>
      <c r="U45">
        <f t="shared" si="18"/>
        <v>1</v>
      </c>
      <c r="V45">
        <f t="shared" si="18"/>
        <v>0</v>
      </c>
      <c r="W45">
        <f t="shared" si="18"/>
        <v>13</v>
      </c>
      <c r="X45">
        <f t="shared" si="18"/>
        <v>11</v>
      </c>
      <c r="Y45">
        <f t="shared" si="18"/>
        <v>28</v>
      </c>
      <c r="Z45">
        <f t="shared" si="19"/>
        <v>6</v>
      </c>
      <c r="AA45">
        <f t="shared" si="19"/>
        <v>2</v>
      </c>
      <c r="AB45">
        <f t="shared" si="19"/>
        <v>6</v>
      </c>
      <c r="AC45">
        <f t="shared" si="19"/>
        <v>0</v>
      </c>
      <c r="AD45">
        <f t="shared" si="19"/>
        <v>8</v>
      </c>
      <c r="AE45">
        <f t="shared" si="19"/>
        <v>0</v>
      </c>
      <c r="AF45" s="56">
        <f t="shared" si="5"/>
        <v>23</v>
      </c>
      <c r="AG45" s="59">
        <f t="shared" si="6"/>
        <v>5.2641509433962268</v>
      </c>
      <c r="AH45">
        <f t="shared" si="7"/>
        <v>0.22887612797374898</v>
      </c>
    </row>
    <row r="46" spans="1:34" ht="15" x14ac:dyDescent="0.2">
      <c r="A46">
        <v>512</v>
      </c>
      <c r="B46" s="57" t="s">
        <v>547</v>
      </c>
      <c r="C46" s="57"/>
      <c r="D46">
        <f t="shared" si="0"/>
        <v>278</v>
      </c>
      <c r="E46" s="1">
        <f t="shared" si="1"/>
        <v>47</v>
      </c>
      <c r="F46">
        <f t="shared" si="17"/>
        <v>14</v>
      </c>
      <c r="G46">
        <f t="shared" si="17"/>
        <v>2</v>
      </c>
      <c r="H46">
        <f t="shared" si="17"/>
        <v>7</v>
      </c>
      <c r="I46">
        <f t="shared" si="17"/>
        <v>7</v>
      </c>
      <c r="J46">
        <f t="shared" si="17"/>
        <v>26</v>
      </c>
      <c r="K46">
        <f t="shared" si="17"/>
        <v>6</v>
      </c>
      <c r="L46">
        <f t="shared" si="17"/>
        <v>3</v>
      </c>
      <c r="M46">
        <f t="shared" si="17"/>
        <v>8</v>
      </c>
      <c r="N46">
        <f t="shared" si="17"/>
        <v>16</v>
      </c>
      <c r="O46">
        <f t="shared" si="17"/>
        <v>3</v>
      </c>
      <c r="P46">
        <f t="shared" si="18"/>
        <v>3</v>
      </c>
      <c r="Q46">
        <f t="shared" si="18"/>
        <v>6</v>
      </c>
      <c r="R46">
        <f t="shared" si="18"/>
        <v>8</v>
      </c>
      <c r="S46">
        <f t="shared" si="18"/>
        <v>17</v>
      </c>
      <c r="T46">
        <f t="shared" si="18"/>
        <v>18</v>
      </c>
      <c r="U46">
        <f t="shared" si="18"/>
        <v>4</v>
      </c>
      <c r="V46">
        <f t="shared" si="18"/>
        <v>1</v>
      </c>
      <c r="W46">
        <f t="shared" si="18"/>
        <v>14</v>
      </c>
      <c r="X46">
        <f t="shared" si="18"/>
        <v>17</v>
      </c>
      <c r="Y46">
        <f t="shared" si="18"/>
        <v>23</v>
      </c>
      <c r="Z46">
        <f t="shared" si="19"/>
        <v>8</v>
      </c>
      <c r="AA46">
        <f t="shared" si="19"/>
        <v>2</v>
      </c>
      <c r="AB46">
        <f t="shared" si="19"/>
        <v>7</v>
      </c>
      <c r="AC46">
        <f t="shared" si="19"/>
        <v>0</v>
      </c>
      <c r="AD46">
        <f t="shared" si="19"/>
        <v>1</v>
      </c>
      <c r="AE46">
        <f t="shared" si="19"/>
        <v>0</v>
      </c>
      <c r="AF46" s="56">
        <f t="shared" si="5"/>
        <v>24</v>
      </c>
      <c r="AG46" s="59">
        <f t="shared" si="6"/>
        <v>5.9148936170212769</v>
      </c>
      <c r="AH46">
        <f t="shared" si="7"/>
        <v>0.24645390070921988</v>
      </c>
    </row>
    <row r="47" spans="1:34" ht="15" x14ac:dyDescent="0.2">
      <c r="A47">
        <v>382</v>
      </c>
      <c r="B47" s="57" t="s">
        <v>437</v>
      </c>
      <c r="C47" s="57"/>
      <c r="D47">
        <f t="shared" si="0"/>
        <v>276</v>
      </c>
      <c r="E47" s="1">
        <f t="shared" si="1"/>
        <v>43</v>
      </c>
      <c r="F47">
        <f t="shared" si="17"/>
        <v>20</v>
      </c>
      <c r="G47">
        <f t="shared" si="17"/>
        <v>8</v>
      </c>
      <c r="H47">
        <f t="shared" si="17"/>
        <v>12</v>
      </c>
      <c r="I47">
        <f t="shared" si="17"/>
        <v>4</v>
      </c>
      <c r="J47">
        <f t="shared" si="17"/>
        <v>21</v>
      </c>
      <c r="K47">
        <f t="shared" si="17"/>
        <v>4</v>
      </c>
      <c r="L47">
        <f t="shared" si="17"/>
        <v>3</v>
      </c>
      <c r="M47">
        <f t="shared" si="17"/>
        <v>8</v>
      </c>
      <c r="N47">
        <f t="shared" si="17"/>
        <v>12</v>
      </c>
      <c r="O47">
        <f t="shared" si="17"/>
        <v>0</v>
      </c>
      <c r="P47">
        <f t="shared" si="18"/>
        <v>1</v>
      </c>
      <c r="Q47">
        <f t="shared" si="18"/>
        <v>10</v>
      </c>
      <c r="R47">
        <f t="shared" si="18"/>
        <v>14</v>
      </c>
      <c r="S47">
        <f t="shared" si="18"/>
        <v>9</v>
      </c>
      <c r="T47">
        <f t="shared" si="18"/>
        <v>20</v>
      </c>
      <c r="U47">
        <f t="shared" si="18"/>
        <v>5</v>
      </c>
      <c r="V47">
        <f t="shared" si="18"/>
        <v>0</v>
      </c>
      <c r="W47">
        <f t="shared" si="18"/>
        <v>15</v>
      </c>
      <c r="X47">
        <f t="shared" si="18"/>
        <v>20</v>
      </c>
      <c r="Y47">
        <f t="shared" si="18"/>
        <v>25</v>
      </c>
      <c r="Z47">
        <f t="shared" si="19"/>
        <v>7</v>
      </c>
      <c r="AA47">
        <f t="shared" si="19"/>
        <v>0</v>
      </c>
      <c r="AB47">
        <f t="shared" si="19"/>
        <v>1</v>
      </c>
      <c r="AC47">
        <f t="shared" si="19"/>
        <v>0</v>
      </c>
      <c r="AD47">
        <f t="shared" si="19"/>
        <v>5</v>
      </c>
      <c r="AE47">
        <f t="shared" si="19"/>
        <v>0</v>
      </c>
      <c r="AF47" s="56">
        <f t="shared" si="5"/>
        <v>21</v>
      </c>
      <c r="AG47" s="59">
        <f t="shared" si="6"/>
        <v>6.4186046511627906</v>
      </c>
      <c r="AH47">
        <f t="shared" si="7"/>
        <v>0.30564784053156147</v>
      </c>
    </row>
    <row r="48" spans="1:34" ht="15" x14ac:dyDescent="0.2">
      <c r="A48">
        <v>374</v>
      </c>
      <c r="B48" s="57" t="s">
        <v>429</v>
      </c>
      <c r="C48" s="57"/>
      <c r="D48">
        <f t="shared" si="0"/>
        <v>276</v>
      </c>
      <c r="E48" s="1">
        <f t="shared" si="1"/>
        <v>49</v>
      </c>
      <c r="F48">
        <f t="shared" si="17"/>
        <v>23</v>
      </c>
      <c r="G48">
        <f t="shared" si="17"/>
        <v>4</v>
      </c>
      <c r="H48">
        <f t="shared" si="17"/>
        <v>7</v>
      </c>
      <c r="I48">
        <f t="shared" si="17"/>
        <v>3</v>
      </c>
      <c r="J48">
        <f t="shared" si="17"/>
        <v>23</v>
      </c>
      <c r="K48">
        <f t="shared" si="17"/>
        <v>2</v>
      </c>
      <c r="L48">
        <f t="shared" si="17"/>
        <v>5</v>
      </c>
      <c r="M48">
        <f t="shared" si="17"/>
        <v>11</v>
      </c>
      <c r="N48">
        <f t="shared" si="17"/>
        <v>11</v>
      </c>
      <c r="O48">
        <f t="shared" si="17"/>
        <v>0</v>
      </c>
      <c r="P48">
        <f t="shared" si="18"/>
        <v>3</v>
      </c>
      <c r="Q48">
        <f t="shared" si="18"/>
        <v>11</v>
      </c>
      <c r="R48">
        <f t="shared" si="18"/>
        <v>6</v>
      </c>
      <c r="S48">
        <f t="shared" si="18"/>
        <v>14</v>
      </c>
      <c r="T48">
        <f t="shared" si="18"/>
        <v>15</v>
      </c>
      <c r="U48">
        <f t="shared" si="18"/>
        <v>5</v>
      </c>
      <c r="V48">
        <f t="shared" si="18"/>
        <v>0</v>
      </c>
      <c r="W48">
        <f t="shared" si="18"/>
        <v>13</v>
      </c>
      <c r="X48">
        <f t="shared" si="18"/>
        <v>15</v>
      </c>
      <c r="Y48">
        <f t="shared" si="18"/>
        <v>26</v>
      </c>
      <c r="Z48">
        <f t="shared" si="19"/>
        <v>10</v>
      </c>
      <c r="AA48">
        <f t="shared" si="19"/>
        <v>1</v>
      </c>
      <c r="AB48">
        <f t="shared" si="19"/>
        <v>5</v>
      </c>
      <c r="AC48">
        <f t="shared" si="19"/>
        <v>0</v>
      </c>
      <c r="AD48">
        <f t="shared" si="19"/>
        <v>6</v>
      </c>
      <c r="AE48">
        <f t="shared" si="19"/>
        <v>0</v>
      </c>
      <c r="AF48" s="56">
        <f t="shared" si="5"/>
        <v>22</v>
      </c>
      <c r="AG48" s="59">
        <f t="shared" si="6"/>
        <v>5.6326530612244898</v>
      </c>
      <c r="AH48">
        <f t="shared" si="7"/>
        <v>0.25602968460111319</v>
      </c>
    </row>
    <row r="49" spans="1:34" ht="15" x14ac:dyDescent="0.2">
      <c r="A49">
        <v>520</v>
      </c>
      <c r="B49" s="57" t="s">
        <v>661</v>
      </c>
      <c r="C49" s="57"/>
      <c r="D49">
        <f t="shared" si="0"/>
        <v>273</v>
      </c>
      <c r="E49" s="1">
        <f t="shared" si="1"/>
        <v>47</v>
      </c>
      <c r="F49">
        <f t="shared" si="17"/>
        <v>13</v>
      </c>
      <c r="G49">
        <f t="shared" si="17"/>
        <v>5</v>
      </c>
      <c r="H49">
        <f t="shared" si="17"/>
        <v>7</v>
      </c>
      <c r="I49">
        <f t="shared" si="17"/>
        <v>4</v>
      </c>
      <c r="J49">
        <f t="shared" si="17"/>
        <v>20</v>
      </c>
      <c r="K49">
        <f t="shared" si="17"/>
        <v>9</v>
      </c>
      <c r="L49">
        <f t="shared" si="17"/>
        <v>5</v>
      </c>
      <c r="M49">
        <f t="shared" si="17"/>
        <v>9</v>
      </c>
      <c r="N49">
        <f t="shared" si="17"/>
        <v>22</v>
      </c>
      <c r="O49">
        <f t="shared" si="17"/>
        <v>0</v>
      </c>
      <c r="P49">
        <f t="shared" si="18"/>
        <v>2</v>
      </c>
      <c r="Q49">
        <f t="shared" si="18"/>
        <v>19</v>
      </c>
      <c r="R49">
        <f t="shared" si="18"/>
        <v>8</v>
      </c>
      <c r="S49">
        <f t="shared" si="18"/>
        <v>12</v>
      </c>
      <c r="T49">
        <f t="shared" si="18"/>
        <v>17</v>
      </c>
      <c r="U49">
        <f t="shared" si="18"/>
        <v>5</v>
      </c>
      <c r="V49">
        <f t="shared" si="18"/>
        <v>0</v>
      </c>
      <c r="W49">
        <f t="shared" si="18"/>
        <v>12</v>
      </c>
      <c r="X49">
        <f t="shared" si="18"/>
        <v>9</v>
      </c>
      <c r="Y49">
        <f t="shared" si="18"/>
        <v>17</v>
      </c>
      <c r="Z49">
        <f t="shared" si="19"/>
        <v>3</v>
      </c>
      <c r="AA49">
        <f t="shared" si="19"/>
        <v>3</v>
      </c>
      <c r="AB49">
        <f t="shared" si="19"/>
        <v>4</v>
      </c>
      <c r="AC49">
        <f t="shared" si="19"/>
        <v>1</v>
      </c>
      <c r="AD49">
        <f t="shared" si="19"/>
        <v>6</v>
      </c>
      <c r="AE49">
        <f t="shared" si="19"/>
        <v>0</v>
      </c>
      <c r="AF49" s="56">
        <f t="shared" si="5"/>
        <v>23</v>
      </c>
      <c r="AG49" s="59">
        <f t="shared" si="6"/>
        <v>5.8085106382978724</v>
      </c>
      <c r="AH49">
        <f t="shared" si="7"/>
        <v>0.2525439407955597</v>
      </c>
    </row>
    <row r="50" spans="1:34" ht="15" x14ac:dyDescent="0.2">
      <c r="A50">
        <v>307</v>
      </c>
      <c r="B50" s="57" t="s">
        <v>367</v>
      </c>
      <c r="C50" s="57"/>
      <c r="D50">
        <f t="shared" si="0"/>
        <v>271</v>
      </c>
      <c r="E50" s="1">
        <f t="shared" si="1"/>
        <v>51</v>
      </c>
      <c r="F50">
        <f t="shared" si="17"/>
        <v>17</v>
      </c>
      <c r="G50">
        <f t="shared" si="17"/>
        <v>2</v>
      </c>
      <c r="H50">
        <f t="shared" si="17"/>
        <v>10</v>
      </c>
      <c r="I50">
        <f t="shared" si="17"/>
        <v>7</v>
      </c>
      <c r="J50">
        <f t="shared" si="17"/>
        <v>28</v>
      </c>
      <c r="K50">
        <f t="shared" si="17"/>
        <v>8</v>
      </c>
      <c r="L50">
        <f t="shared" si="17"/>
        <v>2</v>
      </c>
      <c r="M50">
        <f t="shared" si="17"/>
        <v>10</v>
      </c>
      <c r="N50">
        <f t="shared" si="17"/>
        <v>20</v>
      </c>
      <c r="O50">
        <f t="shared" si="17"/>
        <v>0</v>
      </c>
      <c r="P50">
        <f t="shared" si="18"/>
        <v>2</v>
      </c>
      <c r="Q50">
        <f t="shared" si="18"/>
        <v>4</v>
      </c>
      <c r="R50">
        <f t="shared" si="18"/>
        <v>6</v>
      </c>
      <c r="S50">
        <f t="shared" si="18"/>
        <v>9</v>
      </c>
      <c r="T50">
        <f t="shared" si="18"/>
        <v>20</v>
      </c>
      <c r="U50">
        <f t="shared" si="18"/>
        <v>2</v>
      </c>
      <c r="V50">
        <f t="shared" si="18"/>
        <v>0</v>
      </c>
      <c r="W50">
        <f t="shared" si="18"/>
        <v>14</v>
      </c>
      <c r="X50">
        <f t="shared" si="18"/>
        <v>15</v>
      </c>
      <c r="Y50">
        <f t="shared" si="18"/>
        <v>22</v>
      </c>
      <c r="Z50">
        <f t="shared" si="19"/>
        <v>4</v>
      </c>
      <c r="AA50">
        <f t="shared" si="19"/>
        <v>2</v>
      </c>
      <c r="AB50">
        <f t="shared" si="19"/>
        <v>5</v>
      </c>
      <c r="AC50">
        <f t="shared" si="19"/>
        <v>0</v>
      </c>
      <c r="AD50">
        <f t="shared" si="19"/>
        <v>4</v>
      </c>
      <c r="AE50">
        <f t="shared" si="19"/>
        <v>0</v>
      </c>
      <c r="AF50" s="56">
        <f t="shared" si="5"/>
        <v>22</v>
      </c>
      <c r="AG50" s="59">
        <f t="shared" si="6"/>
        <v>5.3137254901960782</v>
      </c>
      <c r="AH50">
        <f t="shared" si="7"/>
        <v>0.24153297682709446</v>
      </c>
    </row>
    <row r="51" spans="1:34" ht="15" x14ac:dyDescent="0.2">
      <c r="A51">
        <v>475</v>
      </c>
      <c r="B51" s="57" t="s">
        <v>513</v>
      </c>
      <c r="C51" s="57"/>
      <c r="D51">
        <f t="shared" si="0"/>
        <v>268</v>
      </c>
      <c r="E51" s="1">
        <f t="shared" si="1"/>
        <v>51</v>
      </c>
      <c r="F51">
        <f t="shared" si="17"/>
        <v>16</v>
      </c>
      <c r="G51">
        <f t="shared" si="17"/>
        <v>1</v>
      </c>
      <c r="H51">
        <f t="shared" si="17"/>
        <v>7</v>
      </c>
      <c r="I51">
        <f t="shared" si="17"/>
        <v>12</v>
      </c>
      <c r="J51">
        <f t="shared" si="17"/>
        <v>26</v>
      </c>
      <c r="K51">
        <f t="shared" si="17"/>
        <v>12</v>
      </c>
      <c r="L51">
        <f t="shared" si="17"/>
        <v>5</v>
      </c>
      <c r="M51">
        <f t="shared" si="17"/>
        <v>8</v>
      </c>
      <c r="N51">
        <f t="shared" si="17"/>
        <v>16</v>
      </c>
      <c r="O51">
        <f t="shared" si="17"/>
        <v>0</v>
      </c>
      <c r="P51">
        <f t="shared" si="18"/>
        <v>2</v>
      </c>
      <c r="Q51">
        <f t="shared" si="18"/>
        <v>6</v>
      </c>
      <c r="R51">
        <f t="shared" si="18"/>
        <v>2</v>
      </c>
      <c r="S51">
        <f t="shared" si="18"/>
        <v>17</v>
      </c>
      <c r="T51">
        <f t="shared" si="18"/>
        <v>21</v>
      </c>
      <c r="U51">
        <f t="shared" si="18"/>
        <v>3</v>
      </c>
      <c r="V51">
        <f t="shared" si="18"/>
        <v>0</v>
      </c>
      <c r="W51">
        <f t="shared" si="18"/>
        <v>12</v>
      </c>
      <c r="X51">
        <f t="shared" si="18"/>
        <v>10</v>
      </c>
      <c r="Y51">
        <f t="shared" si="18"/>
        <v>22</v>
      </c>
      <c r="Z51">
        <f t="shared" si="19"/>
        <v>6</v>
      </c>
      <c r="AA51">
        <f t="shared" si="19"/>
        <v>2</v>
      </c>
      <c r="AB51">
        <f t="shared" si="19"/>
        <v>4</v>
      </c>
      <c r="AC51">
        <f t="shared" si="19"/>
        <v>0</v>
      </c>
      <c r="AD51">
        <f t="shared" si="19"/>
        <v>0</v>
      </c>
      <c r="AE51">
        <f t="shared" si="19"/>
        <v>0</v>
      </c>
      <c r="AF51" s="56">
        <f t="shared" si="5"/>
        <v>21</v>
      </c>
      <c r="AG51" s="59">
        <f t="shared" si="6"/>
        <v>5.2549019607843137</v>
      </c>
      <c r="AH51">
        <f t="shared" si="7"/>
        <v>0.25023342670401494</v>
      </c>
    </row>
    <row r="52" spans="1:34" ht="15" x14ac:dyDescent="0.2">
      <c r="A52">
        <v>383</v>
      </c>
      <c r="B52" s="57" t="s">
        <v>438</v>
      </c>
      <c r="C52" s="57"/>
      <c r="D52">
        <f t="shared" si="0"/>
        <v>266</v>
      </c>
      <c r="E52" s="1">
        <f t="shared" si="1"/>
        <v>50</v>
      </c>
      <c r="F52">
        <f t="shared" ref="F52:O61" si="20">LEN($B52)-LEN(SUBSTITUTE($B52,F$1,""))</f>
        <v>17</v>
      </c>
      <c r="G52">
        <f t="shared" si="20"/>
        <v>0</v>
      </c>
      <c r="H52">
        <f t="shared" si="20"/>
        <v>1</v>
      </c>
      <c r="I52">
        <f t="shared" si="20"/>
        <v>8</v>
      </c>
      <c r="J52">
        <f t="shared" si="20"/>
        <v>27</v>
      </c>
      <c r="K52">
        <f t="shared" si="20"/>
        <v>3</v>
      </c>
      <c r="L52">
        <f t="shared" si="20"/>
        <v>7</v>
      </c>
      <c r="M52">
        <f t="shared" si="20"/>
        <v>18</v>
      </c>
      <c r="N52">
        <f t="shared" si="20"/>
        <v>18</v>
      </c>
      <c r="O52">
        <f t="shared" si="20"/>
        <v>0</v>
      </c>
      <c r="P52">
        <f t="shared" ref="P52:Y61" si="21">LEN($B52)-LEN(SUBSTITUTE($B52,P$1,""))</f>
        <v>1</v>
      </c>
      <c r="Q52">
        <f t="shared" si="21"/>
        <v>4</v>
      </c>
      <c r="R52">
        <f t="shared" si="21"/>
        <v>6</v>
      </c>
      <c r="S52">
        <f t="shared" si="21"/>
        <v>13</v>
      </c>
      <c r="T52">
        <f t="shared" si="21"/>
        <v>18</v>
      </c>
      <c r="U52">
        <f t="shared" si="21"/>
        <v>5</v>
      </c>
      <c r="V52">
        <f t="shared" si="21"/>
        <v>0</v>
      </c>
      <c r="W52">
        <f t="shared" si="21"/>
        <v>10</v>
      </c>
      <c r="X52">
        <f t="shared" si="21"/>
        <v>9</v>
      </c>
      <c r="Y52">
        <f t="shared" si="21"/>
        <v>23</v>
      </c>
      <c r="Z52">
        <f t="shared" ref="Z52:AE61" si="22">LEN($B52)-LEN(SUBSTITUTE($B52,Z$1,""))</f>
        <v>7</v>
      </c>
      <c r="AA52">
        <f t="shared" si="22"/>
        <v>3</v>
      </c>
      <c r="AB52">
        <f t="shared" si="22"/>
        <v>8</v>
      </c>
      <c r="AC52">
        <f t="shared" si="22"/>
        <v>0</v>
      </c>
      <c r="AD52">
        <f t="shared" si="22"/>
        <v>4</v>
      </c>
      <c r="AE52">
        <f t="shared" si="22"/>
        <v>0</v>
      </c>
      <c r="AF52" s="56">
        <f t="shared" si="5"/>
        <v>21</v>
      </c>
      <c r="AG52" s="59">
        <f t="shared" si="6"/>
        <v>5.32</v>
      </c>
      <c r="AH52">
        <f t="shared" si="7"/>
        <v>0.25333333333333335</v>
      </c>
    </row>
    <row r="53" spans="1:34" ht="15" x14ac:dyDescent="0.2">
      <c r="A53">
        <v>344</v>
      </c>
      <c r="B53" s="57" t="s">
        <v>404</v>
      </c>
      <c r="C53" s="57"/>
      <c r="D53">
        <f t="shared" si="0"/>
        <v>266</v>
      </c>
      <c r="E53" s="1">
        <f t="shared" si="1"/>
        <v>51</v>
      </c>
      <c r="F53">
        <f t="shared" si="20"/>
        <v>23</v>
      </c>
      <c r="G53">
        <f t="shared" si="20"/>
        <v>2</v>
      </c>
      <c r="H53">
        <f t="shared" si="20"/>
        <v>4</v>
      </c>
      <c r="I53">
        <f t="shared" si="20"/>
        <v>10</v>
      </c>
      <c r="J53">
        <f t="shared" si="20"/>
        <v>24</v>
      </c>
      <c r="K53">
        <f t="shared" si="20"/>
        <v>5</v>
      </c>
      <c r="L53">
        <f t="shared" si="20"/>
        <v>3</v>
      </c>
      <c r="M53">
        <f t="shared" si="20"/>
        <v>13</v>
      </c>
      <c r="N53">
        <f t="shared" si="20"/>
        <v>15</v>
      </c>
      <c r="O53">
        <f t="shared" si="20"/>
        <v>0</v>
      </c>
      <c r="P53">
        <f t="shared" si="21"/>
        <v>2</v>
      </c>
      <c r="Q53">
        <f t="shared" si="21"/>
        <v>9</v>
      </c>
      <c r="R53">
        <f t="shared" si="21"/>
        <v>6</v>
      </c>
      <c r="S53">
        <f t="shared" si="21"/>
        <v>12</v>
      </c>
      <c r="T53">
        <f t="shared" si="21"/>
        <v>10</v>
      </c>
      <c r="U53">
        <f t="shared" si="21"/>
        <v>3</v>
      </c>
      <c r="V53">
        <f t="shared" si="21"/>
        <v>0</v>
      </c>
      <c r="W53">
        <f t="shared" si="21"/>
        <v>9</v>
      </c>
      <c r="X53">
        <f t="shared" si="21"/>
        <v>13</v>
      </c>
      <c r="Y53">
        <f t="shared" si="21"/>
        <v>22</v>
      </c>
      <c r="Z53">
        <f t="shared" si="22"/>
        <v>5</v>
      </c>
      <c r="AA53">
        <f t="shared" si="22"/>
        <v>2</v>
      </c>
      <c r="AB53">
        <f t="shared" si="22"/>
        <v>6</v>
      </c>
      <c r="AC53">
        <f t="shared" si="22"/>
        <v>0</v>
      </c>
      <c r="AD53">
        <f t="shared" si="22"/>
        <v>6</v>
      </c>
      <c r="AE53">
        <f t="shared" si="22"/>
        <v>0</v>
      </c>
      <c r="AF53" s="56">
        <f t="shared" si="5"/>
        <v>22</v>
      </c>
      <c r="AG53" s="59">
        <f t="shared" si="6"/>
        <v>5.215686274509804</v>
      </c>
      <c r="AH53">
        <f t="shared" si="7"/>
        <v>0.23707664884135474</v>
      </c>
    </row>
    <row r="54" spans="1:34" ht="15" x14ac:dyDescent="0.2">
      <c r="A54">
        <v>347</v>
      </c>
      <c r="B54" s="57" t="s">
        <v>407</v>
      </c>
      <c r="C54" s="57"/>
      <c r="D54">
        <f t="shared" si="0"/>
        <v>265</v>
      </c>
      <c r="E54" s="1">
        <f t="shared" si="1"/>
        <v>43</v>
      </c>
      <c r="F54">
        <f t="shared" si="20"/>
        <v>19</v>
      </c>
      <c r="G54">
        <f t="shared" si="20"/>
        <v>6</v>
      </c>
      <c r="H54">
        <f t="shared" si="20"/>
        <v>9</v>
      </c>
      <c r="I54">
        <f t="shared" si="20"/>
        <v>7</v>
      </c>
      <c r="J54">
        <f t="shared" si="20"/>
        <v>27</v>
      </c>
      <c r="K54">
        <f t="shared" si="20"/>
        <v>3</v>
      </c>
      <c r="L54">
        <f t="shared" si="20"/>
        <v>3</v>
      </c>
      <c r="M54">
        <f t="shared" si="20"/>
        <v>9</v>
      </c>
      <c r="N54">
        <f t="shared" si="20"/>
        <v>8</v>
      </c>
      <c r="O54">
        <f t="shared" si="20"/>
        <v>1</v>
      </c>
      <c r="P54">
        <f t="shared" si="21"/>
        <v>0</v>
      </c>
      <c r="Q54">
        <f t="shared" si="21"/>
        <v>5</v>
      </c>
      <c r="R54">
        <f t="shared" si="21"/>
        <v>6</v>
      </c>
      <c r="S54">
        <f t="shared" si="21"/>
        <v>18</v>
      </c>
      <c r="T54">
        <f t="shared" si="21"/>
        <v>19</v>
      </c>
      <c r="U54">
        <f t="shared" si="21"/>
        <v>6</v>
      </c>
      <c r="V54">
        <f t="shared" si="21"/>
        <v>0</v>
      </c>
      <c r="W54">
        <f t="shared" si="21"/>
        <v>13</v>
      </c>
      <c r="X54">
        <f t="shared" si="21"/>
        <v>13</v>
      </c>
      <c r="Y54">
        <f t="shared" si="21"/>
        <v>21</v>
      </c>
      <c r="Z54">
        <f t="shared" si="22"/>
        <v>5</v>
      </c>
      <c r="AA54">
        <f t="shared" si="22"/>
        <v>4</v>
      </c>
      <c r="AB54">
        <f t="shared" si="22"/>
        <v>5</v>
      </c>
      <c r="AC54">
        <f t="shared" si="22"/>
        <v>1</v>
      </c>
      <c r="AD54">
        <f t="shared" si="22"/>
        <v>4</v>
      </c>
      <c r="AE54">
        <f t="shared" si="22"/>
        <v>0</v>
      </c>
      <c r="AF54" s="56">
        <f t="shared" si="5"/>
        <v>23</v>
      </c>
      <c r="AG54" s="59">
        <f t="shared" si="6"/>
        <v>6.1627906976744189</v>
      </c>
      <c r="AH54">
        <f t="shared" si="7"/>
        <v>0.26794742163801821</v>
      </c>
    </row>
    <row r="55" spans="1:34" ht="15" x14ac:dyDescent="0.2">
      <c r="A55">
        <v>289</v>
      </c>
      <c r="B55" s="57" t="s">
        <v>351</v>
      </c>
      <c r="C55" s="57"/>
      <c r="D55">
        <f t="shared" si="0"/>
        <v>262</v>
      </c>
      <c r="E55" s="1">
        <f t="shared" si="1"/>
        <v>49</v>
      </c>
      <c r="F55">
        <f t="shared" si="20"/>
        <v>13</v>
      </c>
      <c r="G55">
        <f t="shared" si="20"/>
        <v>0</v>
      </c>
      <c r="H55">
        <f t="shared" si="20"/>
        <v>4</v>
      </c>
      <c r="I55">
        <f t="shared" si="20"/>
        <v>5</v>
      </c>
      <c r="J55">
        <f t="shared" si="20"/>
        <v>23</v>
      </c>
      <c r="K55">
        <f t="shared" si="20"/>
        <v>9</v>
      </c>
      <c r="L55">
        <f t="shared" si="20"/>
        <v>5</v>
      </c>
      <c r="M55">
        <f t="shared" si="20"/>
        <v>16</v>
      </c>
      <c r="N55">
        <f t="shared" si="20"/>
        <v>14</v>
      </c>
      <c r="O55">
        <f t="shared" si="20"/>
        <v>1</v>
      </c>
      <c r="P55">
        <f t="shared" si="21"/>
        <v>2</v>
      </c>
      <c r="Q55">
        <f t="shared" si="21"/>
        <v>6</v>
      </c>
      <c r="R55">
        <f t="shared" si="21"/>
        <v>4</v>
      </c>
      <c r="S55">
        <f t="shared" si="21"/>
        <v>13</v>
      </c>
      <c r="T55">
        <f t="shared" si="21"/>
        <v>15</v>
      </c>
      <c r="U55">
        <f t="shared" si="21"/>
        <v>5</v>
      </c>
      <c r="V55">
        <f t="shared" si="21"/>
        <v>0</v>
      </c>
      <c r="W55">
        <f t="shared" si="21"/>
        <v>12</v>
      </c>
      <c r="X55">
        <f t="shared" si="21"/>
        <v>16</v>
      </c>
      <c r="Y55">
        <f t="shared" si="21"/>
        <v>19</v>
      </c>
      <c r="Z55">
        <f t="shared" si="22"/>
        <v>10</v>
      </c>
      <c r="AA55">
        <f t="shared" si="22"/>
        <v>4</v>
      </c>
      <c r="AB55">
        <f t="shared" si="22"/>
        <v>6</v>
      </c>
      <c r="AC55">
        <f t="shared" si="22"/>
        <v>0</v>
      </c>
      <c r="AD55">
        <f t="shared" si="22"/>
        <v>6</v>
      </c>
      <c r="AE55">
        <f t="shared" si="22"/>
        <v>0</v>
      </c>
      <c r="AF55" s="56">
        <f t="shared" si="5"/>
        <v>22</v>
      </c>
      <c r="AG55" s="59">
        <f t="shared" si="6"/>
        <v>5.3469387755102042</v>
      </c>
      <c r="AH55">
        <f t="shared" si="7"/>
        <v>0.2430426716141002</v>
      </c>
    </row>
    <row r="56" spans="1:34" ht="15" x14ac:dyDescent="0.2">
      <c r="A56">
        <v>526</v>
      </c>
      <c r="B56" s="57" t="s">
        <v>556</v>
      </c>
      <c r="C56" s="57"/>
      <c r="D56">
        <f t="shared" si="0"/>
        <v>257</v>
      </c>
      <c r="E56" s="1">
        <f t="shared" si="1"/>
        <v>50</v>
      </c>
      <c r="F56">
        <f t="shared" si="20"/>
        <v>12</v>
      </c>
      <c r="G56">
        <f t="shared" si="20"/>
        <v>4</v>
      </c>
      <c r="H56">
        <f t="shared" si="20"/>
        <v>2</v>
      </c>
      <c r="I56">
        <f t="shared" si="20"/>
        <v>4</v>
      </c>
      <c r="J56">
        <f t="shared" si="20"/>
        <v>25</v>
      </c>
      <c r="K56">
        <f t="shared" si="20"/>
        <v>4</v>
      </c>
      <c r="L56">
        <f t="shared" si="20"/>
        <v>4</v>
      </c>
      <c r="M56">
        <f t="shared" si="20"/>
        <v>11</v>
      </c>
      <c r="N56">
        <f t="shared" si="20"/>
        <v>14</v>
      </c>
      <c r="O56">
        <f t="shared" si="20"/>
        <v>0</v>
      </c>
      <c r="P56">
        <f t="shared" si="21"/>
        <v>0</v>
      </c>
      <c r="Q56">
        <f t="shared" si="21"/>
        <v>8</v>
      </c>
      <c r="R56">
        <f t="shared" si="21"/>
        <v>8</v>
      </c>
      <c r="S56">
        <f t="shared" si="21"/>
        <v>13</v>
      </c>
      <c r="T56">
        <f t="shared" si="21"/>
        <v>21</v>
      </c>
      <c r="U56">
        <f t="shared" si="21"/>
        <v>6</v>
      </c>
      <c r="V56">
        <f t="shared" si="21"/>
        <v>0</v>
      </c>
      <c r="W56">
        <f t="shared" si="21"/>
        <v>11</v>
      </c>
      <c r="X56">
        <f t="shared" si="21"/>
        <v>15</v>
      </c>
      <c r="Y56">
        <f t="shared" si="21"/>
        <v>19</v>
      </c>
      <c r="Z56">
        <f t="shared" si="22"/>
        <v>5</v>
      </c>
      <c r="AA56">
        <f t="shared" si="22"/>
        <v>2</v>
      </c>
      <c r="AB56">
        <f t="shared" si="22"/>
        <v>5</v>
      </c>
      <c r="AC56">
        <f t="shared" si="22"/>
        <v>0</v>
      </c>
      <c r="AD56">
        <f t="shared" si="22"/>
        <v>6</v>
      </c>
      <c r="AE56">
        <f t="shared" si="22"/>
        <v>0</v>
      </c>
      <c r="AF56" s="56">
        <f t="shared" si="5"/>
        <v>21</v>
      </c>
      <c r="AG56" s="59">
        <f t="shared" si="6"/>
        <v>5.14</v>
      </c>
      <c r="AH56">
        <f t="shared" si="7"/>
        <v>0.24476190476190474</v>
      </c>
    </row>
    <row r="57" spans="1:34" ht="15" x14ac:dyDescent="0.2">
      <c r="A57">
        <v>271</v>
      </c>
      <c r="B57" s="57" t="s">
        <v>333</v>
      </c>
      <c r="C57" s="57"/>
      <c r="D57">
        <f t="shared" si="0"/>
        <v>256</v>
      </c>
      <c r="E57" s="1">
        <f t="shared" si="1"/>
        <v>46</v>
      </c>
      <c r="F57">
        <f t="shared" si="20"/>
        <v>21</v>
      </c>
      <c r="G57">
        <f t="shared" si="20"/>
        <v>4</v>
      </c>
      <c r="H57">
        <f t="shared" si="20"/>
        <v>5</v>
      </c>
      <c r="I57">
        <f t="shared" si="20"/>
        <v>13</v>
      </c>
      <c r="J57">
        <f t="shared" si="20"/>
        <v>24</v>
      </c>
      <c r="K57">
        <f t="shared" si="20"/>
        <v>4</v>
      </c>
      <c r="L57">
        <f t="shared" si="20"/>
        <v>2</v>
      </c>
      <c r="M57">
        <f t="shared" si="20"/>
        <v>8</v>
      </c>
      <c r="N57">
        <f t="shared" si="20"/>
        <v>10</v>
      </c>
      <c r="O57">
        <f t="shared" si="20"/>
        <v>1</v>
      </c>
      <c r="P57">
        <f t="shared" si="21"/>
        <v>1</v>
      </c>
      <c r="Q57">
        <f t="shared" si="21"/>
        <v>11</v>
      </c>
      <c r="R57">
        <f t="shared" si="21"/>
        <v>2</v>
      </c>
      <c r="S57">
        <f t="shared" si="21"/>
        <v>12</v>
      </c>
      <c r="T57">
        <f t="shared" si="21"/>
        <v>14</v>
      </c>
      <c r="U57">
        <f t="shared" si="21"/>
        <v>2</v>
      </c>
      <c r="V57">
        <f t="shared" si="21"/>
        <v>0</v>
      </c>
      <c r="W57">
        <f t="shared" si="21"/>
        <v>12</v>
      </c>
      <c r="X57">
        <f t="shared" si="21"/>
        <v>15</v>
      </c>
      <c r="Y57">
        <f t="shared" si="21"/>
        <v>22</v>
      </c>
      <c r="Z57">
        <f t="shared" si="22"/>
        <v>3</v>
      </c>
      <c r="AA57">
        <f t="shared" si="22"/>
        <v>4</v>
      </c>
      <c r="AB57">
        <f t="shared" si="22"/>
        <v>5</v>
      </c>
      <c r="AC57">
        <f t="shared" si="22"/>
        <v>0</v>
      </c>
      <c r="AD57">
        <f t="shared" si="22"/>
        <v>2</v>
      </c>
      <c r="AE57">
        <f t="shared" si="22"/>
        <v>0</v>
      </c>
      <c r="AF57" s="56">
        <f t="shared" si="5"/>
        <v>23</v>
      </c>
      <c r="AG57" s="59">
        <f t="shared" si="6"/>
        <v>5.5652173913043477</v>
      </c>
      <c r="AH57">
        <f t="shared" si="7"/>
        <v>0.24196597353497165</v>
      </c>
    </row>
    <row r="58" spans="1:34" ht="15" x14ac:dyDescent="0.2">
      <c r="A58">
        <v>544</v>
      </c>
      <c r="B58" s="57" t="s">
        <v>572</v>
      </c>
      <c r="C58" s="57"/>
      <c r="D58">
        <f t="shared" si="0"/>
        <v>253</v>
      </c>
      <c r="E58" s="1">
        <f t="shared" si="1"/>
        <v>45</v>
      </c>
      <c r="F58">
        <f t="shared" si="20"/>
        <v>17</v>
      </c>
      <c r="G58">
        <f t="shared" si="20"/>
        <v>2</v>
      </c>
      <c r="H58">
        <f t="shared" si="20"/>
        <v>7</v>
      </c>
      <c r="I58">
        <f t="shared" si="20"/>
        <v>4</v>
      </c>
      <c r="J58">
        <f t="shared" si="20"/>
        <v>32</v>
      </c>
      <c r="K58">
        <f t="shared" si="20"/>
        <v>2</v>
      </c>
      <c r="L58">
        <f t="shared" si="20"/>
        <v>2</v>
      </c>
      <c r="M58">
        <f t="shared" si="20"/>
        <v>3</v>
      </c>
      <c r="N58">
        <f t="shared" si="20"/>
        <v>14</v>
      </c>
      <c r="O58">
        <f t="shared" si="20"/>
        <v>1</v>
      </c>
      <c r="P58">
        <f t="shared" si="21"/>
        <v>0</v>
      </c>
      <c r="Q58">
        <f t="shared" si="21"/>
        <v>12</v>
      </c>
      <c r="R58">
        <f t="shared" si="21"/>
        <v>3</v>
      </c>
      <c r="S58">
        <f t="shared" si="21"/>
        <v>13</v>
      </c>
      <c r="T58">
        <f t="shared" si="21"/>
        <v>10</v>
      </c>
      <c r="U58">
        <f t="shared" si="21"/>
        <v>3</v>
      </c>
      <c r="V58">
        <f t="shared" si="21"/>
        <v>2</v>
      </c>
      <c r="W58">
        <f t="shared" si="21"/>
        <v>17</v>
      </c>
      <c r="X58">
        <f t="shared" si="21"/>
        <v>16</v>
      </c>
      <c r="Y58">
        <f t="shared" si="21"/>
        <v>15</v>
      </c>
      <c r="Z58">
        <f t="shared" si="22"/>
        <v>15</v>
      </c>
      <c r="AA58">
        <f t="shared" si="22"/>
        <v>2</v>
      </c>
      <c r="AB58">
        <f t="shared" si="22"/>
        <v>0</v>
      </c>
      <c r="AC58">
        <f t="shared" si="22"/>
        <v>2</v>
      </c>
      <c r="AD58">
        <f t="shared" si="22"/>
        <v>0</v>
      </c>
      <c r="AE58">
        <f t="shared" si="22"/>
        <v>0</v>
      </c>
      <c r="AF58" s="56">
        <f t="shared" si="5"/>
        <v>22</v>
      </c>
      <c r="AG58" s="59">
        <f t="shared" si="6"/>
        <v>5.6222222222222218</v>
      </c>
      <c r="AH58">
        <f t="shared" si="7"/>
        <v>0.25555555555555554</v>
      </c>
    </row>
    <row r="59" spans="1:34" ht="15" x14ac:dyDescent="0.2">
      <c r="A59">
        <v>342</v>
      </c>
      <c r="B59" s="57" t="s">
        <v>402</v>
      </c>
      <c r="C59" s="57"/>
      <c r="D59">
        <f t="shared" si="0"/>
        <v>248</v>
      </c>
      <c r="E59" s="1">
        <f t="shared" si="1"/>
        <v>45</v>
      </c>
      <c r="F59">
        <f t="shared" si="20"/>
        <v>12</v>
      </c>
      <c r="G59">
        <f t="shared" si="20"/>
        <v>1</v>
      </c>
      <c r="H59">
        <f t="shared" si="20"/>
        <v>4</v>
      </c>
      <c r="I59">
        <f t="shared" si="20"/>
        <v>3</v>
      </c>
      <c r="J59">
        <f t="shared" si="20"/>
        <v>29</v>
      </c>
      <c r="K59">
        <f t="shared" si="20"/>
        <v>7</v>
      </c>
      <c r="L59">
        <f t="shared" si="20"/>
        <v>4</v>
      </c>
      <c r="M59">
        <f t="shared" si="20"/>
        <v>7</v>
      </c>
      <c r="N59">
        <f t="shared" si="20"/>
        <v>14</v>
      </c>
      <c r="O59">
        <f t="shared" si="20"/>
        <v>0</v>
      </c>
      <c r="P59">
        <f t="shared" si="21"/>
        <v>1</v>
      </c>
      <c r="Q59">
        <f t="shared" si="21"/>
        <v>14</v>
      </c>
      <c r="R59">
        <f t="shared" si="21"/>
        <v>5</v>
      </c>
      <c r="S59">
        <f t="shared" si="21"/>
        <v>13</v>
      </c>
      <c r="T59">
        <f t="shared" si="21"/>
        <v>14</v>
      </c>
      <c r="U59">
        <f t="shared" si="21"/>
        <v>6</v>
      </c>
      <c r="V59">
        <f t="shared" si="21"/>
        <v>0</v>
      </c>
      <c r="W59">
        <f t="shared" si="21"/>
        <v>16</v>
      </c>
      <c r="X59">
        <f t="shared" si="21"/>
        <v>8</v>
      </c>
      <c r="Y59">
        <f t="shared" si="21"/>
        <v>15</v>
      </c>
      <c r="Z59">
        <f t="shared" si="22"/>
        <v>8</v>
      </c>
      <c r="AA59">
        <f t="shared" si="22"/>
        <v>3</v>
      </c>
      <c r="AB59">
        <f t="shared" si="22"/>
        <v>4</v>
      </c>
      <c r="AC59">
        <f t="shared" si="22"/>
        <v>2</v>
      </c>
      <c r="AD59">
        <f t="shared" si="22"/>
        <v>9</v>
      </c>
      <c r="AE59">
        <f t="shared" si="22"/>
        <v>0</v>
      </c>
      <c r="AF59" s="56">
        <f t="shared" si="5"/>
        <v>23</v>
      </c>
      <c r="AG59" s="59">
        <f t="shared" si="6"/>
        <v>5.5111111111111111</v>
      </c>
      <c r="AH59">
        <f t="shared" si="7"/>
        <v>0.23961352657004831</v>
      </c>
    </row>
    <row r="60" spans="1:34" ht="15" x14ac:dyDescent="0.2">
      <c r="A60">
        <v>337</v>
      </c>
      <c r="B60" s="57" t="s">
        <v>397</v>
      </c>
      <c r="C60" s="57"/>
      <c r="D60">
        <f t="shared" si="0"/>
        <v>244</v>
      </c>
      <c r="E60" s="1">
        <f t="shared" si="1"/>
        <v>39</v>
      </c>
      <c r="F60">
        <f t="shared" si="20"/>
        <v>14</v>
      </c>
      <c r="G60">
        <f t="shared" si="20"/>
        <v>6</v>
      </c>
      <c r="H60">
        <f t="shared" si="20"/>
        <v>8</v>
      </c>
      <c r="I60">
        <f t="shared" si="20"/>
        <v>9</v>
      </c>
      <c r="J60">
        <f t="shared" si="20"/>
        <v>24</v>
      </c>
      <c r="K60">
        <f t="shared" si="20"/>
        <v>1</v>
      </c>
      <c r="L60">
        <f t="shared" si="20"/>
        <v>4</v>
      </c>
      <c r="M60">
        <f t="shared" si="20"/>
        <v>5</v>
      </c>
      <c r="N60">
        <f t="shared" si="20"/>
        <v>19</v>
      </c>
      <c r="O60">
        <f t="shared" si="20"/>
        <v>0</v>
      </c>
      <c r="P60">
        <f t="shared" si="21"/>
        <v>1</v>
      </c>
      <c r="Q60">
        <f t="shared" si="21"/>
        <v>4</v>
      </c>
      <c r="R60">
        <f t="shared" si="21"/>
        <v>5</v>
      </c>
      <c r="S60">
        <f t="shared" si="21"/>
        <v>12</v>
      </c>
      <c r="T60">
        <f t="shared" si="21"/>
        <v>14</v>
      </c>
      <c r="U60">
        <f t="shared" si="21"/>
        <v>5</v>
      </c>
      <c r="V60">
        <f t="shared" si="21"/>
        <v>0</v>
      </c>
      <c r="W60">
        <f t="shared" si="21"/>
        <v>17</v>
      </c>
      <c r="X60">
        <f t="shared" si="21"/>
        <v>13</v>
      </c>
      <c r="Y60">
        <f t="shared" si="21"/>
        <v>22</v>
      </c>
      <c r="Z60">
        <f t="shared" si="22"/>
        <v>8</v>
      </c>
      <c r="AA60">
        <f t="shared" si="22"/>
        <v>2</v>
      </c>
      <c r="AB60">
        <f t="shared" si="22"/>
        <v>1</v>
      </c>
      <c r="AC60">
        <f t="shared" si="22"/>
        <v>0</v>
      </c>
      <c r="AD60">
        <f t="shared" si="22"/>
        <v>3</v>
      </c>
      <c r="AE60">
        <f t="shared" si="22"/>
        <v>0</v>
      </c>
      <c r="AF60" s="56">
        <f t="shared" si="5"/>
        <v>22</v>
      </c>
      <c r="AG60" s="59">
        <f t="shared" si="6"/>
        <v>6.2564102564102564</v>
      </c>
      <c r="AH60">
        <f t="shared" si="7"/>
        <v>0.28438228438228436</v>
      </c>
    </row>
    <row r="61" spans="1:34" ht="15" x14ac:dyDescent="0.2">
      <c r="A61">
        <v>449</v>
      </c>
      <c r="B61" s="57" t="s">
        <v>491</v>
      </c>
      <c r="C61" s="57"/>
      <c r="D61">
        <f t="shared" si="0"/>
        <v>243</v>
      </c>
      <c r="E61" s="1">
        <f t="shared" si="1"/>
        <v>44</v>
      </c>
      <c r="F61">
        <f t="shared" si="20"/>
        <v>10</v>
      </c>
      <c r="G61">
        <f t="shared" si="20"/>
        <v>4</v>
      </c>
      <c r="H61">
        <f t="shared" si="20"/>
        <v>2</v>
      </c>
      <c r="I61">
        <f t="shared" si="20"/>
        <v>5</v>
      </c>
      <c r="J61">
        <f t="shared" si="20"/>
        <v>30</v>
      </c>
      <c r="K61">
        <f t="shared" si="20"/>
        <v>2</v>
      </c>
      <c r="L61">
        <f t="shared" si="20"/>
        <v>2</v>
      </c>
      <c r="M61">
        <f t="shared" si="20"/>
        <v>3</v>
      </c>
      <c r="N61">
        <f t="shared" si="20"/>
        <v>8</v>
      </c>
      <c r="O61">
        <f t="shared" si="20"/>
        <v>1</v>
      </c>
      <c r="P61">
        <f t="shared" si="21"/>
        <v>1</v>
      </c>
      <c r="Q61">
        <f t="shared" si="21"/>
        <v>10</v>
      </c>
      <c r="R61">
        <f t="shared" si="21"/>
        <v>10</v>
      </c>
      <c r="S61">
        <f t="shared" si="21"/>
        <v>10</v>
      </c>
      <c r="T61">
        <f t="shared" si="21"/>
        <v>21</v>
      </c>
      <c r="U61">
        <f t="shared" si="21"/>
        <v>8</v>
      </c>
      <c r="V61">
        <f t="shared" si="21"/>
        <v>0</v>
      </c>
      <c r="W61">
        <f t="shared" si="21"/>
        <v>18</v>
      </c>
      <c r="X61">
        <f t="shared" si="21"/>
        <v>7</v>
      </c>
      <c r="Y61">
        <f t="shared" si="21"/>
        <v>13</v>
      </c>
      <c r="Z61">
        <f t="shared" si="22"/>
        <v>11</v>
      </c>
      <c r="AA61">
        <f t="shared" si="22"/>
        <v>3</v>
      </c>
      <c r="AB61">
        <f t="shared" si="22"/>
        <v>0</v>
      </c>
      <c r="AC61">
        <f t="shared" si="22"/>
        <v>0</v>
      </c>
      <c r="AD61">
        <f t="shared" si="22"/>
        <v>11</v>
      </c>
      <c r="AE61">
        <f t="shared" si="22"/>
        <v>1</v>
      </c>
      <c r="AF61" s="56">
        <f t="shared" si="5"/>
        <v>23</v>
      </c>
      <c r="AG61" s="59">
        <f t="shared" si="6"/>
        <v>5.5227272727272725</v>
      </c>
      <c r="AH61">
        <f t="shared" si="7"/>
        <v>0.24011857707509882</v>
      </c>
    </row>
    <row r="62" spans="1:34" ht="15" x14ac:dyDescent="0.2">
      <c r="A62">
        <v>401</v>
      </c>
      <c r="B62" s="57" t="s">
        <v>452</v>
      </c>
      <c r="C62" s="57"/>
      <c r="D62">
        <f t="shared" si="0"/>
        <v>240</v>
      </c>
      <c r="E62" s="1">
        <f t="shared" si="1"/>
        <v>41</v>
      </c>
      <c r="F62">
        <f t="shared" ref="F62:O71" si="23">LEN($B62)-LEN(SUBSTITUTE($B62,F$1,""))</f>
        <v>15</v>
      </c>
      <c r="G62">
        <f t="shared" si="23"/>
        <v>7</v>
      </c>
      <c r="H62">
        <f t="shared" si="23"/>
        <v>5</v>
      </c>
      <c r="I62">
        <f t="shared" si="23"/>
        <v>13</v>
      </c>
      <c r="J62">
        <f t="shared" si="23"/>
        <v>28</v>
      </c>
      <c r="K62">
        <f t="shared" si="23"/>
        <v>2</v>
      </c>
      <c r="L62">
        <f t="shared" si="23"/>
        <v>3</v>
      </c>
      <c r="M62">
        <f t="shared" si="23"/>
        <v>9</v>
      </c>
      <c r="N62">
        <f t="shared" si="23"/>
        <v>13</v>
      </c>
      <c r="O62">
        <f t="shared" si="23"/>
        <v>0</v>
      </c>
      <c r="P62">
        <f t="shared" ref="P62:Y71" si="24">LEN($B62)-LEN(SUBSTITUTE($B62,P$1,""))</f>
        <v>0</v>
      </c>
      <c r="Q62">
        <f t="shared" si="24"/>
        <v>8</v>
      </c>
      <c r="R62">
        <f t="shared" si="24"/>
        <v>4</v>
      </c>
      <c r="S62">
        <f t="shared" si="24"/>
        <v>13</v>
      </c>
      <c r="T62">
        <f t="shared" si="24"/>
        <v>15</v>
      </c>
      <c r="U62">
        <f t="shared" si="24"/>
        <v>4</v>
      </c>
      <c r="V62">
        <f t="shared" si="24"/>
        <v>0</v>
      </c>
      <c r="W62">
        <f t="shared" si="24"/>
        <v>13</v>
      </c>
      <c r="X62">
        <f t="shared" si="24"/>
        <v>17</v>
      </c>
      <c r="Y62">
        <f t="shared" si="24"/>
        <v>14</v>
      </c>
      <c r="Z62">
        <f t="shared" ref="Z62:AE71" si="25">LEN($B62)-LEN(SUBSTITUTE($B62,Z$1,""))</f>
        <v>3</v>
      </c>
      <c r="AA62">
        <f t="shared" si="25"/>
        <v>2</v>
      </c>
      <c r="AB62">
        <f t="shared" si="25"/>
        <v>3</v>
      </c>
      <c r="AC62">
        <f t="shared" si="25"/>
        <v>0</v>
      </c>
      <c r="AD62">
        <f t="shared" si="25"/>
        <v>3</v>
      </c>
      <c r="AE62">
        <f t="shared" si="25"/>
        <v>0</v>
      </c>
      <c r="AF62" s="56">
        <f t="shared" si="5"/>
        <v>21</v>
      </c>
      <c r="AG62" s="59">
        <f t="shared" si="6"/>
        <v>5.8536585365853657</v>
      </c>
      <c r="AH62">
        <f t="shared" si="7"/>
        <v>0.27874564459930312</v>
      </c>
    </row>
    <row r="63" spans="1:34" ht="15" x14ac:dyDescent="0.2">
      <c r="A63">
        <v>530</v>
      </c>
      <c r="B63" s="57" t="s">
        <v>662</v>
      </c>
      <c r="C63" s="57"/>
      <c r="D63">
        <f t="shared" si="0"/>
        <v>239</v>
      </c>
      <c r="E63" s="1">
        <f t="shared" si="1"/>
        <v>42</v>
      </c>
      <c r="F63">
        <f t="shared" si="23"/>
        <v>18</v>
      </c>
      <c r="G63">
        <f t="shared" si="23"/>
        <v>3</v>
      </c>
      <c r="H63">
        <f t="shared" si="23"/>
        <v>9</v>
      </c>
      <c r="I63">
        <f t="shared" si="23"/>
        <v>6</v>
      </c>
      <c r="J63">
        <f t="shared" si="23"/>
        <v>17</v>
      </c>
      <c r="K63">
        <f t="shared" si="23"/>
        <v>4</v>
      </c>
      <c r="L63">
        <f t="shared" si="23"/>
        <v>3</v>
      </c>
      <c r="M63">
        <f t="shared" si="23"/>
        <v>5</v>
      </c>
      <c r="N63">
        <f t="shared" si="23"/>
        <v>10</v>
      </c>
      <c r="O63">
        <f t="shared" si="23"/>
        <v>0</v>
      </c>
      <c r="P63">
        <f t="shared" si="24"/>
        <v>0</v>
      </c>
      <c r="Q63">
        <f t="shared" si="24"/>
        <v>9</v>
      </c>
      <c r="R63">
        <f t="shared" si="24"/>
        <v>3</v>
      </c>
      <c r="S63">
        <f t="shared" si="24"/>
        <v>13</v>
      </c>
      <c r="T63">
        <f t="shared" si="24"/>
        <v>22</v>
      </c>
      <c r="U63">
        <f t="shared" si="24"/>
        <v>0</v>
      </c>
      <c r="V63">
        <f t="shared" si="24"/>
        <v>0</v>
      </c>
      <c r="W63">
        <f t="shared" si="24"/>
        <v>13</v>
      </c>
      <c r="X63">
        <f t="shared" si="24"/>
        <v>13</v>
      </c>
      <c r="Y63">
        <f t="shared" si="24"/>
        <v>14</v>
      </c>
      <c r="Z63">
        <f t="shared" si="25"/>
        <v>12</v>
      </c>
      <c r="AA63">
        <f t="shared" si="25"/>
        <v>2</v>
      </c>
      <c r="AB63">
        <f t="shared" si="25"/>
        <v>5</v>
      </c>
      <c r="AC63">
        <f t="shared" si="25"/>
        <v>1</v>
      </c>
      <c r="AD63">
        <f t="shared" si="25"/>
        <v>9</v>
      </c>
      <c r="AE63">
        <f t="shared" si="25"/>
        <v>0</v>
      </c>
      <c r="AF63" s="56">
        <f t="shared" si="5"/>
        <v>21</v>
      </c>
      <c r="AG63" s="59">
        <f t="shared" si="6"/>
        <v>5.6904761904761907</v>
      </c>
      <c r="AH63">
        <f t="shared" si="7"/>
        <v>0.27097505668934241</v>
      </c>
    </row>
    <row r="64" spans="1:34" ht="15" x14ac:dyDescent="0.2">
      <c r="A64">
        <v>504</v>
      </c>
      <c r="B64" s="57" t="s">
        <v>539</v>
      </c>
      <c r="C64" s="57"/>
      <c r="D64">
        <f t="shared" si="0"/>
        <v>239</v>
      </c>
      <c r="E64" s="1">
        <f t="shared" si="1"/>
        <v>43</v>
      </c>
      <c r="F64">
        <f t="shared" si="23"/>
        <v>14</v>
      </c>
      <c r="G64">
        <f t="shared" si="23"/>
        <v>2</v>
      </c>
      <c r="H64">
        <f t="shared" si="23"/>
        <v>8</v>
      </c>
      <c r="I64">
        <f t="shared" si="23"/>
        <v>5</v>
      </c>
      <c r="J64">
        <f t="shared" si="23"/>
        <v>21</v>
      </c>
      <c r="K64">
        <f t="shared" si="23"/>
        <v>2</v>
      </c>
      <c r="L64">
        <f t="shared" si="23"/>
        <v>2</v>
      </c>
      <c r="M64">
        <f t="shared" si="23"/>
        <v>15</v>
      </c>
      <c r="N64">
        <f t="shared" si="23"/>
        <v>12</v>
      </c>
      <c r="O64">
        <f t="shared" si="23"/>
        <v>1</v>
      </c>
      <c r="P64">
        <f t="shared" si="24"/>
        <v>0</v>
      </c>
      <c r="Q64">
        <f t="shared" si="24"/>
        <v>9</v>
      </c>
      <c r="R64">
        <f t="shared" si="24"/>
        <v>4</v>
      </c>
      <c r="S64">
        <f t="shared" si="24"/>
        <v>11</v>
      </c>
      <c r="T64">
        <f t="shared" si="24"/>
        <v>14</v>
      </c>
      <c r="U64">
        <f t="shared" si="24"/>
        <v>5</v>
      </c>
      <c r="V64">
        <f t="shared" si="24"/>
        <v>0</v>
      </c>
      <c r="W64">
        <f t="shared" si="24"/>
        <v>7</v>
      </c>
      <c r="X64">
        <f t="shared" si="24"/>
        <v>12</v>
      </c>
      <c r="Y64">
        <f t="shared" si="24"/>
        <v>21</v>
      </c>
      <c r="Z64">
        <f t="shared" si="25"/>
        <v>8</v>
      </c>
      <c r="AA64">
        <f t="shared" si="25"/>
        <v>3</v>
      </c>
      <c r="AB64">
        <f t="shared" si="25"/>
        <v>5</v>
      </c>
      <c r="AC64">
        <f t="shared" si="25"/>
        <v>0</v>
      </c>
      <c r="AD64">
        <f t="shared" si="25"/>
        <v>5</v>
      </c>
      <c r="AE64">
        <f t="shared" si="25"/>
        <v>0</v>
      </c>
      <c r="AF64" s="56">
        <f t="shared" si="5"/>
        <v>22</v>
      </c>
      <c r="AG64" s="59">
        <f t="shared" si="6"/>
        <v>5.558139534883721</v>
      </c>
      <c r="AH64">
        <f t="shared" si="7"/>
        <v>0.25264270613107825</v>
      </c>
    </row>
    <row r="65" spans="1:34" ht="15" x14ac:dyDescent="0.2">
      <c r="A65">
        <v>484</v>
      </c>
      <c r="B65" s="57" t="s">
        <v>522</v>
      </c>
      <c r="C65" s="57"/>
      <c r="D65">
        <f t="shared" si="0"/>
        <v>238</v>
      </c>
      <c r="E65" s="1">
        <f t="shared" si="1"/>
        <v>33</v>
      </c>
      <c r="F65">
        <f t="shared" si="23"/>
        <v>17</v>
      </c>
      <c r="G65">
        <f t="shared" si="23"/>
        <v>6</v>
      </c>
      <c r="H65">
        <f t="shared" si="23"/>
        <v>3</v>
      </c>
      <c r="I65">
        <f t="shared" si="23"/>
        <v>9</v>
      </c>
      <c r="J65">
        <f t="shared" si="23"/>
        <v>27</v>
      </c>
      <c r="K65">
        <f t="shared" si="23"/>
        <v>2</v>
      </c>
      <c r="L65">
        <f t="shared" si="23"/>
        <v>7</v>
      </c>
      <c r="M65">
        <f t="shared" si="23"/>
        <v>4</v>
      </c>
      <c r="N65">
        <f t="shared" si="23"/>
        <v>10</v>
      </c>
      <c r="O65">
        <f t="shared" si="23"/>
        <v>0</v>
      </c>
      <c r="P65">
        <f t="shared" si="24"/>
        <v>0</v>
      </c>
      <c r="Q65">
        <f t="shared" si="24"/>
        <v>9</v>
      </c>
      <c r="R65">
        <f t="shared" si="24"/>
        <v>7</v>
      </c>
      <c r="S65">
        <f t="shared" si="24"/>
        <v>13</v>
      </c>
      <c r="T65">
        <f t="shared" si="24"/>
        <v>13</v>
      </c>
      <c r="U65">
        <f t="shared" si="24"/>
        <v>4</v>
      </c>
      <c r="V65">
        <f t="shared" si="24"/>
        <v>0</v>
      </c>
      <c r="W65">
        <f t="shared" si="24"/>
        <v>19</v>
      </c>
      <c r="X65">
        <f t="shared" si="24"/>
        <v>11</v>
      </c>
      <c r="Y65">
        <f t="shared" si="24"/>
        <v>18</v>
      </c>
      <c r="Z65">
        <f t="shared" si="25"/>
        <v>4</v>
      </c>
      <c r="AA65">
        <f t="shared" si="25"/>
        <v>3</v>
      </c>
      <c r="AB65">
        <f t="shared" si="25"/>
        <v>1</v>
      </c>
      <c r="AC65">
        <f t="shared" si="25"/>
        <v>0</v>
      </c>
      <c r="AD65">
        <f t="shared" si="25"/>
        <v>7</v>
      </c>
      <c r="AE65">
        <f t="shared" si="25"/>
        <v>0</v>
      </c>
      <c r="AF65" s="56">
        <f t="shared" si="5"/>
        <v>21</v>
      </c>
      <c r="AG65" s="59">
        <f t="shared" si="6"/>
        <v>7.2121212121212119</v>
      </c>
      <c r="AH65">
        <f t="shared" si="7"/>
        <v>0.34343434343434343</v>
      </c>
    </row>
    <row r="66" spans="1:34" ht="15" x14ac:dyDescent="0.2">
      <c r="A66">
        <v>462</v>
      </c>
      <c r="B66" s="57" t="s">
        <v>663</v>
      </c>
      <c r="C66" s="57"/>
      <c r="D66">
        <f t="shared" ref="D66:D129" si="26">LEN(B66)</f>
        <v>234</v>
      </c>
      <c r="E66" s="1">
        <f t="shared" ref="E66:E129" si="27">IF(LEN(TRIM(B66))=0,0,LEN(TRIM(B66))-LEN(SUBSTITUTE(B66," ",""))+1)</f>
        <v>46</v>
      </c>
      <c r="F66">
        <f t="shared" si="23"/>
        <v>20</v>
      </c>
      <c r="G66">
        <f t="shared" si="23"/>
        <v>1</v>
      </c>
      <c r="H66">
        <f t="shared" si="23"/>
        <v>0</v>
      </c>
      <c r="I66">
        <f t="shared" si="23"/>
        <v>11</v>
      </c>
      <c r="J66">
        <f t="shared" si="23"/>
        <v>17</v>
      </c>
      <c r="K66">
        <f t="shared" si="23"/>
        <v>1</v>
      </c>
      <c r="L66">
        <f t="shared" si="23"/>
        <v>3</v>
      </c>
      <c r="M66">
        <f t="shared" si="23"/>
        <v>11</v>
      </c>
      <c r="N66">
        <f t="shared" si="23"/>
        <v>12</v>
      </c>
      <c r="O66">
        <f t="shared" si="23"/>
        <v>1</v>
      </c>
      <c r="P66">
        <f t="shared" si="24"/>
        <v>3</v>
      </c>
      <c r="Q66">
        <f t="shared" si="24"/>
        <v>7</v>
      </c>
      <c r="R66">
        <f t="shared" si="24"/>
        <v>6</v>
      </c>
      <c r="S66">
        <f t="shared" si="24"/>
        <v>13</v>
      </c>
      <c r="T66">
        <f t="shared" si="24"/>
        <v>17</v>
      </c>
      <c r="U66">
        <f t="shared" si="24"/>
        <v>8</v>
      </c>
      <c r="V66">
        <f t="shared" si="24"/>
        <v>1</v>
      </c>
      <c r="W66">
        <f t="shared" si="24"/>
        <v>7</v>
      </c>
      <c r="X66">
        <f t="shared" si="24"/>
        <v>10</v>
      </c>
      <c r="Y66">
        <f t="shared" si="24"/>
        <v>17</v>
      </c>
      <c r="Z66">
        <f t="shared" si="25"/>
        <v>3</v>
      </c>
      <c r="AA66">
        <f t="shared" si="25"/>
        <v>1</v>
      </c>
      <c r="AB66">
        <f t="shared" si="25"/>
        <v>4</v>
      </c>
      <c r="AC66">
        <f t="shared" si="25"/>
        <v>0</v>
      </c>
      <c r="AD66">
        <f t="shared" si="25"/>
        <v>1</v>
      </c>
      <c r="AE66">
        <f t="shared" si="25"/>
        <v>0</v>
      </c>
      <c r="AF66" s="56">
        <f t="shared" ref="AF66:AF129" si="28">26-COUNTIF(F66:AE66,0)</f>
        <v>23</v>
      </c>
      <c r="AG66" s="59">
        <f t="shared" ref="AG66:AG129" si="29">D66/E66</f>
        <v>5.0869565217391308</v>
      </c>
      <c r="AH66">
        <f t="shared" ref="AH66:AH129" si="30">AG66/AF66</f>
        <v>0.22117202268431005</v>
      </c>
    </row>
    <row r="67" spans="1:34" ht="15" x14ac:dyDescent="0.2">
      <c r="A67">
        <v>384</v>
      </c>
      <c r="B67" s="57" t="s">
        <v>439</v>
      </c>
      <c r="C67" s="57"/>
      <c r="D67">
        <f t="shared" si="26"/>
        <v>233</v>
      </c>
      <c r="E67" s="1">
        <f t="shared" si="27"/>
        <v>39</v>
      </c>
      <c r="F67">
        <f t="shared" si="23"/>
        <v>14</v>
      </c>
      <c r="G67">
        <f t="shared" si="23"/>
        <v>3</v>
      </c>
      <c r="H67">
        <f t="shared" si="23"/>
        <v>10</v>
      </c>
      <c r="I67">
        <f t="shared" si="23"/>
        <v>10</v>
      </c>
      <c r="J67">
        <f t="shared" si="23"/>
        <v>23</v>
      </c>
      <c r="K67">
        <f t="shared" si="23"/>
        <v>6</v>
      </c>
      <c r="L67">
        <f t="shared" si="23"/>
        <v>2</v>
      </c>
      <c r="M67">
        <f t="shared" si="23"/>
        <v>6</v>
      </c>
      <c r="N67">
        <f t="shared" si="23"/>
        <v>15</v>
      </c>
      <c r="O67">
        <f t="shared" si="23"/>
        <v>0</v>
      </c>
      <c r="P67">
        <f t="shared" si="24"/>
        <v>1</v>
      </c>
      <c r="Q67">
        <f t="shared" si="24"/>
        <v>8</v>
      </c>
      <c r="R67">
        <f t="shared" si="24"/>
        <v>3</v>
      </c>
      <c r="S67">
        <f t="shared" si="24"/>
        <v>14</v>
      </c>
      <c r="T67">
        <f t="shared" si="24"/>
        <v>15</v>
      </c>
      <c r="U67">
        <f t="shared" si="24"/>
        <v>4</v>
      </c>
      <c r="V67">
        <f t="shared" si="24"/>
        <v>0</v>
      </c>
      <c r="W67">
        <f t="shared" si="24"/>
        <v>11</v>
      </c>
      <c r="X67">
        <f t="shared" si="24"/>
        <v>14</v>
      </c>
      <c r="Y67">
        <f t="shared" si="24"/>
        <v>20</v>
      </c>
      <c r="Z67">
        <f t="shared" si="25"/>
        <v>4</v>
      </c>
      <c r="AA67">
        <f t="shared" si="25"/>
        <v>1</v>
      </c>
      <c r="AB67">
        <f t="shared" si="25"/>
        <v>3</v>
      </c>
      <c r="AC67">
        <f t="shared" si="25"/>
        <v>0</v>
      </c>
      <c r="AD67">
        <f t="shared" si="25"/>
        <v>2</v>
      </c>
      <c r="AE67">
        <f t="shared" si="25"/>
        <v>0</v>
      </c>
      <c r="AF67" s="56">
        <f t="shared" si="28"/>
        <v>22</v>
      </c>
      <c r="AG67" s="59">
        <f t="shared" si="29"/>
        <v>5.9743589743589745</v>
      </c>
      <c r="AH67">
        <f t="shared" si="30"/>
        <v>0.27156177156177158</v>
      </c>
    </row>
    <row r="68" spans="1:34" ht="15" x14ac:dyDescent="0.2">
      <c r="A68">
        <v>316</v>
      </c>
      <c r="B68" s="57" t="s">
        <v>376</v>
      </c>
      <c r="C68" s="57"/>
      <c r="D68">
        <f t="shared" si="26"/>
        <v>230</v>
      </c>
      <c r="E68" s="1">
        <f t="shared" si="27"/>
        <v>44</v>
      </c>
      <c r="F68">
        <f t="shared" si="23"/>
        <v>16</v>
      </c>
      <c r="G68">
        <f t="shared" si="23"/>
        <v>2</v>
      </c>
      <c r="H68">
        <f t="shared" si="23"/>
        <v>7</v>
      </c>
      <c r="I68">
        <f t="shared" si="23"/>
        <v>4</v>
      </c>
      <c r="J68">
        <f t="shared" si="23"/>
        <v>29</v>
      </c>
      <c r="K68">
        <f t="shared" si="23"/>
        <v>2</v>
      </c>
      <c r="L68">
        <f t="shared" si="23"/>
        <v>2</v>
      </c>
      <c r="M68">
        <f t="shared" si="23"/>
        <v>5</v>
      </c>
      <c r="N68">
        <f t="shared" si="23"/>
        <v>16</v>
      </c>
      <c r="O68">
        <f t="shared" si="23"/>
        <v>2</v>
      </c>
      <c r="P68">
        <f t="shared" si="24"/>
        <v>1</v>
      </c>
      <c r="Q68">
        <f t="shared" si="24"/>
        <v>16</v>
      </c>
      <c r="R68">
        <f t="shared" si="24"/>
        <v>2</v>
      </c>
      <c r="S68">
        <f t="shared" si="24"/>
        <v>7</v>
      </c>
      <c r="T68">
        <f t="shared" si="24"/>
        <v>10</v>
      </c>
      <c r="U68">
        <f t="shared" si="24"/>
        <v>6</v>
      </c>
      <c r="V68">
        <f t="shared" si="24"/>
        <v>2</v>
      </c>
      <c r="W68">
        <f t="shared" si="24"/>
        <v>10</v>
      </c>
      <c r="X68">
        <f t="shared" si="24"/>
        <v>13</v>
      </c>
      <c r="Y68">
        <f t="shared" si="24"/>
        <v>12</v>
      </c>
      <c r="Z68">
        <f t="shared" si="25"/>
        <v>9</v>
      </c>
      <c r="AA68">
        <f t="shared" si="25"/>
        <v>3</v>
      </c>
      <c r="AB68">
        <f t="shared" si="25"/>
        <v>0</v>
      </c>
      <c r="AC68">
        <f t="shared" si="25"/>
        <v>0</v>
      </c>
      <c r="AD68">
        <f t="shared" si="25"/>
        <v>1</v>
      </c>
      <c r="AE68">
        <f t="shared" si="25"/>
        <v>0</v>
      </c>
      <c r="AF68" s="56">
        <f t="shared" si="28"/>
        <v>23</v>
      </c>
      <c r="AG68" s="59">
        <f t="shared" si="29"/>
        <v>5.2272727272727275</v>
      </c>
      <c r="AH68">
        <f t="shared" si="30"/>
        <v>0.22727272727272729</v>
      </c>
    </row>
    <row r="69" spans="1:34" ht="15" x14ac:dyDescent="0.2">
      <c r="A69">
        <v>597</v>
      </c>
      <c r="B69" s="57" t="s">
        <v>617</v>
      </c>
      <c r="C69" s="57"/>
      <c r="D69">
        <f t="shared" si="26"/>
        <v>227</v>
      </c>
      <c r="E69" s="1">
        <f t="shared" si="27"/>
        <v>35</v>
      </c>
      <c r="F69">
        <f t="shared" si="23"/>
        <v>11</v>
      </c>
      <c r="G69">
        <f t="shared" si="23"/>
        <v>4</v>
      </c>
      <c r="H69">
        <f t="shared" si="23"/>
        <v>6</v>
      </c>
      <c r="I69">
        <f t="shared" si="23"/>
        <v>6</v>
      </c>
      <c r="J69">
        <f t="shared" si="23"/>
        <v>26</v>
      </c>
      <c r="K69">
        <f t="shared" si="23"/>
        <v>7</v>
      </c>
      <c r="L69">
        <f t="shared" si="23"/>
        <v>2</v>
      </c>
      <c r="M69">
        <f t="shared" si="23"/>
        <v>6</v>
      </c>
      <c r="N69">
        <f t="shared" si="23"/>
        <v>17</v>
      </c>
      <c r="O69">
        <f t="shared" si="23"/>
        <v>0</v>
      </c>
      <c r="P69">
        <f t="shared" si="24"/>
        <v>0</v>
      </c>
      <c r="Q69">
        <f t="shared" si="24"/>
        <v>9</v>
      </c>
      <c r="R69">
        <f t="shared" si="24"/>
        <v>5</v>
      </c>
      <c r="S69">
        <f t="shared" si="24"/>
        <v>14</v>
      </c>
      <c r="T69">
        <f t="shared" si="24"/>
        <v>16</v>
      </c>
      <c r="U69">
        <f t="shared" si="24"/>
        <v>1</v>
      </c>
      <c r="V69">
        <f t="shared" si="24"/>
        <v>0</v>
      </c>
      <c r="W69">
        <f t="shared" si="24"/>
        <v>11</v>
      </c>
      <c r="X69">
        <f t="shared" si="24"/>
        <v>19</v>
      </c>
      <c r="Y69">
        <f t="shared" si="24"/>
        <v>14</v>
      </c>
      <c r="Z69">
        <f t="shared" si="25"/>
        <v>4</v>
      </c>
      <c r="AA69">
        <f t="shared" si="25"/>
        <v>4</v>
      </c>
      <c r="AB69">
        <f t="shared" si="25"/>
        <v>0</v>
      </c>
      <c r="AC69">
        <f t="shared" si="25"/>
        <v>0</v>
      </c>
      <c r="AD69">
        <f t="shared" si="25"/>
        <v>4</v>
      </c>
      <c r="AE69">
        <f t="shared" si="25"/>
        <v>0</v>
      </c>
      <c r="AF69" s="56">
        <f t="shared" si="28"/>
        <v>20</v>
      </c>
      <c r="AG69" s="59">
        <f t="shared" si="29"/>
        <v>6.4857142857142858</v>
      </c>
      <c r="AH69">
        <f t="shared" si="30"/>
        <v>0.32428571428571429</v>
      </c>
    </row>
    <row r="70" spans="1:34" ht="15" x14ac:dyDescent="0.2">
      <c r="A70">
        <v>577</v>
      </c>
      <c r="B70" s="57" t="s">
        <v>598</v>
      </c>
      <c r="C70" s="57"/>
      <c r="D70">
        <f t="shared" si="26"/>
        <v>223</v>
      </c>
      <c r="E70" s="1">
        <f t="shared" si="27"/>
        <v>40</v>
      </c>
      <c r="F70">
        <f t="shared" si="23"/>
        <v>15</v>
      </c>
      <c r="G70">
        <f t="shared" si="23"/>
        <v>1</v>
      </c>
      <c r="H70">
        <f t="shared" si="23"/>
        <v>4</v>
      </c>
      <c r="I70">
        <f t="shared" si="23"/>
        <v>3</v>
      </c>
      <c r="J70">
        <f t="shared" si="23"/>
        <v>26</v>
      </c>
      <c r="K70">
        <f t="shared" si="23"/>
        <v>5</v>
      </c>
      <c r="L70">
        <f t="shared" si="23"/>
        <v>2</v>
      </c>
      <c r="M70">
        <f t="shared" si="23"/>
        <v>11</v>
      </c>
      <c r="N70">
        <f t="shared" si="23"/>
        <v>8</v>
      </c>
      <c r="O70">
        <f t="shared" si="23"/>
        <v>0</v>
      </c>
      <c r="P70">
        <f t="shared" si="24"/>
        <v>2</v>
      </c>
      <c r="Q70">
        <f t="shared" si="24"/>
        <v>14</v>
      </c>
      <c r="R70">
        <f t="shared" si="24"/>
        <v>5</v>
      </c>
      <c r="S70">
        <f t="shared" si="24"/>
        <v>4</v>
      </c>
      <c r="T70">
        <f t="shared" si="24"/>
        <v>12</v>
      </c>
      <c r="U70">
        <f t="shared" si="24"/>
        <v>4</v>
      </c>
      <c r="V70">
        <f t="shared" si="24"/>
        <v>0</v>
      </c>
      <c r="W70">
        <f t="shared" si="24"/>
        <v>14</v>
      </c>
      <c r="X70">
        <f t="shared" si="24"/>
        <v>10</v>
      </c>
      <c r="Y70">
        <f t="shared" si="24"/>
        <v>17</v>
      </c>
      <c r="Z70">
        <f t="shared" si="25"/>
        <v>7</v>
      </c>
      <c r="AA70">
        <f t="shared" si="25"/>
        <v>1</v>
      </c>
      <c r="AB70">
        <f t="shared" si="25"/>
        <v>4</v>
      </c>
      <c r="AC70">
        <f t="shared" si="25"/>
        <v>0</v>
      </c>
      <c r="AD70">
        <f t="shared" si="25"/>
        <v>4</v>
      </c>
      <c r="AE70">
        <f t="shared" si="25"/>
        <v>0</v>
      </c>
      <c r="AF70" s="56">
        <f t="shared" si="28"/>
        <v>22</v>
      </c>
      <c r="AG70" s="59">
        <f t="shared" si="29"/>
        <v>5.5750000000000002</v>
      </c>
      <c r="AH70">
        <f t="shared" si="30"/>
        <v>0.25340909090909092</v>
      </c>
    </row>
    <row r="71" spans="1:34" ht="15" x14ac:dyDescent="0.2">
      <c r="A71">
        <v>388</v>
      </c>
      <c r="B71" s="57" t="s">
        <v>441</v>
      </c>
      <c r="C71" s="57"/>
      <c r="D71">
        <f t="shared" si="26"/>
        <v>222</v>
      </c>
      <c r="E71" s="1">
        <f t="shared" si="27"/>
        <v>38</v>
      </c>
      <c r="F71">
        <f t="shared" si="23"/>
        <v>20</v>
      </c>
      <c r="G71">
        <f t="shared" si="23"/>
        <v>4</v>
      </c>
      <c r="H71">
        <f t="shared" si="23"/>
        <v>3</v>
      </c>
      <c r="I71">
        <f t="shared" si="23"/>
        <v>2</v>
      </c>
      <c r="J71">
        <f t="shared" si="23"/>
        <v>21</v>
      </c>
      <c r="K71">
        <f t="shared" si="23"/>
        <v>1</v>
      </c>
      <c r="L71">
        <f t="shared" si="23"/>
        <v>9</v>
      </c>
      <c r="M71">
        <f t="shared" si="23"/>
        <v>2</v>
      </c>
      <c r="N71">
        <f t="shared" si="23"/>
        <v>8</v>
      </c>
      <c r="O71">
        <f t="shared" si="23"/>
        <v>0</v>
      </c>
      <c r="P71">
        <f t="shared" si="24"/>
        <v>2</v>
      </c>
      <c r="Q71">
        <f t="shared" si="24"/>
        <v>16</v>
      </c>
      <c r="R71">
        <f t="shared" si="24"/>
        <v>10</v>
      </c>
      <c r="S71">
        <f t="shared" si="24"/>
        <v>7</v>
      </c>
      <c r="T71">
        <f t="shared" si="24"/>
        <v>16</v>
      </c>
      <c r="U71">
        <f t="shared" si="24"/>
        <v>4</v>
      </c>
      <c r="V71">
        <f t="shared" si="24"/>
        <v>0</v>
      </c>
      <c r="W71">
        <f t="shared" si="24"/>
        <v>22</v>
      </c>
      <c r="X71">
        <f t="shared" si="24"/>
        <v>4</v>
      </c>
      <c r="Y71">
        <f t="shared" si="24"/>
        <v>10</v>
      </c>
      <c r="Z71">
        <f t="shared" si="25"/>
        <v>7</v>
      </c>
      <c r="AA71">
        <f t="shared" si="25"/>
        <v>1</v>
      </c>
      <c r="AB71">
        <f t="shared" si="25"/>
        <v>6</v>
      </c>
      <c r="AC71">
        <f t="shared" si="25"/>
        <v>0</v>
      </c>
      <c r="AD71">
        <f t="shared" si="25"/>
        <v>8</v>
      </c>
      <c r="AE71">
        <f t="shared" si="25"/>
        <v>0</v>
      </c>
      <c r="AF71" s="56">
        <f t="shared" si="28"/>
        <v>22</v>
      </c>
      <c r="AG71" s="59">
        <f t="shared" si="29"/>
        <v>5.8421052631578947</v>
      </c>
      <c r="AH71">
        <f t="shared" si="30"/>
        <v>0.26555023923444976</v>
      </c>
    </row>
    <row r="72" spans="1:34" ht="15" x14ac:dyDescent="0.2">
      <c r="A72">
        <v>240</v>
      </c>
      <c r="B72" s="57" t="s">
        <v>303</v>
      </c>
      <c r="C72" s="57"/>
      <c r="D72">
        <f t="shared" si="26"/>
        <v>219</v>
      </c>
      <c r="E72" s="1">
        <f t="shared" si="27"/>
        <v>46</v>
      </c>
      <c r="F72">
        <f t="shared" ref="F72:O81" si="31">LEN($B72)-LEN(SUBSTITUTE($B72,F$1,""))</f>
        <v>23</v>
      </c>
      <c r="G72">
        <f t="shared" si="31"/>
        <v>1</v>
      </c>
      <c r="H72">
        <f t="shared" si="31"/>
        <v>7</v>
      </c>
      <c r="I72">
        <f t="shared" si="31"/>
        <v>5</v>
      </c>
      <c r="J72">
        <f t="shared" si="31"/>
        <v>20</v>
      </c>
      <c r="K72">
        <f t="shared" si="31"/>
        <v>4</v>
      </c>
      <c r="L72">
        <f t="shared" si="31"/>
        <v>1</v>
      </c>
      <c r="M72">
        <f t="shared" si="31"/>
        <v>7</v>
      </c>
      <c r="N72">
        <f t="shared" si="31"/>
        <v>11</v>
      </c>
      <c r="O72">
        <f t="shared" si="31"/>
        <v>0</v>
      </c>
      <c r="P72">
        <f t="shared" ref="P72:Y81" si="32">LEN($B72)-LEN(SUBSTITUTE($B72,P$1,""))</f>
        <v>1</v>
      </c>
      <c r="Q72">
        <f t="shared" si="32"/>
        <v>11</v>
      </c>
      <c r="R72">
        <f t="shared" si="32"/>
        <v>3</v>
      </c>
      <c r="S72">
        <f t="shared" si="32"/>
        <v>13</v>
      </c>
      <c r="T72">
        <f t="shared" si="32"/>
        <v>10</v>
      </c>
      <c r="U72">
        <f t="shared" si="32"/>
        <v>1</v>
      </c>
      <c r="V72">
        <f t="shared" si="32"/>
        <v>0</v>
      </c>
      <c r="W72">
        <f t="shared" si="32"/>
        <v>6</v>
      </c>
      <c r="X72">
        <f t="shared" si="32"/>
        <v>7</v>
      </c>
      <c r="Y72">
        <f t="shared" si="32"/>
        <v>13</v>
      </c>
      <c r="Z72">
        <f t="shared" ref="Z72:AE81" si="33">LEN($B72)-LEN(SUBSTITUTE($B72,Z$1,""))</f>
        <v>7</v>
      </c>
      <c r="AA72">
        <f t="shared" si="33"/>
        <v>6</v>
      </c>
      <c r="AB72">
        <f t="shared" si="33"/>
        <v>8</v>
      </c>
      <c r="AC72">
        <f t="shared" si="33"/>
        <v>0</v>
      </c>
      <c r="AD72">
        <f t="shared" si="33"/>
        <v>3</v>
      </c>
      <c r="AE72">
        <f t="shared" si="33"/>
        <v>0</v>
      </c>
      <c r="AF72" s="56">
        <f t="shared" si="28"/>
        <v>22</v>
      </c>
      <c r="AG72" s="59">
        <f t="shared" si="29"/>
        <v>4.7608695652173916</v>
      </c>
      <c r="AH72">
        <f t="shared" si="30"/>
        <v>0.21640316205533597</v>
      </c>
    </row>
    <row r="73" spans="1:34" ht="15" x14ac:dyDescent="0.2">
      <c r="A73">
        <v>549</v>
      </c>
      <c r="B73" s="57" t="s">
        <v>664</v>
      </c>
      <c r="C73" s="57"/>
      <c r="D73">
        <f t="shared" si="26"/>
        <v>216</v>
      </c>
      <c r="E73" s="1">
        <f t="shared" si="27"/>
        <v>35</v>
      </c>
      <c r="F73">
        <f t="shared" si="31"/>
        <v>18</v>
      </c>
      <c r="G73">
        <f t="shared" si="31"/>
        <v>1</v>
      </c>
      <c r="H73">
        <f t="shared" si="31"/>
        <v>0</v>
      </c>
      <c r="I73">
        <f t="shared" si="31"/>
        <v>7</v>
      </c>
      <c r="J73">
        <f t="shared" si="31"/>
        <v>14</v>
      </c>
      <c r="K73">
        <f t="shared" si="31"/>
        <v>0</v>
      </c>
      <c r="L73">
        <f t="shared" si="31"/>
        <v>1</v>
      </c>
      <c r="M73">
        <f t="shared" si="31"/>
        <v>7</v>
      </c>
      <c r="N73">
        <f t="shared" si="31"/>
        <v>19</v>
      </c>
      <c r="O73">
        <f t="shared" si="31"/>
        <v>0</v>
      </c>
      <c r="P73">
        <f t="shared" si="32"/>
        <v>0</v>
      </c>
      <c r="Q73">
        <f t="shared" si="32"/>
        <v>2</v>
      </c>
      <c r="R73">
        <f t="shared" si="32"/>
        <v>1</v>
      </c>
      <c r="S73">
        <f t="shared" si="32"/>
        <v>13</v>
      </c>
      <c r="T73">
        <f t="shared" si="32"/>
        <v>9</v>
      </c>
      <c r="U73">
        <f t="shared" si="32"/>
        <v>8</v>
      </c>
      <c r="V73">
        <f t="shared" si="32"/>
        <v>0</v>
      </c>
      <c r="W73">
        <f t="shared" si="32"/>
        <v>12</v>
      </c>
      <c r="X73">
        <f t="shared" si="32"/>
        <v>15</v>
      </c>
      <c r="Y73">
        <f t="shared" si="32"/>
        <v>15</v>
      </c>
      <c r="Z73">
        <f t="shared" si="33"/>
        <v>3</v>
      </c>
      <c r="AA73">
        <f t="shared" si="33"/>
        <v>2</v>
      </c>
      <c r="AB73">
        <f t="shared" si="33"/>
        <v>2</v>
      </c>
      <c r="AC73">
        <f t="shared" si="33"/>
        <v>1</v>
      </c>
      <c r="AD73">
        <f t="shared" si="33"/>
        <v>4</v>
      </c>
      <c r="AE73">
        <f t="shared" si="33"/>
        <v>0</v>
      </c>
      <c r="AF73" s="56">
        <f t="shared" si="28"/>
        <v>20</v>
      </c>
      <c r="AG73" s="59">
        <f t="shared" si="29"/>
        <v>6.1714285714285717</v>
      </c>
      <c r="AH73">
        <f t="shared" si="30"/>
        <v>0.30857142857142861</v>
      </c>
    </row>
    <row r="74" spans="1:34" ht="15" x14ac:dyDescent="0.2">
      <c r="A74">
        <v>492</v>
      </c>
      <c r="B74" s="57" t="s">
        <v>530</v>
      </c>
      <c r="C74" s="57"/>
      <c r="D74">
        <f t="shared" si="26"/>
        <v>212</v>
      </c>
      <c r="E74" s="1">
        <f t="shared" si="27"/>
        <v>33</v>
      </c>
      <c r="F74">
        <f t="shared" si="31"/>
        <v>16</v>
      </c>
      <c r="G74">
        <f t="shared" si="31"/>
        <v>3</v>
      </c>
      <c r="H74">
        <f t="shared" si="31"/>
        <v>4</v>
      </c>
      <c r="I74">
        <f t="shared" si="31"/>
        <v>6</v>
      </c>
      <c r="J74">
        <f t="shared" si="31"/>
        <v>19</v>
      </c>
      <c r="K74">
        <f t="shared" si="31"/>
        <v>1</v>
      </c>
      <c r="L74">
        <f t="shared" si="31"/>
        <v>5</v>
      </c>
      <c r="M74">
        <f t="shared" si="31"/>
        <v>6</v>
      </c>
      <c r="N74">
        <f t="shared" si="31"/>
        <v>12</v>
      </c>
      <c r="O74">
        <f t="shared" si="31"/>
        <v>1</v>
      </c>
      <c r="P74">
        <f t="shared" si="32"/>
        <v>1</v>
      </c>
      <c r="Q74">
        <f t="shared" si="32"/>
        <v>8</v>
      </c>
      <c r="R74">
        <f t="shared" si="32"/>
        <v>7</v>
      </c>
      <c r="S74">
        <f t="shared" si="32"/>
        <v>7</v>
      </c>
      <c r="T74">
        <f t="shared" si="32"/>
        <v>15</v>
      </c>
      <c r="U74">
        <f t="shared" si="32"/>
        <v>8</v>
      </c>
      <c r="V74">
        <f t="shared" si="32"/>
        <v>0</v>
      </c>
      <c r="W74">
        <f t="shared" si="32"/>
        <v>13</v>
      </c>
      <c r="X74">
        <f t="shared" si="32"/>
        <v>11</v>
      </c>
      <c r="Y74">
        <f t="shared" si="32"/>
        <v>19</v>
      </c>
      <c r="Z74">
        <f t="shared" si="33"/>
        <v>3</v>
      </c>
      <c r="AA74">
        <f t="shared" si="33"/>
        <v>1</v>
      </c>
      <c r="AB74">
        <f t="shared" si="33"/>
        <v>1</v>
      </c>
      <c r="AC74">
        <f t="shared" si="33"/>
        <v>1</v>
      </c>
      <c r="AD74">
        <f t="shared" si="33"/>
        <v>5</v>
      </c>
      <c r="AE74">
        <f t="shared" si="33"/>
        <v>0</v>
      </c>
      <c r="AF74" s="56">
        <f t="shared" si="28"/>
        <v>24</v>
      </c>
      <c r="AG74" s="59">
        <f t="shared" si="29"/>
        <v>6.4242424242424239</v>
      </c>
      <c r="AH74">
        <f t="shared" si="30"/>
        <v>0.26767676767676768</v>
      </c>
    </row>
    <row r="75" spans="1:34" ht="15" x14ac:dyDescent="0.2">
      <c r="A75">
        <v>286</v>
      </c>
      <c r="B75" s="57" t="s">
        <v>348</v>
      </c>
      <c r="C75" s="57"/>
      <c r="D75">
        <f t="shared" si="26"/>
        <v>211</v>
      </c>
      <c r="E75" s="1">
        <f t="shared" si="27"/>
        <v>36</v>
      </c>
      <c r="F75">
        <f t="shared" si="31"/>
        <v>11</v>
      </c>
      <c r="G75">
        <f t="shared" si="31"/>
        <v>1</v>
      </c>
      <c r="H75">
        <f t="shared" si="31"/>
        <v>7</v>
      </c>
      <c r="I75">
        <f t="shared" si="31"/>
        <v>8</v>
      </c>
      <c r="J75">
        <f t="shared" si="31"/>
        <v>23</v>
      </c>
      <c r="K75">
        <f t="shared" si="31"/>
        <v>1</v>
      </c>
      <c r="L75">
        <f t="shared" si="31"/>
        <v>5</v>
      </c>
      <c r="M75">
        <f t="shared" si="31"/>
        <v>11</v>
      </c>
      <c r="N75">
        <f t="shared" si="31"/>
        <v>11</v>
      </c>
      <c r="O75">
        <f t="shared" si="31"/>
        <v>0</v>
      </c>
      <c r="P75">
        <f t="shared" si="32"/>
        <v>2</v>
      </c>
      <c r="Q75">
        <f t="shared" si="32"/>
        <v>7</v>
      </c>
      <c r="R75">
        <f t="shared" si="32"/>
        <v>0</v>
      </c>
      <c r="S75">
        <f t="shared" si="32"/>
        <v>16</v>
      </c>
      <c r="T75">
        <f t="shared" si="32"/>
        <v>14</v>
      </c>
      <c r="U75">
        <f t="shared" si="32"/>
        <v>0</v>
      </c>
      <c r="V75">
        <f t="shared" si="32"/>
        <v>0</v>
      </c>
      <c r="W75">
        <f t="shared" si="32"/>
        <v>6</v>
      </c>
      <c r="X75">
        <f t="shared" si="32"/>
        <v>12</v>
      </c>
      <c r="Y75">
        <f t="shared" si="32"/>
        <v>20</v>
      </c>
      <c r="Z75">
        <f t="shared" si="33"/>
        <v>5</v>
      </c>
      <c r="AA75">
        <f t="shared" si="33"/>
        <v>4</v>
      </c>
      <c r="AB75">
        <f t="shared" si="33"/>
        <v>4</v>
      </c>
      <c r="AC75">
        <f t="shared" si="33"/>
        <v>1</v>
      </c>
      <c r="AD75">
        <f t="shared" si="33"/>
        <v>2</v>
      </c>
      <c r="AE75">
        <f t="shared" si="33"/>
        <v>0</v>
      </c>
      <c r="AF75" s="56">
        <f t="shared" si="28"/>
        <v>21</v>
      </c>
      <c r="AG75" s="59">
        <f t="shared" si="29"/>
        <v>5.8611111111111107</v>
      </c>
      <c r="AH75">
        <f t="shared" si="30"/>
        <v>0.27910052910052907</v>
      </c>
    </row>
    <row r="76" spans="1:34" ht="15" x14ac:dyDescent="0.2">
      <c r="A76">
        <v>454</v>
      </c>
      <c r="B76" s="57" t="s">
        <v>496</v>
      </c>
      <c r="C76" s="57"/>
      <c r="D76">
        <f t="shared" si="26"/>
        <v>211</v>
      </c>
      <c r="E76" s="1">
        <f t="shared" si="27"/>
        <v>40</v>
      </c>
      <c r="F76">
        <f t="shared" si="31"/>
        <v>11</v>
      </c>
      <c r="G76">
        <f t="shared" si="31"/>
        <v>3</v>
      </c>
      <c r="H76">
        <f t="shared" si="31"/>
        <v>1</v>
      </c>
      <c r="I76">
        <f t="shared" si="31"/>
        <v>3</v>
      </c>
      <c r="J76">
        <f t="shared" si="31"/>
        <v>19</v>
      </c>
      <c r="K76">
        <f t="shared" si="31"/>
        <v>3</v>
      </c>
      <c r="L76">
        <f t="shared" si="31"/>
        <v>6</v>
      </c>
      <c r="M76">
        <f t="shared" si="31"/>
        <v>9</v>
      </c>
      <c r="N76">
        <f t="shared" si="31"/>
        <v>12</v>
      </c>
      <c r="O76">
        <f t="shared" si="31"/>
        <v>1</v>
      </c>
      <c r="P76">
        <f t="shared" si="32"/>
        <v>1</v>
      </c>
      <c r="Q76">
        <f t="shared" si="32"/>
        <v>8</v>
      </c>
      <c r="R76">
        <f t="shared" si="32"/>
        <v>5</v>
      </c>
      <c r="S76">
        <f t="shared" si="32"/>
        <v>8</v>
      </c>
      <c r="T76">
        <f t="shared" si="32"/>
        <v>9</v>
      </c>
      <c r="U76">
        <f t="shared" si="32"/>
        <v>3</v>
      </c>
      <c r="V76">
        <f t="shared" si="32"/>
        <v>1</v>
      </c>
      <c r="W76">
        <f t="shared" si="32"/>
        <v>4</v>
      </c>
      <c r="X76">
        <f t="shared" si="32"/>
        <v>22</v>
      </c>
      <c r="Y76">
        <f t="shared" si="32"/>
        <v>20</v>
      </c>
      <c r="Z76">
        <f t="shared" si="33"/>
        <v>6</v>
      </c>
      <c r="AA76">
        <f t="shared" si="33"/>
        <v>0</v>
      </c>
      <c r="AB76">
        <f t="shared" si="33"/>
        <v>2</v>
      </c>
      <c r="AC76">
        <f t="shared" si="33"/>
        <v>0</v>
      </c>
      <c r="AD76">
        <f t="shared" si="33"/>
        <v>3</v>
      </c>
      <c r="AE76">
        <f t="shared" si="33"/>
        <v>0</v>
      </c>
      <c r="AF76" s="56">
        <f t="shared" si="28"/>
        <v>23</v>
      </c>
      <c r="AG76" s="59">
        <f t="shared" si="29"/>
        <v>5.2750000000000004</v>
      </c>
      <c r="AH76">
        <f t="shared" si="30"/>
        <v>0.22934782608695653</v>
      </c>
    </row>
    <row r="77" spans="1:34" ht="15" x14ac:dyDescent="0.2">
      <c r="A77">
        <v>455</v>
      </c>
      <c r="B77" s="57" t="s">
        <v>497</v>
      </c>
      <c r="C77" s="57"/>
      <c r="D77">
        <f t="shared" si="26"/>
        <v>207</v>
      </c>
      <c r="E77" s="1">
        <f t="shared" si="27"/>
        <v>32</v>
      </c>
      <c r="F77">
        <f t="shared" si="31"/>
        <v>17</v>
      </c>
      <c r="G77">
        <f t="shared" si="31"/>
        <v>3</v>
      </c>
      <c r="H77">
        <f t="shared" si="31"/>
        <v>4</v>
      </c>
      <c r="I77">
        <f t="shared" si="31"/>
        <v>7</v>
      </c>
      <c r="J77">
        <f t="shared" si="31"/>
        <v>19</v>
      </c>
      <c r="K77">
        <f t="shared" si="31"/>
        <v>1</v>
      </c>
      <c r="L77">
        <f t="shared" si="31"/>
        <v>6</v>
      </c>
      <c r="M77">
        <f t="shared" si="31"/>
        <v>6</v>
      </c>
      <c r="N77">
        <f t="shared" si="31"/>
        <v>12</v>
      </c>
      <c r="O77">
        <f t="shared" si="31"/>
        <v>1</v>
      </c>
      <c r="P77">
        <f t="shared" si="32"/>
        <v>1</v>
      </c>
      <c r="Q77">
        <f t="shared" si="32"/>
        <v>7</v>
      </c>
      <c r="R77">
        <f t="shared" si="32"/>
        <v>7</v>
      </c>
      <c r="S77">
        <f t="shared" si="32"/>
        <v>7</v>
      </c>
      <c r="T77">
        <f t="shared" si="32"/>
        <v>15</v>
      </c>
      <c r="U77">
        <f t="shared" si="32"/>
        <v>8</v>
      </c>
      <c r="V77">
        <f t="shared" si="32"/>
        <v>0</v>
      </c>
      <c r="W77">
        <f t="shared" si="32"/>
        <v>14</v>
      </c>
      <c r="X77">
        <f t="shared" si="32"/>
        <v>11</v>
      </c>
      <c r="Y77">
        <f t="shared" si="32"/>
        <v>18</v>
      </c>
      <c r="Z77">
        <f t="shared" si="33"/>
        <v>3</v>
      </c>
      <c r="AA77">
        <f t="shared" si="33"/>
        <v>1</v>
      </c>
      <c r="AB77">
        <f t="shared" si="33"/>
        <v>0</v>
      </c>
      <c r="AC77">
        <f t="shared" si="33"/>
        <v>1</v>
      </c>
      <c r="AD77">
        <f t="shared" si="33"/>
        <v>4</v>
      </c>
      <c r="AE77">
        <f t="shared" si="33"/>
        <v>0</v>
      </c>
      <c r="AF77" s="56">
        <f t="shared" si="28"/>
        <v>23</v>
      </c>
      <c r="AG77" s="59">
        <f t="shared" si="29"/>
        <v>6.46875</v>
      </c>
      <c r="AH77">
        <f t="shared" si="30"/>
        <v>0.28125</v>
      </c>
    </row>
    <row r="78" spans="1:34" ht="15" x14ac:dyDescent="0.2">
      <c r="A78">
        <v>431</v>
      </c>
      <c r="B78" s="57" t="s">
        <v>476</v>
      </c>
      <c r="C78" s="57"/>
      <c r="D78">
        <f t="shared" si="26"/>
        <v>206</v>
      </c>
      <c r="E78" s="1">
        <f t="shared" si="27"/>
        <v>38</v>
      </c>
      <c r="F78">
        <f t="shared" si="31"/>
        <v>17</v>
      </c>
      <c r="G78">
        <f t="shared" si="31"/>
        <v>1</v>
      </c>
      <c r="H78">
        <f t="shared" si="31"/>
        <v>12</v>
      </c>
      <c r="I78">
        <f t="shared" si="31"/>
        <v>0</v>
      </c>
      <c r="J78">
        <f t="shared" si="31"/>
        <v>11</v>
      </c>
      <c r="K78">
        <f t="shared" si="31"/>
        <v>5</v>
      </c>
      <c r="L78">
        <f t="shared" si="31"/>
        <v>2</v>
      </c>
      <c r="M78">
        <f t="shared" si="31"/>
        <v>5</v>
      </c>
      <c r="N78">
        <f t="shared" si="31"/>
        <v>15</v>
      </c>
      <c r="O78">
        <f t="shared" si="31"/>
        <v>0</v>
      </c>
      <c r="P78">
        <f t="shared" si="32"/>
        <v>3</v>
      </c>
      <c r="Q78">
        <f t="shared" si="32"/>
        <v>15</v>
      </c>
      <c r="R78">
        <f t="shared" si="32"/>
        <v>0</v>
      </c>
      <c r="S78">
        <f t="shared" si="32"/>
        <v>14</v>
      </c>
      <c r="T78">
        <f t="shared" si="32"/>
        <v>15</v>
      </c>
      <c r="U78">
        <f t="shared" si="32"/>
        <v>4</v>
      </c>
      <c r="V78">
        <f t="shared" si="32"/>
        <v>0</v>
      </c>
      <c r="W78">
        <f t="shared" si="32"/>
        <v>7</v>
      </c>
      <c r="X78">
        <f t="shared" si="32"/>
        <v>8</v>
      </c>
      <c r="Y78">
        <f t="shared" si="32"/>
        <v>18</v>
      </c>
      <c r="Z78">
        <f t="shared" si="33"/>
        <v>6</v>
      </c>
      <c r="AA78">
        <f t="shared" si="33"/>
        <v>1</v>
      </c>
      <c r="AB78">
        <f t="shared" si="33"/>
        <v>2</v>
      </c>
      <c r="AC78">
        <f t="shared" si="33"/>
        <v>1</v>
      </c>
      <c r="AD78">
        <f t="shared" si="33"/>
        <v>2</v>
      </c>
      <c r="AE78">
        <f t="shared" si="33"/>
        <v>0</v>
      </c>
      <c r="AF78" s="56">
        <f t="shared" si="28"/>
        <v>21</v>
      </c>
      <c r="AG78" s="59">
        <f t="shared" si="29"/>
        <v>5.4210526315789478</v>
      </c>
      <c r="AH78">
        <f t="shared" si="30"/>
        <v>0.25814536340852134</v>
      </c>
    </row>
    <row r="79" spans="1:34" ht="15" x14ac:dyDescent="0.2">
      <c r="A79">
        <v>399</v>
      </c>
      <c r="B79" s="57" t="s">
        <v>450</v>
      </c>
      <c r="C79" s="57"/>
      <c r="D79">
        <f t="shared" si="26"/>
        <v>204</v>
      </c>
      <c r="E79" s="1">
        <f t="shared" si="27"/>
        <v>36</v>
      </c>
      <c r="F79">
        <f t="shared" si="31"/>
        <v>16</v>
      </c>
      <c r="G79">
        <f t="shared" si="31"/>
        <v>0</v>
      </c>
      <c r="H79">
        <f t="shared" si="31"/>
        <v>4</v>
      </c>
      <c r="I79">
        <f t="shared" si="31"/>
        <v>3</v>
      </c>
      <c r="J79">
        <f t="shared" si="31"/>
        <v>11</v>
      </c>
      <c r="K79">
        <f t="shared" si="31"/>
        <v>1</v>
      </c>
      <c r="L79">
        <f t="shared" si="31"/>
        <v>10</v>
      </c>
      <c r="M79">
        <f t="shared" si="31"/>
        <v>10</v>
      </c>
      <c r="N79">
        <f t="shared" si="31"/>
        <v>12</v>
      </c>
      <c r="O79">
        <f t="shared" si="31"/>
        <v>0</v>
      </c>
      <c r="P79">
        <f t="shared" si="32"/>
        <v>2</v>
      </c>
      <c r="Q79">
        <f t="shared" si="32"/>
        <v>9</v>
      </c>
      <c r="R79">
        <f t="shared" si="32"/>
        <v>5</v>
      </c>
      <c r="S79">
        <f t="shared" si="32"/>
        <v>7</v>
      </c>
      <c r="T79">
        <f t="shared" si="32"/>
        <v>13</v>
      </c>
      <c r="U79">
        <f t="shared" si="32"/>
        <v>4</v>
      </c>
      <c r="V79">
        <f t="shared" si="32"/>
        <v>0</v>
      </c>
      <c r="W79">
        <f t="shared" si="32"/>
        <v>12</v>
      </c>
      <c r="X79">
        <f t="shared" si="32"/>
        <v>13</v>
      </c>
      <c r="Y79">
        <f t="shared" si="32"/>
        <v>20</v>
      </c>
      <c r="Z79">
        <f t="shared" si="33"/>
        <v>7</v>
      </c>
      <c r="AA79">
        <f t="shared" si="33"/>
        <v>0</v>
      </c>
      <c r="AB79">
        <f t="shared" si="33"/>
        <v>1</v>
      </c>
      <c r="AC79">
        <f t="shared" si="33"/>
        <v>0</v>
      </c>
      <c r="AD79">
        <f t="shared" si="33"/>
        <v>2</v>
      </c>
      <c r="AE79">
        <f t="shared" si="33"/>
        <v>0</v>
      </c>
      <c r="AF79" s="56">
        <f t="shared" si="28"/>
        <v>20</v>
      </c>
      <c r="AG79" s="59">
        <f t="shared" si="29"/>
        <v>5.666666666666667</v>
      </c>
      <c r="AH79">
        <f t="shared" si="30"/>
        <v>0.28333333333333333</v>
      </c>
    </row>
    <row r="80" spans="1:34" ht="15" x14ac:dyDescent="0.2">
      <c r="A80">
        <v>294</v>
      </c>
      <c r="B80" s="57" t="s">
        <v>355</v>
      </c>
      <c r="C80" s="57"/>
      <c r="D80">
        <f t="shared" si="26"/>
        <v>204</v>
      </c>
      <c r="E80" s="1">
        <f t="shared" si="27"/>
        <v>27</v>
      </c>
      <c r="F80">
        <f t="shared" si="31"/>
        <v>5</v>
      </c>
      <c r="G80">
        <f t="shared" si="31"/>
        <v>1</v>
      </c>
      <c r="H80">
        <f t="shared" si="31"/>
        <v>6</v>
      </c>
      <c r="I80">
        <f t="shared" si="31"/>
        <v>3</v>
      </c>
      <c r="J80">
        <f t="shared" si="31"/>
        <v>27</v>
      </c>
      <c r="K80">
        <f t="shared" si="31"/>
        <v>4</v>
      </c>
      <c r="L80">
        <f t="shared" si="31"/>
        <v>0</v>
      </c>
      <c r="M80">
        <f t="shared" si="31"/>
        <v>4</v>
      </c>
      <c r="N80">
        <f t="shared" si="31"/>
        <v>10</v>
      </c>
      <c r="O80">
        <f t="shared" si="31"/>
        <v>0</v>
      </c>
      <c r="P80">
        <f t="shared" si="32"/>
        <v>0</v>
      </c>
      <c r="Q80">
        <f t="shared" si="32"/>
        <v>9</v>
      </c>
      <c r="R80">
        <f t="shared" si="32"/>
        <v>1</v>
      </c>
      <c r="S80">
        <f t="shared" si="32"/>
        <v>18</v>
      </c>
      <c r="T80">
        <f t="shared" si="32"/>
        <v>8</v>
      </c>
      <c r="U80">
        <f t="shared" si="32"/>
        <v>4</v>
      </c>
      <c r="V80">
        <f t="shared" si="32"/>
        <v>3</v>
      </c>
      <c r="W80">
        <f t="shared" si="32"/>
        <v>11</v>
      </c>
      <c r="X80">
        <f t="shared" si="32"/>
        <v>19</v>
      </c>
      <c r="Y80">
        <f t="shared" si="32"/>
        <v>17</v>
      </c>
      <c r="Z80">
        <f t="shared" si="33"/>
        <v>9</v>
      </c>
      <c r="AA80">
        <f t="shared" si="33"/>
        <v>0</v>
      </c>
      <c r="AB80">
        <f t="shared" si="33"/>
        <v>0</v>
      </c>
      <c r="AC80">
        <f t="shared" si="33"/>
        <v>2</v>
      </c>
      <c r="AD80">
        <f t="shared" si="33"/>
        <v>2</v>
      </c>
      <c r="AE80">
        <f t="shared" si="33"/>
        <v>0</v>
      </c>
      <c r="AF80" s="56">
        <f t="shared" si="28"/>
        <v>20</v>
      </c>
      <c r="AG80" s="59">
        <f t="shared" si="29"/>
        <v>7.5555555555555554</v>
      </c>
      <c r="AH80">
        <f t="shared" si="30"/>
        <v>0.37777777777777777</v>
      </c>
    </row>
    <row r="81" spans="1:34" ht="15" x14ac:dyDescent="0.2">
      <c r="A81">
        <v>482</v>
      </c>
      <c r="B81" s="57" t="s">
        <v>520</v>
      </c>
      <c r="C81" s="57"/>
      <c r="D81">
        <f t="shared" si="26"/>
        <v>203</v>
      </c>
      <c r="E81" s="1">
        <f t="shared" si="27"/>
        <v>35</v>
      </c>
      <c r="F81">
        <f t="shared" si="31"/>
        <v>10</v>
      </c>
      <c r="G81">
        <f t="shared" si="31"/>
        <v>4</v>
      </c>
      <c r="H81">
        <f t="shared" si="31"/>
        <v>5</v>
      </c>
      <c r="I81">
        <f t="shared" si="31"/>
        <v>4</v>
      </c>
      <c r="J81">
        <f t="shared" si="31"/>
        <v>23</v>
      </c>
      <c r="K81">
        <f t="shared" si="31"/>
        <v>2</v>
      </c>
      <c r="L81">
        <f t="shared" si="31"/>
        <v>8</v>
      </c>
      <c r="M81">
        <f t="shared" si="31"/>
        <v>6</v>
      </c>
      <c r="N81">
        <f t="shared" si="31"/>
        <v>18</v>
      </c>
      <c r="O81">
        <f t="shared" si="31"/>
        <v>0</v>
      </c>
      <c r="P81">
        <f t="shared" si="32"/>
        <v>1</v>
      </c>
      <c r="Q81">
        <f t="shared" si="32"/>
        <v>1</v>
      </c>
      <c r="R81">
        <f t="shared" si="32"/>
        <v>3</v>
      </c>
      <c r="S81">
        <f t="shared" si="32"/>
        <v>10</v>
      </c>
      <c r="T81">
        <f t="shared" si="32"/>
        <v>11</v>
      </c>
      <c r="U81">
        <f t="shared" si="32"/>
        <v>3</v>
      </c>
      <c r="V81">
        <f t="shared" si="32"/>
        <v>0</v>
      </c>
      <c r="W81">
        <f t="shared" si="32"/>
        <v>20</v>
      </c>
      <c r="X81">
        <f t="shared" si="32"/>
        <v>9</v>
      </c>
      <c r="Y81">
        <f t="shared" si="32"/>
        <v>15</v>
      </c>
      <c r="Z81">
        <f t="shared" si="33"/>
        <v>3</v>
      </c>
      <c r="AA81">
        <f t="shared" si="33"/>
        <v>3</v>
      </c>
      <c r="AB81">
        <f t="shared" si="33"/>
        <v>3</v>
      </c>
      <c r="AC81">
        <f t="shared" si="33"/>
        <v>0</v>
      </c>
      <c r="AD81">
        <f t="shared" si="33"/>
        <v>1</v>
      </c>
      <c r="AE81">
        <f t="shared" si="33"/>
        <v>0</v>
      </c>
      <c r="AF81" s="56">
        <f t="shared" si="28"/>
        <v>22</v>
      </c>
      <c r="AG81" s="59">
        <f t="shared" si="29"/>
        <v>5.8</v>
      </c>
      <c r="AH81">
        <f t="shared" si="30"/>
        <v>0.26363636363636361</v>
      </c>
    </row>
    <row r="82" spans="1:34" ht="15" x14ac:dyDescent="0.2">
      <c r="A82">
        <v>557</v>
      </c>
      <c r="B82" s="57" t="s">
        <v>580</v>
      </c>
      <c r="C82" s="57"/>
      <c r="D82">
        <f t="shared" si="26"/>
        <v>199</v>
      </c>
      <c r="E82" s="1">
        <f t="shared" si="27"/>
        <v>31</v>
      </c>
      <c r="F82">
        <f t="shared" ref="F82:O91" si="34">LEN($B82)-LEN(SUBSTITUTE($B82,F$1,""))</f>
        <v>14</v>
      </c>
      <c r="G82">
        <f t="shared" si="34"/>
        <v>2</v>
      </c>
      <c r="H82">
        <f t="shared" si="34"/>
        <v>4</v>
      </c>
      <c r="I82">
        <f t="shared" si="34"/>
        <v>6</v>
      </c>
      <c r="J82">
        <f t="shared" si="34"/>
        <v>19</v>
      </c>
      <c r="K82">
        <f t="shared" si="34"/>
        <v>3</v>
      </c>
      <c r="L82">
        <f t="shared" si="34"/>
        <v>2</v>
      </c>
      <c r="M82">
        <f t="shared" si="34"/>
        <v>7</v>
      </c>
      <c r="N82">
        <f t="shared" si="34"/>
        <v>8</v>
      </c>
      <c r="O82">
        <f t="shared" si="34"/>
        <v>1</v>
      </c>
      <c r="P82">
        <f t="shared" ref="P82:Y91" si="35">LEN($B82)-LEN(SUBSTITUTE($B82,P$1,""))</f>
        <v>1</v>
      </c>
      <c r="Q82">
        <f t="shared" si="35"/>
        <v>7</v>
      </c>
      <c r="R82">
        <f t="shared" si="35"/>
        <v>8</v>
      </c>
      <c r="S82">
        <f t="shared" si="35"/>
        <v>15</v>
      </c>
      <c r="T82">
        <f t="shared" si="35"/>
        <v>12</v>
      </c>
      <c r="U82">
        <f t="shared" si="35"/>
        <v>1</v>
      </c>
      <c r="V82">
        <f t="shared" si="35"/>
        <v>0</v>
      </c>
      <c r="W82">
        <f t="shared" si="35"/>
        <v>12</v>
      </c>
      <c r="X82">
        <f t="shared" si="35"/>
        <v>14</v>
      </c>
      <c r="Y82">
        <f t="shared" si="35"/>
        <v>17</v>
      </c>
      <c r="Z82">
        <f t="shared" ref="Z82:AE91" si="36">LEN($B82)-LEN(SUBSTITUTE($B82,Z$1,""))</f>
        <v>7</v>
      </c>
      <c r="AA82">
        <f t="shared" si="36"/>
        <v>0</v>
      </c>
      <c r="AB82">
        <f t="shared" si="36"/>
        <v>1</v>
      </c>
      <c r="AC82">
        <f t="shared" si="36"/>
        <v>0</v>
      </c>
      <c r="AD82">
        <f t="shared" si="36"/>
        <v>3</v>
      </c>
      <c r="AE82">
        <f t="shared" si="36"/>
        <v>0</v>
      </c>
      <c r="AF82" s="56">
        <f t="shared" si="28"/>
        <v>22</v>
      </c>
      <c r="AG82" s="59">
        <f t="shared" si="29"/>
        <v>6.419354838709677</v>
      </c>
      <c r="AH82">
        <f t="shared" si="30"/>
        <v>0.2917888563049853</v>
      </c>
    </row>
    <row r="83" spans="1:34" ht="15" x14ac:dyDescent="0.2">
      <c r="B83" s="57" t="s">
        <v>639</v>
      </c>
      <c r="C83" s="57" t="s">
        <v>641</v>
      </c>
      <c r="D83">
        <f t="shared" si="26"/>
        <v>198</v>
      </c>
      <c r="E83" s="1">
        <f t="shared" si="27"/>
        <v>39</v>
      </c>
      <c r="F83">
        <f t="shared" si="34"/>
        <v>15</v>
      </c>
      <c r="G83">
        <f t="shared" si="34"/>
        <v>5</v>
      </c>
      <c r="H83">
        <f t="shared" si="34"/>
        <v>8</v>
      </c>
      <c r="I83">
        <f t="shared" si="34"/>
        <v>6</v>
      </c>
      <c r="J83">
        <f t="shared" si="34"/>
        <v>11</v>
      </c>
      <c r="K83">
        <f t="shared" si="34"/>
        <v>4</v>
      </c>
      <c r="L83">
        <f t="shared" si="34"/>
        <v>5</v>
      </c>
      <c r="M83">
        <f t="shared" si="34"/>
        <v>6</v>
      </c>
      <c r="N83">
        <f t="shared" si="34"/>
        <v>7</v>
      </c>
      <c r="O83">
        <f t="shared" si="34"/>
        <v>0</v>
      </c>
      <c r="P83">
        <f t="shared" si="35"/>
        <v>4</v>
      </c>
      <c r="Q83">
        <f t="shared" si="35"/>
        <v>6</v>
      </c>
      <c r="R83">
        <f t="shared" si="35"/>
        <v>1</v>
      </c>
      <c r="S83">
        <f t="shared" si="35"/>
        <v>11</v>
      </c>
      <c r="T83">
        <f t="shared" si="35"/>
        <v>13</v>
      </c>
      <c r="U83">
        <f t="shared" si="35"/>
        <v>3</v>
      </c>
      <c r="V83">
        <f t="shared" si="35"/>
        <v>0</v>
      </c>
      <c r="W83">
        <f t="shared" si="35"/>
        <v>9</v>
      </c>
      <c r="X83">
        <f t="shared" si="35"/>
        <v>9</v>
      </c>
      <c r="Y83">
        <f t="shared" si="35"/>
        <v>10</v>
      </c>
      <c r="Z83">
        <f t="shared" si="36"/>
        <v>10</v>
      </c>
      <c r="AA83">
        <f t="shared" si="36"/>
        <v>1</v>
      </c>
      <c r="AB83">
        <f t="shared" si="36"/>
        <v>4</v>
      </c>
      <c r="AC83">
        <f t="shared" si="36"/>
        <v>0</v>
      </c>
      <c r="AD83">
        <f t="shared" si="36"/>
        <v>6</v>
      </c>
      <c r="AE83">
        <f t="shared" si="36"/>
        <v>0</v>
      </c>
      <c r="AF83" s="56">
        <f t="shared" si="28"/>
        <v>22</v>
      </c>
      <c r="AG83" s="59">
        <f t="shared" si="29"/>
        <v>5.0769230769230766</v>
      </c>
      <c r="AH83">
        <f t="shared" si="30"/>
        <v>0.23076923076923075</v>
      </c>
    </row>
    <row r="84" spans="1:34" ht="15" x14ac:dyDescent="0.2">
      <c r="A84">
        <v>485</v>
      </c>
      <c r="B84" s="57" t="s">
        <v>523</v>
      </c>
      <c r="C84" s="57"/>
      <c r="D84">
        <f t="shared" si="26"/>
        <v>196</v>
      </c>
      <c r="E84" s="1">
        <f t="shared" si="27"/>
        <v>35</v>
      </c>
      <c r="F84">
        <f t="shared" si="34"/>
        <v>20</v>
      </c>
      <c r="G84">
        <f t="shared" si="34"/>
        <v>2</v>
      </c>
      <c r="H84">
        <f t="shared" si="34"/>
        <v>3</v>
      </c>
      <c r="I84">
        <f t="shared" si="34"/>
        <v>2</v>
      </c>
      <c r="J84">
        <f t="shared" si="34"/>
        <v>24</v>
      </c>
      <c r="K84">
        <f t="shared" si="34"/>
        <v>5</v>
      </c>
      <c r="L84">
        <f t="shared" si="34"/>
        <v>6</v>
      </c>
      <c r="M84">
        <f t="shared" si="34"/>
        <v>5</v>
      </c>
      <c r="N84">
        <f t="shared" si="34"/>
        <v>7</v>
      </c>
      <c r="O84">
        <f t="shared" si="34"/>
        <v>0</v>
      </c>
      <c r="P84">
        <f t="shared" si="35"/>
        <v>0</v>
      </c>
      <c r="Q84">
        <f t="shared" si="35"/>
        <v>5</v>
      </c>
      <c r="R84">
        <f t="shared" si="35"/>
        <v>4</v>
      </c>
      <c r="S84">
        <f t="shared" si="35"/>
        <v>3</v>
      </c>
      <c r="T84">
        <f t="shared" si="35"/>
        <v>12</v>
      </c>
      <c r="U84">
        <f t="shared" si="35"/>
        <v>3</v>
      </c>
      <c r="V84">
        <f t="shared" si="35"/>
        <v>0</v>
      </c>
      <c r="W84">
        <f t="shared" si="35"/>
        <v>17</v>
      </c>
      <c r="X84">
        <f t="shared" si="35"/>
        <v>8</v>
      </c>
      <c r="Y84">
        <f t="shared" si="35"/>
        <v>17</v>
      </c>
      <c r="Z84">
        <f t="shared" si="36"/>
        <v>1</v>
      </c>
      <c r="AA84">
        <f t="shared" si="36"/>
        <v>3</v>
      </c>
      <c r="AB84">
        <f t="shared" si="36"/>
        <v>6</v>
      </c>
      <c r="AC84">
        <f t="shared" si="36"/>
        <v>0</v>
      </c>
      <c r="AD84">
        <f t="shared" si="36"/>
        <v>0</v>
      </c>
      <c r="AE84">
        <f t="shared" si="36"/>
        <v>0</v>
      </c>
      <c r="AF84" s="56">
        <f t="shared" si="28"/>
        <v>20</v>
      </c>
      <c r="AG84" s="59">
        <f t="shared" si="29"/>
        <v>5.6</v>
      </c>
      <c r="AH84">
        <f t="shared" si="30"/>
        <v>0.27999999999999997</v>
      </c>
    </row>
    <row r="85" spans="1:34" ht="15" x14ac:dyDescent="0.2">
      <c r="A85">
        <v>413</v>
      </c>
      <c r="B85" s="57" t="s">
        <v>462</v>
      </c>
      <c r="C85" s="57"/>
      <c r="D85">
        <f t="shared" si="26"/>
        <v>193</v>
      </c>
      <c r="E85" s="1">
        <f t="shared" si="27"/>
        <v>34</v>
      </c>
      <c r="F85">
        <f t="shared" si="34"/>
        <v>14</v>
      </c>
      <c r="G85">
        <f t="shared" si="34"/>
        <v>3</v>
      </c>
      <c r="H85">
        <f t="shared" si="34"/>
        <v>5</v>
      </c>
      <c r="I85">
        <f t="shared" si="34"/>
        <v>4</v>
      </c>
      <c r="J85">
        <f t="shared" si="34"/>
        <v>17</v>
      </c>
      <c r="K85">
        <f t="shared" si="34"/>
        <v>2</v>
      </c>
      <c r="L85">
        <f t="shared" si="34"/>
        <v>0</v>
      </c>
      <c r="M85">
        <f t="shared" si="34"/>
        <v>8</v>
      </c>
      <c r="N85">
        <f t="shared" si="34"/>
        <v>13</v>
      </c>
      <c r="O85">
        <f t="shared" si="34"/>
        <v>0</v>
      </c>
      <c r="P85">
        <f t="shared" si="35"/>
        <v>2</v>
      </c>
      <c r="Q85">
        <f t="shared" si="35"/>
        <v>9</v>
      </c>
      <c r="R85">
        <f t="shared" si="35"/>
        <v>1</v>
      </c>
      <c r="S85">
        <f t="shared" si="35"/>
        <v>4</v>
      </c>
      <c r="T85">
        <f t="shared" si="35"/>
        <v>10</v>
      </c>
      <c r="U85">
        <f t="shared" si="35"/>
        <v>10</v>
      </c>
      <c r="V85">
        <f t="shared" si="35"/>
        <v>2</v>
      </c>
      <c r="W85">
        <f t="shared" si="35"/>
        <v>7</v>
      </c>
      <c r="X85">
        <f t="shared" si="35"/>
        <v>8</v>
      </c>
      <c r="Y85">
        <f t="shared" si="35"/>
        <v>17</v>
      </c>
      <c r="Z85">
        <f t="shared" si="36"/>
        <v>5</v>
      </c>
      <c r="AA85">
        <f t="shared" si="36"/>
        <v>2</v>
      </c>
      <c r="AB85">
        <f t="shared" si="36"/>
        <v>2</v>
      </c>
      <c r="AC85">
        <f t="shared" si="36"/>
        <v>0</v>
      </c>
      <c r="AD85">
        <f t="shared" si="36"/>
        <v>3</v>
      </c>
      <c r="AE85">
        <f t="shared" si="36"/>
        <v>0</v>
      </c>
      <c r="AF85" s="56">
        <f t="shared" si="28"/>
        <v>22</v>
      </c>
      <c r="AG85" s="59">
        <f t="shared" si="29"/>
        <v>5.6764705882352944</v>
      </c>
      <c r="AH85">
        <f t="shared" si="30"/>
        <v>0.25802139037433158</v>
      </c>
    </row>
    <row r="86" spans="1:34" ht="15" x14ac:dyDescent="0.2">
      <c r="A86">
        <v>343</v>
      </c>
      <c r="B86" s="57" t="s">
        <v>403</v>
      </c>
      <c r="C86" s="57"/>
      <c r="D86">
        <f t="shared" si="26"/>
        <v>191</v>
      </c>
      <c r="E86" s="1">
        <f t="shared" si="27"/>
        <v>27</v>
      </c>
      <c r="F86">
        <f t="shared" si="34"/>
        <v>10</v>
      </c>
      <c r="G86">
        <f t="shared" si="34"/>
        <v>1</v>
      </c>
      <c r="H86">
        <f t="shared" si="34"/>
        <v>8</v>
      </c>
      <c r="I86">
        <f t="shared" si="34"/>
        <v>5</v>
      </c>
      <c r="J86">
        <f t="shared" si="34"/>
        <v>13</v>
      </c>
      <c r="K86">
        <f t="shared" si="34"/>
        <v>8</v>
      </c>
      <c r="L86">
        <f t="shared" si="34"/>
        <v>4</v>
      </c>
      <c r="M86">
        <f t="shared" si="34"/>
        <v>4</v>
      </c>
      <c r="N86">
        <f t="shared" si="34"/>
        <v>13</v>
      </c>
      <c r="O86">
        <f t="shared" si="34"/>
        <v>0</v>
      </c>
      <c r="P86">
        <f t="shared" si="35"/>
        <v>0</v>
      </c>
      <c r="Q86">
        <f t="shared" si="35"/>
        <v>10</v>
      </c>
      <c r="R86">
        <f t="shared" si="35"/>
        <v>7</v>
      </c>
      <c r="S86">
        <f t="shared" si="35"/>
        <v>16</v>
      </c>
      <c r="T86">
        <f t="shared" si="35"/>
        <v>13</v>
      </c>
      <c r="U86">
        <f t="shared" si="35"/>
        <v>9</v>
      </c>
      <c r="V86">
        <f t="shared" si="35"/>
        <v>0</v>
      </c>
      <c r="W86">
        <f t="shared" si="35"/>
        <v>10</v>
      </c>
      <c r="X86">
        <f t="shared" si="35"/>
        <v>8</v>
      </c>
      <c r="Y86">
        <f t="shared" si="35"/>
        <v>8</v>
      </c>
      <c r="Z86">
        <f t="shared" si="36"/>
        <v>5</v>
      </c>
      <c r="AA86">
        <f t="shared" si="36"/>
        <v>0</v>
      </c>
      <c r="AB86">
        <f t="shared" si="36"/>
        <v>1</v>
      </c>
      <c r="AC86">
        <f t="shared" si="36"/>
        <v>0</v>
      </c>
      <c r="AD86">
        <f t="shared" si="36"/>
        <v>3</v>
      </c>
      <c r="AE86">
        <f t="shared" si="36"/>
        <v>0</v>
      </c>
      <c r="AF86" s="56">
        <f t="shared" si="28"/>
        <v>20</v>
      </c>
      <c r="AG86" s="59">
        <f t="shared" si="29"/>
        <v>7.0740740740740744</v>
      </c>
      <c r="AH86">
        <f t="shared" si="30"/>
        <v>0.35370370370370374</v>
      </c>
    </row>
    <row r="87" spans="1:34" ht="15" x14ac:dyDescent="0.2">
      <c r="A87">
        <v>394</v>
      </c>
      <c r="B87" s="57" t="s">
        <v>445</v>
      </c>
      <c r="C87" s="57"/>
      <c r="D87">
        <f t="shared" si="26"/>
        <v>189</v>
      </c>
      <c r="E87" s="1">
        <f t="shared" si="27"/>
        <v>35</v>
      </c>
      <c r="F87">
        <f t="shared" si="34"/>
        <v>10</v>
      </c>
      <c r="G87">
        <f t="shared" si="34"/>
        <v>0</v>
      </c>
      <c r="H87">
        <f t="shared" si="34"/>
        <v>2</v>
      </c>
      <c r="I87">
        <f t="shared" si="34"/>
        <v>4</v>
      </c>
      <c r="J87">
        <f t="shared" si="34"/>
        <v>13</v>
      </c>
      <c r="K87">
        <f t="shared" si="34"/>
        <v>2</v>
      </c>
      <c r="L87">
        <f t="shared" si="34"/>
        <v>5</v>
      </c>
      <c r="M87">
        <f t="shared" si="34"/>
        <v>6</v>
      </c>
      <c r="N87">
        <f t="shared" si="34"/>
        <v>13</v>
      </c>
      <c r="O87">
        <f t="shared" si="34"/>
        <v>0</v>
      </c>
      <c r="P87">
        <f t="shared" si="35"/>
        <v>1</v>
      </c>
      <c r="Q87">
        <f t="shared" si="35"/>
        <v>2</v>
      </c>
      <c r="R87">
        <f t="shared" si="35"/>
        <v>5</v>
      </c>
      <c r="S87">
        <f t="shared" si="35"/>
        <v>14</v>
      </c>
      <c r="T87">
        <f t="shared" si="35"/>
        <v>16</v>
      </c>
      <c r="U87">
        <f t="shared" si="35"/>
        <v>4</v>
      </c>
      <c r="V87">
        <f t="shared" si="35"/>
        <v>0</v>
      </c>
      <c r="W87">
        <f t="shared" si="35"/>
        <v>10</v>
      </c>
      <c r="X87">
        <f t="shared" si="35"/>
        <v>11</v>
      </c>
      <c r="Y87">
        <f t="shared" si="35"/>
        <v>22</v>
      </c>
      <c r="Z87">
        <f t="shared" si="36"/>
        <v>2</v>
      </c>
      <c r="AA87">
        <f t="shared" si="36"/>
        <v>1</v>
      </c>
      <c r="AB87">
        <f t="shared" si="36"/>
        <v>0</v>
      </c>
      <c r="AC87">
        <f t="shared" si="36"/>
        <v>0</v>
      </c>
      <c r="AD87">
        <f t="shared" si="36"/>
        <v>5</v>
      </c>
      <c r="AE87">
        <f t="shared" si="36"/>
        <v>0</v>
      </c>
      <c r="AF87" s="56">
        <f t="shared" si="28"/>
        <v>20</v>
      </c>
      <c r="AG87" s="59">
        <f t="shared" si="29"/>
        <v>5.4</v>
      </c>
      <c r="AH87">
        <f t="shared" si="30"/>
        <v>0.27</v>
      </c>
    </row>
    <row r="88" spans="1:34" ht="15" x14ac:dyDescent="0.2">
      <c r="A88">
        <v>551</v>
      </c>
      <c r="B88" s="57" t="s">
        <v>665</v>
      </c>
      <c r="C88" s="57"/>
      <c r="D88">
        <f t="shared" si="26"/>
        <v>187</v>
      </c>
      <c r="E88" s="1">
        <f t="shared" si="27"/>
        <v>33</v>
      </c>
      <c r="F88">
        <f t="shared" si="34"/>
        <v>15</v>
      </c>
      <c r="G88">
        <f t="shared" si="34"/>
        <v>0</v>
      </c>
      <c r="H88">
        <f t="shared" si="34"/>
        <v>1</v>
      </c>
      <c r="I88">
        <f t="shared" si="34"/>
        <v>3</v>
      </c>
      <c r="J88">
        <f t="shared" si="34"/>
        <v>9</v>
      </c>
      <c r="K88">
        <f t="shared" si="34"/>
        <v>1</v>
      </c>
      <c r="L88">
        <f t="shared" si="34"/>
        <v>8</v>
      </c>
      <c r="M88">
        <f t="shared" si="34"/>
        <v>8</v>
      </c>
      <c r="N88">
        <f t="shared" si="34"/>
        <v>6</v>
      </c>
      <c r="O88">
        <f t="shared" si="34"/>
        <v>0</v>
      </c>
      <c r="P88">
        <f t="shared" si="35"/>
        <v>1</v>
      </c>
      <c r="Q88">
        <f t="shared" si="35"/>
        <v>11</v>
      </c>
      <c r="R88">
        <f t="shared" si="35"/>
        <v>3</v>
      </c>
      <c r="S88">
        <f t="shared" si="35"/>
        <v>11</v>
      </c>
      <c r="T88">
        <f t="shared" si="35"/>
        <v>14</v>
      </c>
      <c r="U88">
        <f t="shared" si="35"/>
        <v>4</v>
      </c>
      <c r="V88">
        <f t="shared" si="35"/>
        <v>0</v>
      </c>
      <c r="W88">
        <f t="shared" si="35"/>
        <v>9</v>
      </c>
      <c r="X88">
        <f t="shared" si="35"/>
        <v>12</v>
      </c>
      <c r="Y88">
        <f t="shared" si="35"/>
        <v>12</v>
      </c>
      <c r="Z88">
        <f t="shared" si="36"/>
        <v>4</v>
      </c>
      <c r="AA88">
        <f t="shared" si="36"/>
        <v>0</v>
      </c>
      <c r="AB88">
        <f t="shared" si="36"/>
        <v>4</v>
      </c>
      <c r="AC88">
        <f t="shared" si="36"/>
        <v>0</v>
      </c>
      <c r="AD88">
        <f t="shared" si="36"/>
        <v>8</v>
      </c>
      <c r="AE88">
        <f t="shared" si="36"/>
        <v>0</v>
      </c>
      <c r="AF88" s="56">
        <f t="shared" si="28"/>
        <v>20</v>
      </c>
      <c r="AG88" s="59">
        <f t="shared" si="29"/>
        <v>5.666666666666667</v>
      </c>
      <c r="AH88">
        <f t="shared" si="30"/>
        <v>0.28333333333333333</v>
      </c>
    </row>
    <row r="89" spans="1:34" ht="15" x14ac:dyDescent="0.2">
      <c r="A89">
        <v>533</v>
      </c>
      <c r="B89" s="57" t="s">
        <v>562</v>
      </c>
      <c r="C89" s="57"/>
      <c r="D89">
        <f t="shared" si="26"/>
        <v>186</v>
      </c>
      <c r="E89" s="1">
        <f t="shared" si="27"/>
        <v>29</v>
      </c>
      <c r="F89">
        <f t="shared" si="34"/>
        <v>8</v>
      </c>
      <c r="G89">
        <f t="shared" si="34"/>
        <v>3</v>
      </c>
      <c r="H89">
        <f t="shared" si="34"/>
        <v>7</v>
      </c>
      <c r="I89">
        <f t="shared" si="34"/>
        <v>5</v>
      </c>
      <c r="J89">
        <f t="shared" si="34"/>
        <v>21</v>
      </c>
      <c r="K89">
        <f t="shared" si="34"/>
        <v>1</v>
      </c>
      <c r="L89">
        <f t="shared" si="34"/>
        <v>5</v>
      </c>
      <c r="M89">
        <f t="shared" si="34"/>
        <v>6</v>
      </c>
      <c r="N89">
        <f t="shared" si="34"/>
        <v>16</v>
      </c>
      <c r="O89">
        <f t="shared" si="34"/>
        <v>0</v>
      </c>
      <c r="P89">
        <f t="shared" si="35"/>
        <v>1</v>
      </c>
      <c r="Q89">
        <f t="shared" si="35"/>
        <v>10</v>
      </c>
      <c r="R89">
        <f t="shared" si="35"/>
        <v>4</v>
      </c>
      <c r="S89">
        <f t="shared" si="35"/>
        <v>6</v>
      </c>
      <c r="T89">
        <f t="shared" si="35"/>
        <v>11</v>
      </c>
      <c r="U89">
        <f t="shared" si="35"/>
        <v>9</v>
      </c>
      <c r="V89">
        <f t="shared" si="35"/>
        <v>0</v>
      </c>
      <c r="W89">
        <f t="shared" si="35"/>
        <v>11</v>
      </c>
      <c r="X89">
        <f t="shared" si="35"/>
        <v>9</v>
      </c>
      <c r="Y89">
        <f t="shared" si="35"/>
        <v>8</v>
      </c>
      <c r="Z89">
        <f t="shared" si="36"/>
        <v>4</v>
      </c>
      <c r="AA89">
        <f t="shared" si="36"/>
        <v>4</v>
      </c>
      <c r="AB89">
        <f t="shared" si="36"/>
        <v>0</v>
      </c>
      <c r="AC89">
        <f t="shared" si="36"/>
        <v>2</v>
      </c>
      <c r="AD89">
        <f t="shared" si="36"/>
        <v>0</v>
      </c>
      <c r="AE89">
        <f t="shared" si="36"/>
        <v>0</v>
      </c>
      <c r="AF89" s="56">
        <f t="shared" si="28"/>
        <v>21</v>
      </c>
      <c r="AG89" s="59">
        <f t="shared" si="29"/>
        <v>6.4137931034482758</v>
      </c>
      <c r="AH89">
        <f t="shared" si="30"/>
        <v>0.30541871921182268</v>
      </c>
    </row>
    <row r="90" spans="1:34" ht="15" x14ac:dyDescent="0.2">
      <c r="A90">
        <v>346</v>
      </c>
      <c r="B90" s="57" t="s">
        <v>406</v>
      </c>
      <c r="C90" s="57"/>
      <c r="D90">
        <f t="shared" si="26"/>
        <v>186</v>
      </c>
      <c r="E90" s="1">
        <f t="shared" si="27"/>
        <v>32</v>
      </c>
      <c r="F90">
        <f t="shared" si="34"/>
        <v>9</v>
      </c>
      <c r="G90">
        <f t="shared" si="34"/>
        <v>3</v>
      </c>
      <c r="H90">
        <f t="shared" si="34"/>
        <v>1</v>
      </c>
      <c r="I90">
        <f t="shared" si="34"/>
        <v>6</v>
      </c>
      <c r="J90">
        <f t="shared" si="34"/>
        <v>21</v>
      </c>
      <c r="K90">
        <f t="shared" si="34"/>
        <v>4</v>
      </c>
      <c r="L90">
        <f t="shared" si="34"/>
        <v>3</v>
      </c>
      <c r="M90">
        <f t="shared" si="34"/>
        <v>1</v>
      </c>
      <c r="N90">
        <f t="shared" si="34"/>
        <v>15</v>
      </c>
      <c r="O90">
        <f t="shared" si="34"/>
        <v>0</v>
      </c>
      <c r="P90">
        <f t="shared" si="35"/>
        <v>1</v>
      </c>
      <c r="Q90">
        <f t="shared" si="35"/>
        <v>6</v>
      </c>
      <c r="R90">
        <f t="shared" si="35"/>
        <v>0</v>
      </c>
      <c r="S90">
        <f t="shared" si="35"/>
        <v>15</v>
      </c>
      <c r="T90">
        <f t="shared" si="35"/>
        <v>10</v>
      </c>
      <c r="U90">
        <f t="shared" si="35"/>
        <v>5</v>
      </c>
      <c r="V90">
        <f t="shared" si="35"/>
        <v>0</v>
      </c>
      <c r="W90">
        <f t="shared" si="35"/>
        <v>9</v>
      </c>
      <c r="X90">
        <f t="shared" si="35"/>
        <v>8</v>
      </c>
      <c r="Y90">
        <f t="shared" si="35"/>
        <v>19</v>
      </c>
      <c r="Z90">
        <f t="shared" si="36"/>
        <v>2</v>
      </c>
      <c r="AA90">
        <f t="shared" si="36"/>
        <v>1</v>
      </c>
      <c r="AB90">
        <f t="shared" si="36"/>
        <v>3</v>
      </c>
      <c r="AC90">
        <f t="shared" si="36"/>
        <v>1</v>
      </c>
      <c r="AD90">
        <f t="shared" si="36"/>
        <v>2</v>
      </c>
      <c r="AE90">
        <f t="shared" si="36"/>
        <v>1</v>
      </c>
      <c r="AF90" s="56">
        <f t="shared" si="28"/>
        <v>23</v>
      </c>
      <c r="AG90" s="59">
        <f t="shared" si="29"/>
        <v>5.8125</v>
      </c>
      <c r="AH90">
        <f t="shared" si="30"/>
        <v>0.25271739130434784</v>
      </c>
    </row>
    <row r="91" spans="1:34" ht="15" x14ac:dyDescent="0.2">
      <c r="A91">
        <v>381</v>
      </c>
      <c r="B91" s="57" t="s">
        <v>436</v>
      </c>
      <c r="C91" s="57"/>
      <c r="D91">
        <f t="shared" si="26"/>
        <v>185</v>
      </c>
      <c r="E91" s="1">
        <f t="shared" si="27"/>
        <v>33</v>
      </c>
      <c r="F91">
        <f t="shared" si="34"/>
        <v>8</v>
      </c>
      <c r="G91">
        <f t="shared" si="34"/>
        <v>3</v>
      </c>
      <c r="H91">
        <f t="shared" si="34"/>
        <v>4</v>
      </c>
      <c r="I91">
        <f t="shared" si="34"/>
        <v>4</v>
      </c>
      <c r="J91">
        <f t="shared" si="34"/>
        <v>21</v>
      </c>
      <c r="K91">
        <f t="shared" si="34"/>
        <v>4</v>
      </c>
      <c r="L91">
        <f t="shared" si="34"/>
        <v>4</v>
      </c>
      <c r="M91">
        <f t="shared" si="34"/>
        <v>7</v>
      </c>
      <c r="N91">
        <f t="shared" si="34"/>
        <v>11</v>
      </c>
      <c r="O91">
        <f t="shared" si="34"/>
        <v>0</v>
      </c>
      <c r="P91">
        <f t="shared" si="35"/>
        <v>1</v>
      </c>
      <c r="Q91">
        <f t="shared" si="35"/>
        <v>7</v>
      </c>
      <c r="R91">
        <f t="shared" si="35"/>
        <v>4</v>
      </c>
      <c r="S91">
        <f t="shared" si="35"/>
        <v>11</v>
      </c>
      <c r="T91">
        <f t="shared" si="35"/>
        <v>14</v>
      </c>
      <c r="U91">
        <f t="shared" si="35"/>
        <v>0</v>
      </c>
      <c r="V91">
        <f t="shared" si="35"/>
        <v>0</v>
      </c>
      <c r="W91">
        <f t="shared" si="35"/>
        <v>9</v>
      </c>
      <c r="X91">
        <f t="shared" si="35"/>
        <v>8</v>
      </c>
      <c r="Y91">
        <f t="shared" si="35"/>
        <v>14</v>
      </c>
      <c r="Z91">
        <f t="shared" si="36"/>
        <v>3</v>
      </c>
      <c r="AA91">
        <f t="shared" si="36"/>
        <v>2</v>
      </c>
      <c r="AB91">
        <f t="shared" si="36"/>
        <v>1</v>
      </c>
      <c r="AC91">
        <f t="shared" si="36"/>
        <v>0</v>
      </c>
      <c r="AD91">
        <f t="shared" si="36"/>
        <v>3</v>
      </c>
      <c r="AE91">
        <f t="shared" si="36"/>
        <v>0</v>
      </c>
      <c r="AF91" s="56">
        <f t="shared" si="28"/>
        <v>21</v>
      </c>
      <c r="AG91" s="59">
        <f t="shared" si="29"/>
        <v>5.6060606060606064</v>
      </c>
      <c r="AH91">
        <f t="shared" si="30"/>
        <v>0.26695526695526695</v>
      </c>
    </row>
    <row r="92" spans="1:34" ht="15" x14ac:dyDescent="0.2">
      <c r="A92">
        <v>287</v>
      </c>
      <c r="B92" s="57" t="s">
        <v>349</v>
      </c>
      <c r="C92" s="57"/>
      <c r="D92">
        <f t="shared" si="26"/>
        <v>185</v>
      </c>
      <c r="E92" s="1">
        <f t="shared" si="27"/>
        <v>33</v>
      </c>
      <c r="F92">
        <f t="shared" ref="F92:O101" si="37">LEN($B92)-LEN(SUBSTITUTE($B92,F$1,""))</f>
        <v>13</v>
      </c>
      <c r="G92">
        <f t="shared" si="37"/>
        <v>5</v>
      </c>
      <c r="H92">
        <f t="shared" si="37"/>
        <v>3</v>
      </c>
      <c r="I92">
        <f t="shared" si="37"/>
        <v>4</v>
      </c>
      <c r="J92">
        <f t="shared" si="37"/>
        <v>31</v>
      </c>
      <c r="K92">
        <f t="shared" si="37"/>
        <v>3</v>
      </c>
      <c r="L92">
        <f t="shared" si="37"/>
        <v>3</v>
      </c>
      <c r="M92">
        <f t="shared" si="37"/>
        <v>7</v>
      </c>
      <c r="N92">
        <f t="shared" si="37"/>
        <v>7</v>
      </c>
      <c r="O92">
        <f t="shared" si="37"/>
        <v>0</v>
      </c>
      <c r="P92">
        <f t="shared" ref="P92:Y101" si="38">LEN($B92)-LEN(SUBSTITUTE($B92,P$1,""))</f>
        <v>2</v>
      </c>
      <c r="Q92">
        <f t="shared" si="38"/>
        <v>3</v>
      </c>
      <c r="R92">
        <f t="shared" si="38"/>
        <v>3</v>
      </c>
      <c r="S92">
        <f t="shared" si="38"/>
        <v>11</v>
      </c>
      <c r="T92">
        <f t="shared" si="38"/>
        <v>8</v>
      </c>
      <c r="U92">
        <f t="shared" si="38"/>
        <v>2</v>
      </c>
      <c r="V92">
        <f t="shared" si="38"/>
        <v>0</v>
      </c>
      <c r="W92">
        <f t="shared" si="38"/>
        <v>13</v>
      </c>
      <c r="X92">
        <f t="shared" si="38"/>
        <v>5</v>
      </c>
      <c r="Y92">
        <f t="shared" si="38"/>
        <v>12</v>
      </c>
      <c r="Z92">
        <f t="shared" ref="Z92:AE101" si="39">LEN($B92)-LEN(SUBSTITUTE($B92,Z$1,""))</f>
        <v>2</v>
      </c>
      <c r="AA92">
        <f t="shared" si="39"/>
        <v>3</v>
      </c>
      <c r="AB92">
        <f t="shared" si="39"/>
        <v>9</v>
      </c>
      <c r="AC92">
        <f t="shared" si="39"/>
        <v>0</v>
      </c>
      <c r="AD92">
        <f t="shared" si="39"/>
        <v>1</v>
      </c>
      <c r="AE92">
        <f t="shared" si="39"/>
        <v>0</v>
      </c>
      <c r="AF92" s="56">
        <f t="shared" si="28"/>
        <v>22</v>
      </c>
      <c r="AG92" s="59">
        <f t="shared" si="29"/>
        <v>5.6060606060606064</v>
      </c>
      <c r="AH92">
        <f t="shared" si="30"/>
        <v>0.25482093663911848</v>
      </c>
    </row>
    <row r="93" spans="1:34" ht="15" x14ac:dyDescent="0.2">
      <c r="A93">
        <v>279</v>
      </c>
      <c r="B93" s="57" t="s">
        <v>341</v>
      </c>
      <c r="C93" s="57"/>
      <c r="D93">
        <f t="shared" si="26"/>
        <v>182</v>
      </c>
      <c r="E93" s="1">
        <f t="shared" si="27"/>
        <v>32</v>
      </c>
      <c r="F93">
        <f t="shared" si="37"/>
        <v>12</v>
      </c>
      <c r="G93">
        <f t="shared" si="37"/>
        <v>1</v>
      </c>
      <c r="H93">
        <f t="shared" si="37"/>
        <v>2</v>
      </c>
      <c r="I93">
        <f t="shared" si="37"/>
        <v>5</v>
      </c>
      <c r="J93">
        <f t="shared" si="37"/>
        <v>14</v>
      </c>
      <c r="K93">
        <f t="shared" si="37"/>
        <v>1</v>
      </c>
      <c r="L93">
        <f t="shared" si="37"/>
        <v>5</v>
      </c>
      <c r="M93">
        <f t="shared" si="37"/>
        <v>5</v>
      </c>
      <c r="N93">
        <f t="shared" si="37"/>
        <v>11</v>
      </c>
      <c r="O93">
        <f t="shared" si="37"/>
        <v>1</v>
      </c>
      <c r="P93">
        <f t="shared" si="38"/>
        <v>2</v>
      </c>
      <c r="Q93">
        <f t="shared" si="38"/>
        <v>8</v>
      </c>
      <c r="R93">
        <f t="shared" si="38"/>
        <v>6</v>
      </c>
      <c r="S93">
        <f t="shared" si="38"/>
        <v>6</v>
      </c>
      <c r="T93">
        <f t="shared" si="38"/>
        <v>13</v>
      </c>
      <c r="U93">
        <f t="shared" si="38"/>
        <v>6</v>
      </c>
      <c r="V93">
        <f t="shared" si="38"/>
        <v>0</v>
      </c>
      <c r="W93">
        <f t="shared" si="38"/>
        <v>13</v>
      </c>
      <c r="X93">
        <f t="shared" si="38"/>
        <v>11</v>
      </c>
      <c r="Y93">
        <f t="shared" si="38"/>
        <v>5</v>
      </c>
      <c r="Z93">
        <f t="shared" si="39"/>
        <v>3</v>
      </c>
      <c r="AA93">
        <f t="shared" si="39"/>
        <v>4</v>
      </c>
      <c r="AB93">
        <f t="shared" si="39"/>
        <v>4</v>
      </c>
      <c r="AC93">
        <f t="shared" si="39"/>
        <v>0</v>
      </c>
      <c r="AD93">
        <f t="shared" si="39"/>
        <v>3</v>
      </c>
      <c r="AE93">
        <f t="shared" si="39"/>
        <v>0</v>
      </c>
      <c r="AF93" s="56">
        <f t="shared" si="28"/>
        <v>23</v>
      </c>
      <c r="AG93" s="59">
        <f t="shared" si="29"/>
        <v>5.6875</v>
      </c>
      <c r="AH93">
        <f t="shared" si="30"/>
        <v>0.24728260869565216</v>
      </c>
    </row>
    <row r="94" spans="1:34" ht="15" x14ac:dyDescent="0.2">
      <c r="A94">
        <v>397</v>
      </c>
      <c r="B94" s="57" t="s">
        <v>448</v>
      </c>
      <c r="C94" s="57"/>
      <c r="D94">
        <f t="shared" si="26"/>
        <v>179</v>
      </c>
      <c r="E94" s="1">
        <f t="shared" si="27"/>
        <v>26</v>
      </c>
      <c r="F94">
        <f t="shared" si="37"/>
        <v>15</v>
      </c>
      <c r="G94">
        <f t="shared" si="37"/>
        <v>0</v>
      </c>
      <c r="H94">
        <f t="shared" si="37"/>
        <v>7</v>
      </c>
      <c r="I94">
        <f t="shared" si="37"/>
        <v>5</v>
      </c>
      <c r="J94">
        <f t="shared" si="37"/>
        <v>16</v>
      </c>
      <c r="K94">
        <f t="shared" si="37"/>
        <v>5</v>
      </c>
      <c r="L94">
        <f t="shared" si="37"/>
        <v>4</v>
      </c>
      <c r="M94">
        <f t="shared" si="37"/>
        <v>3</v>
      </c>
      <c r="N94">
        <f t="shared" si="37"/>
        <v>9</v>
      </c>
      <c r="O94">
        <f t="shared" si="37"/>
        <v>1</v>
      </c>
      <c r="P94">
        <f t="shared" si="38"/>
        <v>1</v>
      </c>
      <c r="Q94">
        <f t="shared" si="38"/>
        <v>5</v>
      </c>
      <c r="R94">
        <f t="shared" si="38"/>
        <v>4</v>
      </c>
      <c r="S94">
        <f t="shared" si="38"/>
        <v>9</v>
      </c>
      <c r="T94">
        <f t="shared" si="38"/>
        <v>11</v>
      </c>
      <c r="U94">
        <f t="shared" si="38"/>
        <v>3</v>
      </c>
      <c r="V94">
        <f t="shared" si="38"/>
        <v>1</v>
      </c>
      <c r="W94">
        <f t="shared" si="38"/>
        <v>8</v>
      </c>
      <c r="X94">
        <f t="shared" si="38"/>
        <v>16</v>
      </c>
      <c r="Y94">
        <f t="shared" si="38"/>
        <v>11</v>
      </c>
      <c r="Z94">
        <f t="shared" si="39"/>
        <v>7</v>
      </c>
      <c r="AA94">
        <f t="shared" si="39"/>
        <v>1</v>
      </c>
      <c r="AB94">
        <f t="shared" si="39"/>
        <v>1</v>
      </c>
      <c r="AC94">
        <f t="shared" si="39"/>
        <v>1</v>
      </c>
      <c r="AD94">
        <f t="shared" si="39"/>
        <v>3</v>
      </c>
      <c r="AE94">
        <f t="shared" si="39"/>
        <v>0</v>
      </c>
      <c r="AF94" s="56">
        <f t="shared" si="28"/>
        <v>24</v>
      </c>
      <c r="AG94" s="59">
        <f t="shared" si="29"/>
        <v>6.884615384615385</v>
      </c>
      <c r="AH94">
        <f t="shared" si="30"/>
        <v>0.28685897435897439</v>
      </c>
    </row>
    <row r="95" spans="1:34" ht="15" x14ac:dyDescent="0.2">
      <c r="A95">
        <v>499</v>
      </c>
      <c r="B95" s="57" t="s">
        <v>535</v>
      </c>
      <c r="C95" s="57"/>
      <c r="D95">
        <f t="shared" si="26"/>
        <v>177</v>
      </c>
      <c r="E95" s="1">
        <f t="shared" si="27"/>
        <v>28</v>
      </c>
      <c r="F95">
        <f t="shared" si="37"/>
        <v>12</v>
      </c>
      <c r="G95">
        <f t="shared" si="37"/>
        <v>3</v>
      </c>
      <c r="H95">
        <f t="shared" si="37"/>
        <v>9</v>
      </c>
      <c r="I95">
        <f t="shared" si="37"/>
        <v>6</v>
      </c>
      <c r="J95">
        <f t="shared" si="37"/>
        <v>17</v>
      </c>
      <c r="K95">
        <f t="shared" si="37"/>
        <v>2</v>
      </c>
      <c r="L95">
        <f t="shared" si="37"/>
        <v>4</v>
      </c>
      <c r="M95">
        <f t="shared" si="37"/>
        <v>1</v>
      </c>
      <c r="N95">
        <f t="shared" si="37"/>
        <v>11</v>
      </c>
      <c r="O95">
        <f t="shared" si="37"/>
        <v>0</v>
      </c>
      <c r="P95">
        <f t="shared" si="38"/>
        <v>1</v>
      </c>
      <c r="Q95">
        <f t="shared" si="38"/>
        <v>12</v>
      </c>
      <c r="R95">
        <f t="shared" si="38"/>
        <v>3</v>
      </c>
      <c r="S95">
        <f t="shared" si="38"/>
        <v>14</v>
      </c>
      <c r="T95">
        <f t="shared" si="38"/>
        <v>9</v>
      </c>
      <c r="U95">
        <f t="shared" si="38"/>
        <v>4</v>
      </c>
      <c r="V95">
        <f t="shared" si="38"/>
        <v>0</v>
      </c>
      <c r="W95">
        <f t="shared" si="38"/>
        <v>11</v>
      </c>
      <c r="X95">
        <f t="shared" si="38"/>
        <v>8</v>
      </c>
      <c r="Y95">
        <f t="shared" si="38"/>
        <v>12</v>
      </c>
      <c r="Z95">
        <f t="shared" si="39"/>
        <v>3</v>
      </c>
      <c r="AA95">
        <f t="shared" si="39"/>
        <v>1</v>
      </c>
      <c r="AB95">
        <f t="shared" si="39"/>
        <v>1</v>
      </c>
      <c r="AC95">
        <f t="shared" si="39"/>
        <v>0</v>
      </c>
      <c r="AD95">
        <f t="shared" si="39"/>
        <v>2</v>
      </c>
      <c r="AE95">
        <f t="shared" si="39"/>
        <v>0</v>
      </c>
      <c r="AF95" s="56">
        <f t="shared" si="28"/>
        <v>22</v>
      </c>
      <c r="AG95" s="59">
        <f t="shared" si="29"/>
        <v>6.3214285714285712</v>
      </c>
      <c r="AH95">
        <f t="shared" si="30"/>
        <v>0.28733766233766234</v>
      </c>
    </row>
    <row r="96" spans="1:34" ht="15" x14ac:dyDescent="0.2">
      <c r="A96">
        <v>281</v>
      </c>
      <c r="B96" s="57" t="s">
        <v>343</v>
      </c>
      <c r="C96" s="57"/>
      <c r="D96">
        <f t="shared" si="26"/>
        <v>175</v>
      </c>
      <c r="E96" s="1">
        <f t="shared" si="27"/>
        <v>33</v>
      </c>
      <c r="F96">
        <f t="shared" si="37"/>
        <v>12</v>
      </c>
      <c r="G96">
        <f t="shared" si="37"/>
        <v>1</v>
      </c>
      <c r="H96">
        <f t="shared" si="37"/>
        <v>5</v>
      </c>
      <c r="I96">
        <f t="shared" si="37"/>
        <v>0</v>
      </c>
      <c r="J96">
        <f t="shared" si="37"/>
        <v>16</v>
      </c>
      <c r="K96">
        <f t="shared" si="37"/>
        <v>0</v>
      </c>
      <c r="L96">
        <f t="shared" si="37"/>
        <v>4</v>
      </c>
      <c r="M96">
        <f t="shared" si="37"/>
        <v>6</v>
      </c>
      <c r="N96">
        <f t="shared" si="37"/>
        <v>7</v>
      </c>
      <c r="O96">
        <f t="shared" si="37"/>
        <v>1</v>
      </c>
      <c r="P96">
        <f t="shared" si="38"/>
        <v>2</v>
      </c>
      <c r="Q96">
        <f t="shared" si="38"/>
        <v>3</v>
      </c>
      <c r="R96">
        <f t="shared" si="38"/>
        <v>6</v>
      </c>
      <c r="S96">
        <f t="shared" si="38"/>
        <v>15</v>
      </c>
      <c r="T96">
        <f t="shared" si="38"/>
        <v>11</v>
      </c>
      <c r="U96">
        <f t="shared" si="38"/>
        <v>4</v>
      </c>
      <c r="V96">
        <f t="shared" si="38"/>
        <v>0</v>
      </c>
      <c r="W96">
        <f t="shared" si="38"/>
        <v>13</v>
      </c>
      <c r="X96">
        <f t="shared" si="38"/>
        <v>3</v>
      </c>
      <c r="Y96">
        <f t="shared" si="38"/>
        <v>5</v>
      </c>
      <c r="Z96">
        <f t="shared" si="39"/>
        <v>8</v>
      </c>
      <c r="AA96">
        <f t="shared" si="39"/>
        <v>1</v>
      </c>
      <c r="AB96">
        <f t="shared" si="39"/>
        <v>6</v>
      </c>
      <c r="AC96">
        <f t="shared" si="39"/>
        <v>0</v>
      </c>
      <c r="AD96">
        <f t="shared" si="39"/>
        <v>6</v>
      </c>
      <c r="AE96">
        <f t="shared" si="39"/>
        <v>0</v>
      </c>
      <c r="AF96" s="56">
        <f t="shared" si="28"/>
        <v>21</v>
      </c>
      <c r="AG96" s="59">
        <f t="shared" si="29"/>
        <v>5.3030303030303028</v>
      </c>
      <c r="AH96">
        <f t="shared" si="30"/>
        <v>0.25252525252525249</v>
      </c>
    </row>
    <row r="97" spans="1:34" ht="15" x14ac:dyDescent="0.2">
      <c r="A97">
        <v>199</v>
      </c>
      <c r="B97" s="57" t="s">
        <v>263</v>
      </c>
      <c r="C97" s="57"/>
      <c r="D97">
        <f t="shared" si="26"/>
        <v>175</v>
      </c>
      <c r="E97" s="1">
        <f t="shared" si="27"/>
        <v>32</v>
      </c>
      <c r="F97">
        <f t="shared" si="37"/>
        <v>6</v>
      </c>
      <c r="G97">
        <f t="shared" si="37"/>
        <v>1</v>
      </c>
      <c r="H97">
        <f t="shared" si="37"/>
        <v>1</v>
      </c>
      <c r="I97">
        <f t="shared" si="37"/>
        <v>1</v>
      </c>
      <c r="J97">
        <f t="shared" si="37"/>
        <v>18</v>
      </c>
      <c r="K97">
        <f t="shared" si="37"/>
        <v>10</v>
      </c>
      <c r="L97">
        <f t="shared" si="37"/>
        <v>1</v>
      </c>
      <c r="M97">
        <f t="shared" si="37"/>
        <v>6</v>
      </c>
      <c r="N97">
        <f t="shared" si="37"/>
        <v>10</v>
      </c>
      <c r="O97">
        <f t="shared" si="37"/>
        <v>0</v>
      </c>
      <c r="P97">
        <f t="shared" si="38"/>
        <v>2</v>
      </c>
      <c r="Q97">
        <f t="shared" si="38"/>
        <v>4</v>
      </c>
      <c r="R97">
        <f t="shared" si="38"/>
        <v>4</v>
      </c>
      <c r="S97">
        <f t="shared" si="38"/>
        <v>9</v>
      </c>
      <c r="T97">
        <f t="shared" si="38"/>
        <v>14</v>
      </c>
      <c r="U97">
        <f t="shared" si="38"/>
        <v>2</v>
      </c>
      <c r="V97">
        <f t="shared" si="38"/>
        <v>0</v>
      </c>
      <c r="W97">
        <f t="shared" si="38"/>
        <v>10</v>
      </c>
      <c r="X97">
        <f t="shared" si="38"/>
        <v>12</v>
      </c>
      <c r="Y97">
        <f t="shared" si="38"/>
        <v>15</v>
      </c>
      <c r="Z97">
        <f t="shared" si="39"/>
        <v>5</v>
      </c>
      <c r="AA97">
        <f t="shared" si="39"/>
        <v>1</v>
      </c>
      <c r="AB97">
        <f t="shared" si="39"/>
        <v>0</v>
      </c>
      <c r="AC97">
        <f t="shared" si="39"/>
        <v>0</v>
      </c>
      <c r="AD97">
        <f t="shared" si="39"/>
        <v>6</v>
      </c>
      <c r="AE97">
        <f t="shared" si="39"/>
        <v>0</v>
      </c>
      <c r="AF97" s="56">
        <f t="shared" si="28"/>
        <v>21</v>
      </c>
      <c r="AG97" s="59">
        <f t="shared" si="29"/>
        <v>5.46875</v>
      </c>
      <c r="AH97">
        <f t="shared" si="30"/>
        <v>0.26041666666666669</v>
      </c>
    </row>
    <row r="98" spans="1:34" ht="15" x14ac:dyDescent="0.2">
      <c r="A98">
        <v>335</v>
      </c>
      <c r="B98" s="57" t="s">
        <v>395</v>
      </c>
      <c r="C98" s="57"/>
      <c r="D98">
        <f t="shared" si="26"/>
        <v>174</v>
      </c>
      <c r="E98" s="1">
        <f t="shared" si="27"/>
        <v>24</v>
      </c>
      <c r="F98">
        <f t="shared" si="37"/>
        <v>11</v>
      </c>
      <c r="G98">
        <f t="shared" si="37"/>
        <v>3</v>
      </c>
      <c r="H98">
        <f t="shared" si="37"/>
        <v>6</v>
      </c>
      <c r="I98">
        <f t="shared" si="37"/>
        <v>5</v>
      </c>
      <c r="J98">
        <f t="shared" si="37"/>
        <v>13</v>
      </c>
      <c r="K98">
        <f t="shared" si="37"/>
        <v>3</v>
      </c>
      <c r="L98">
        <f t="shared" si="37"/>
        <v>2</v>
      </c>
      <c r="M98">
        <f t="shared" si="37"/>
        <v>10</v>
      </c>
      <c r="N98">
        <f t="shared" si="37"/>
        <v>15</v>
      </c>
      <c r="O98">
        <f t="shared" si="37"/>
        <v>0</v>
      </c>
      <c r="P98">
        <f t="shared" si="38"/>
        <v>1</v>
      </c>
      <c r="Q98">
        <f t="shared" si="38"/>
        <v>2</v>
      </c>
      <c r="R98">
        <f t="shared" si="38"/>
        <v>6</v>
      </c>
      <c r="S98">
        <f t="shared" si="38"/>
        <v>13</v>
      </c>
      <c r="T98">
        <f t="shared" si="38"/>
        <v>12</v>
      </c>
      <c r="U98">
        <f t="shared" si="38"/>
        <v>3</v>
      </c>
      <c r="V98">
        <f t="shared" si="38"/>
        <v>0</v>
      </c>
      <c r="W98">
        <f t="shared" si="38"/>
        <v>8</v>
      </c>
      <c r="X98">
        <f t="shared" si="38"/>
        <v>3</v>
      </c>
      <c r="Y98">
        <f t="shared" si="38"/>
        <v>18</v>
      </c>
      <c r="Z98">
        <f t="shared" si="39"/>
        <v>4</v>
      </c>
      <c r="AA98">
        <f t="shared" si="39"/>
        <v>2</v>
      </c>
      <c r="AB98">
        <f t="shared" si="39"/>
        <v>4</v>
      </c>
      <c r="AC98">
        <f t="shared" si="39"/>
        <v>1</v>
      </c>
      <c r="AD98">
        <f t="shared" si="39"/>
        <v>1</v>
      </c>
      <c r="AE98">
        <f t="shared" si="39"/>
        <v>1</v>
      </c>
      <c r="AF98" s="56">
        <f t="shared" si="28"/>
        <v>24</v>
      </c>
      <c r="AG98" s="59">
        <f t="shared" si="29"/>
        <v>7.25</v>
      </c>
      <c r="AH98">
        <f t="shared" si="30"/>
        <v>0.30208333333333331</v>
      </c>
    </row>
    <row r="99" spans="1:34" ht="15" x14ac:dyDescent="0.2">
      <c r="A99">
        <v>427</v>
      </c>
      <c r="B99" s="57" t="s">
        <v>666</v>
      </c>
      <c r="C99" s="57"/>
      <c r="D99">
        <f t="shared" si="26"/>
        <v>173</v>
      </c>
      <c r="E99" s="1">
        <f t="shared" si="27"/>
        <v>29</v>
      </c>
      <c r="F99">
        <f t="shared" si="37"/>
        <v>5</v>
      </c>
      <c r="G99">
        <f t="shared" si="37"/>
        <v>4</v>
      </c>
      <c r="H99">
        <f t="shared" si="37"/>
        <v>7</v>
      </c>
      <c r="I99">
        <f t="shared" si="37"/>
        <v>2</v>
      </c>
      <c r="J99">
        <f t="shared" si="37"/>
        <v>18</v>
      </c>
      <c r="K99">
        <f t="shared" si="37"/>
        <v>2</v>
      </c>
      <c r="L99">
        <f t="shared" si="37"/>
        <v>3</v>
      </c>
      <c r="M99">
        <f t="shared" si="37"/>
        <v>5</v>
      </c>
      <c r="N99">
        <f t="shared" si="37"/>
        <v>6</v>
      </c>
      <c r="O99">
        <f t="shared" si="37"/>
        <v>0</v>
      </c>
      <c r="P99">
        <f t="shared" si="38"/>
        <v>0</v>
      </c>
      <c r="Q99">
        <f t="shared" si="38"/>
        <v>6</v>
      </c>
      <c r="R99">
        <f t="shared" si="38"/>
        <v>7</v>
      </c>
      <c r="S99">
        <f t="shared" si="38"/>
        <v>11</v>
      </c>
      <c r="T99">
        <f t="shared" si="38"/>
        <v>18</v>
      </c>
      <c r="U99">
        <f t="shared" si="38"/>
        <v>4</v>
      </c>
      <c r="V99">
        <f t="shared" si="38"/>
        <v>0</v>
      </c>
      <c r="W99">
        <f t="shared" si="38"/>
        <v>7</v>
      </c>
      <c r="X99">
        <f t="shared" si="38"/>
        <v>5</v>
      </c>
      <c r="Y99">
        <f t="shared" si="38"/>
        <v>15</v>
      </c>
      <c r="Z99">
        <f t="shared" si="39"/>
        <v>8</v>
      </c>
      <c r="AA99">
        <f t="shared" si="39"/>
        <v>1</v>
      </c>
      <c r="AB99">
        <f t="shared" si="39"/>
        <v>1</v>
      </c>
      <c r="AC99">
        <f t="shared" si="39"/>
        <v>0</v>
      </c>
      <c r="AD99">
        <f t="shared" si="39"/>
        <v>4</v>
      </c>
      <c r="AE99">
        <f t="shared" si="39"/>
        <v>0</v>
      </c>
      <c r="AF99" s="56">
        <f t="shared" si="28"/>
        <v>21</v>
      </c>
      <c r="AG99" s="59">
        <f t="shared" si="29"/>
        <v>5.9655172413793105</v>
      </c>
      <c r="AH99">
        <f t="shared" si="30"/>
        <v>0.28407224958949095</v>
      </c>
    </row>
    <row r="100" spans="1:34" ht="15" x14ac:dyDescent="0.2">
      <c r="A100">
        <v>412</v>
      </c>
      <c r="B100" s="57" t="s">
        <v>633</v>
      </c>
      <c r="C100" s="57"/>
      <c r="D100">
        <f t="shared" si="26"/>
        <v>173</v>
      </c>
      <c r="E100" s="1">
        <f t="shared" si="27"/>
        <v>29</v>
      </c>
      <c r="F100">
        <f t="shared" si="37"/>
        <v>14</v>
      </c>
      <c r="G100">
        <f t="shared" si="37"/>
        <v>4</v>
      </c>
      <c r="H100">
        <f t="shared" si="37"/>
        <v>1</v>
      </c>
      <c r="I100">
        <f t="shared" si="37"/>
        <v>5</v>
      </c>
      <c r="J100">
        <f t="shared" si="37"/>
        <v>15</v>
      </c>
      <c r="K100">
        <f t="shared" si="37"/>
        <v>1</v>
      </c>
      <c r="L100">
        <f t="shared" si="37"/>
        <v>4</v>
      </c>
      <c r="M100">
        <f t="shared" si="37"/>
        <v>9</v>
      </c>
      <c r="N100">
        <f t="shared" si="37"/>
        <v>9</v>
      </c>
      <c r="O100">
        <f t="shared" si="37"/>
        <v>0</v>
      </c>
      <c r="P100">
        <f t="shared" si="38"/>
        <v>1</v>
      </c>
      <c r="Q100">
        <f t="shared" si="38"/>
        <v>9</v>
      </c>
      <c r="R100">
        <f t="shared" si="38"/>
        <v>4</v>
      </c>
      <c r="S100">
        <f t="shared" si="38"/>
        <v>7</v>
      </c>
      <c r="T100">
        <f t="shared" si="38"/>
        <v>7</v>
      </c>
      <c r="U100">
        <f t="shared" si="38"/>
        <v>2</v>
      </c>
      <c r="V100">
        <f t="shared" si="38"/>
        <v>1</v>
      </c>
      <c r="W100">
        <f t="shared" si="38"/>
        <v>6</v>
      </c>
      <c r="X100">
        <f t="shared" si="38"/>
        <v>11</v>
      </c>
      <c r="Y100">
        <f t="shared" si="38"/>
        <v>18</v>
      </c>
      <c r="Z100">
        <f t="shared" si="39"/>
        <v>5</v>
      </c>
      <c r="AA100">
        <f t="shared" si="39"/>
        <v>3</v>
      </c>
      <c r="AB100">
        <f t="shared" si="39"/>
        <v>0</v>
      </c>
      <c r="AC100">
        <f t="shared" si="39"/>
        <v>0</v>
      </c>
      <c r="AD100">
        <f t="shared" si="39"/>
        <v>1</v>
      </c>
      <c r="AE100">
        <f t="shared" si="39"/>
        <v>0</v>
      </c>
      <c r="AF100" s="56">
        <f t="shared" si="28"/>
        <v>22</v>
      </c>
      <c r="AG100" s="59">
        <f t="shared" si="29"/>
        <v>5.9655172413793105</v>
      </c>
      <c r="AH100">
        <f t="shared" si="30"/>
        <v>0.2711598746081505</v>
      </c>
    </row>
    <row r="101" spans="1:34" ht="15" x14ac:dyDescent="0.2">
      <c r="A101">
        <v>559</v>
      </c>
      <c r="B101" s="57" t="s">
        <v>636</v>
      </c>
      <c r="C101" s="57"/>
      <c r="D101">
        <f t="shared" si="26"/>
        <v>172</v>
      </c>
      <c r="E101" s="1">
        <f t="shared" si="27"/>
        <v>34</v>
      </c>
      <c r="F101">
        <f t="shared" si="37"/>
        <v>14</v>
      </c>
      <c r="G101">
        <f t="shared" si="37"/>
        <v>4</v>
      </c>
      <c r="H101">
        <f t="shared" si="37"/>
        <v>6</v>
      </c>
      <c r="I101">
        <f t="shared" si="37"/>
        <v>4</v>
      </c>
      <c r="J101">
        <f t="shared" si="37"/>
        <v>18</v>
      </c>
      <c r="K101">
        <f t="shared" si="37"/>
        <v>1</v>
      </c>
      <c r="L101">
        <f t="shared" si="37"/>
        <v>1</v>
      </c>
      <c r="M101">
        <f t="shared" si="37"/>
        <v>9</v>
      </c>
      <c r="N101">
        <f t="shared" si="37"/>
        <v>7</v>
      </c>
      <c r="O101">
        <f t="shared" si="37"/>
        <v>0</v>
      </c>
      <c r="P101">
        <f t="shared" si="38"/>
        <v>0</v>
      </c>
      <c r="Q101">
        <f t="shared" si="38"/>
        <v>8</v>
      </c>
      <c r="R101">
        <f t="shared" si="38"/>
        <v>0</v>
      </c>
      <c r="S101">
        <f t="shared" si="38"/>
        <v>9</v>
      </c>
      <c r="T101">
        <f t="shared" si="38"/>
        <v>8</v>
      </c>
      <c r="U101">
        <f t="shared" si="38"/>
        <v>3</v>
      </c>
      <c r="V101">
        <f t="shared" si="38"/>
        <v>0</v>
      </c>
      <c r="W101">
        <f t="shared" si="38"/>
        <v>10</v>
      </c>
      <c r="X101">
        <f t="shared" si="38"/>
        <v>7</v>
      </c>
      <c r="Y101">
        <f t="shared" si="38"/>
        <v>11</v>
      </c>
      <c r="Z101">
        <f t="shared" si="39"/>
        <v>4</v>
      </c>
      <c r="AA101">
        <f t="shared" si="39"/>
        <v>0</v>
      </c>
      <c r="AB101">
        <f t="shared" si="39"/>
        <v>0</v>
      </c>
      <c r="AC101">
        <f t="shared" si="39"/>
        <v>0</v>
      </c>
      <c r="AD101">
        <f t="shared" si="39"/>
        <v>7</v>
      </c>
      <c r="AE101">
        <f t="shared" si="39"/>
        <v>0</v>
      </c>
      <c r="AF101" s="56">
        <f t="shared" si="28"/>
        <v>18</v>
      </c>
      <c r="AG101" s="59">
        <f t="shared" si="29"/>
        <v>5.0588235294117645</v>
      </c>
      <c r="AH101">
        <f t="shared" si="30"/>
        <v>0.28104575163398693</v>
      </c>
    </row>
    <row r="102" spans="1:34" ht="15" x14ac:dyDescent="0.2">
      <c r="A102">
        <v>511</v>
      </c>
      <c r="B102" s="57" t="s">
        <v>546</v>
      </c>
      <c r="C102" s="57"/>
      <c r="D102">
        <f t="shared" si="26"/>
        <v>168</v>
      </c>
      <c r="E102" s="1">
        <f t="shared" si="27"/>
        <v>24</v>
      </c>
      <c r="F102">
        <f t="shared" ref="F102:O111" si="40">LEN($B102)-LEN(SUBSTITUTE($B102,F$1,""))</f>
        <v>10</v>
      </c>
      <c r="G102">
        <f t="shared" si="40"/>
        <v>2</v>
      </c>
      <c r="H102">
        <f t="shared" si="40"/>
        <v>6</v>
      </c>
      <c r="I102">
        <f t="shared" si="40"/>
        <v>3</v>
      </c>
      <c r="J102">
        <f t="shared" si="40"/>
        <v>12</v>
      </c>
      <c r="K102">
        <f t="shared" si="40"/>
        <v>2</v>
      </c>
      <c r="L102">
        <f t="shared" si="40"/>
        <v>7</v>
      </c>
      <c r="M102">
        <f t="shared" si="40"/>
        <v>2</v>
      </c>
      <c r="N102">
        <f t="shared" si="40"/>
        <v>19</v>
      </c>
      <c r="O102">
        <f t="shared" si="40"/>
        <v>0</v>
      </c>
      <c r="P102">
        <f t="shared" ref="P102:Y111" si="41">LEN($B102)-LEN(SUBSTITUTE($B102,P$1,""))</f>
        <v>2</v>
      </c>
      <c r="Q102">
        <f t="shared" si="41"/>
        <v>4</v>
      </c>
      <c r="R102">
        <f t="shared" si="41"/>
        <v>9</v>
      </c>
      <c r="S102">
        <f t="shared" si="41"/>
        <v>12</v>
      </c>
      <c r="T102">
        <f t="shared" si="41"/>
        <v>11</v>
      </c>
      <c r="U102">
        <f t="shared" si="41"/>
        <v>4</v>
      </c>
      <c r="V102">
        <f t="shared" si="41"/>
        <v>0</v>
      </c>
      <c r="W102">
        <f t="shared" si="41"/>
        <v>11</v>
      </c>
      <c r="X102">
        <f t="shared" si="41"/>
        <v>7</v>
      </c>
      <c r="Y102">
        <f t="shared" si="41"/>
        <v>9</v>
      </c>
      <c r="Z102">
        <f t="shared" ref="Z102:AE111" si="42">LEN($B102)-LEN(SUBSTITUTE($B102,Z$1,""))</f>
        <v>4</v>
      </c>
      <c r="AA102">
        <f t="shared" si="42"/>
        <v>2</v>
      </c>
      <c r="AB102">
        <f t="shared" si="42"/>
        <v>0</v>
      </c>
      <c r="AC102">
        <f t="shared" si="42"/>
        <v>0</v>
      </c>
      <c r="AD102">
        <f t="shared" si="42"/>
        <v>1</v>
      </c>
      <c r="AE102">
        <f t="shared" si="42"/>
        <v>0</v>
      </c>
      <c r="AF102" s="56">
        <f t="shared" si="28"/>
        <v>21</v>
      </c>
      <c r="AG102" s="59">
        <f t="shared" si="29"/>
        <v>7</v>
      </c>
      <c r="AH102">
        <f t="shared" si="30"/>
        <v>0.33333333333333331</v>
      </c>
    </row>
    <row r="103" spans="1:34" ht="15" x14ac:dyDescent="0.2">
      <c r="A103">
        <v>458</v>
      </c>
      <c r="B103" s="57" t="s">
        <v>499</v>
      </c>
      <c r="C103" s="57"/>
      <c r="D103">
        <f t="shared" si="26"/>
        <v>168</v>
      </c>
      <c r="E103" s="1">
        <f t="shared" si="27"/>
        <v>27</v>
      </c>
      <c r="F103">
        <f t="shared" si="40"/>
        <v>8</v>
      </c>
      <c r="G103">
        <f t="shared" si="40"/>
        <v>1</v>
      </c>
      <c r="H103">
        <f t="shared" si="40"/>
        <v>7</v>
      </c>
      <c r="I103">
        <f t="shared" si="40"/>
        <v>4</v>
      </c>
      <c r="J103">
        <f t="shared" si="40"/>
        <v>13</v>
      </c>
      <c r="K103">
        <f t="shared" si="40"/>
        <v>5</v>
      </c>
      <c r="L103">
        <f t="shared" si="40"/>
        <v>4</v>
      </c>
      <c r="M103">
        <f t="shared" si="40"/>
        <v>5</v>
      </c>
      <c r="N103">
        <f t="shared" si="40"/>
        <v>17</v>
      </c>
      <c r="O103">
        <f t="shared" si="40"/>
        <v>0</v>
      </c>
      <c r="P103">
        <f t="shared" si="41"/>
        <v>0</v>
      </c>
      <c r="Q103">
        <f t="shared" si="41"/>
        <v>5</v>
      </c>
      <c r="R103">
        <f t="shared" si="41"/>
        <v>5</v>
      </c>
      <c r="S103">
        <f t="shared" si="41"/>
        <v>14</v>
      </c>
      <c r="T103">
        <f t="shared" si="41"/>
        <v>8</v>
      </c>
      <c r="U103">
        <f t="shared" si="41"/>
        <v>2</v>
      </c>
      <c r="V103">
        <f t="shared" si="41"/>
        <v>0</v>
      </c>
      <c r="W103">
        <f t="shared" si="41"/>
        <v>6</v>
      </c>
      <c r="X103">
        <f t="shared" si="41"/>
        <v>7</v>
      </c>
      <c r="Y103">
        <f t="shared" si="41"/>
        <v>11</v>
      </c>
      <c r="Z103">
        <f t="shared" si="42"/>
        <v>5</v>
      </c>
      <c r="AA103">
        <f t="shared" si="42"/>
        <v>1</v>
      </c>
      <c r="AB103">
        <f t="shared" si="42"/>
        <v>3</v>
      </c>
      <c r="AC103">
        <f t="shared" si="42"/>
        <v>0</v>
      </c>
      <c r="AD103">
        <f t="shared" si="42"/>
        <v>4</v>
      </c>
      <c r="AE103">
        <f t="shared" si="42"/>
        <v>0</v>
      </c>
      <c r="AF103" s="56">
        <f t="shared" si="28"/>
        <v>21</v>
      </c>
      <c r="AG103" s="59">
        <f t="shared" si="29"/>
        <v>6.2222222222222223</v>
      </c>
      <c r="AH103">
        <f t="shared" si="30"/>
        <v>0.29629629629629628</v>
      </c>
    </row>
    <row r="104" spans="1:34" ht="15" x14ac:dyDescent="0.2">
      <c r="A104">
        <v>358</v>
      </c>
      <c r="B104" s="57" t="s">
        <v>417</v>
      </c>
      <c r="C104" s="57"/>
      <c r="D104">
        <f t="shared" si="26"/>
        <v>168</v>
      </c>
      <c r="E104" s="1">
        <f t="shared" si="27"/>
        <v>31</v>
      </c>
      <c r="F104">
        <f t="shared" si="40"/>
        <v>12</v>
      </c>
      <c r="G104">
        <f t="shared" si="40"/>
        <v>0</v>
      </c>
      <c r="H104">
        <f t="shared" si="40"/>
        <v>3</v>
      </c>
      <c r="I104">
        <f t="shared" si="40"/>
        <v>6</v>
      </c>
      <c r="J104">
        <f t="shared" si="40"/>
        <v>16</v>
      </c>
      <c r="K104">
        <f t="shared" si="40"/>
        <v>6</v>
      </c>
      <c r="L104">
        <f t="shared" si="40"/>
        <v>4</v>
      </c>
      <c r="M104">
        <f t="shared" si="40"/>
        <v>8</v>
      </c>
      <c r="N104">
        <f t="shared" si="40"/>
        <v>10</v>
      </c>
      <c r="O104">
        <f t="shared" si="40"/>
        <v>0</v>
      </c>
      <c r="P104">
        <f t="shared" si="41"/>
        <v>1</v>
      </c>
      <c r="Q104">
        <f t="shared" si="41"/>
        <v>3</v>
      </c>
      <c r="R104">
        <f t="shared" si="41"/>
        <v>3</v>
      </c>
      <c r="S104">
        <f t="shared" si="41"/>
        <v>9</v>
      </c>
      <c r="T104">
        <f t="shared" si="41"/>
        <v>8</v>
      </c>
      <c r="U104">
        <f t="shared" si="41"/>
        <v>3</v>
      </c>
      <c r="V104">
        <f t="shared" si="41"/>
        <v>0</v>
      </c>
      <c r="W104">
        <f t="shared" si="41"/>
        <v>9</v>
      </c>
      <c r="X104">
        <f t="shared" si="41"/>
        <v>7</v>
      </c>
      <c r="Y104">
        <f t="shared" si="41"/>
        <v>10</v>
      </c>
      <c r="Z104">
        <f t="shared" si="42"/>
        <v>4</v>
      </c>
      <c r="AA104">
        <f t="shared" si="42"/>
        <v>1</v>
      </c>
      <c r="AB104">
        <f t="shared" si="42"/>
        <v>2</v>
      </c>
      <c r="AC104">
        <f t="shared" si="42"/>
        <v>0</v>
      </c>
      <c r="AD104">
        <f t="shared" si="42"/>
        <v>3</v>
      </c>
      <c r="AE104">
        <f t="shared" si="42"/>
        <v>0</v>
      </c>
      <c r="AF104" s="56">
        <f t="shared" si="28"/>
        <v>21</v>
      </c>
      <c r="AG104" s="59">
        <f t="shared" si="29"/>
        <v>5.419354838709677</v>
      </c>
      <c r="AH104">
        <f t="shared" si="30"/>
        <v>0.25806451612903225</v>
      </c>
    </row>
    <row r="105" spans="1:34" ht="15" x14ac:dyDescent="0.2">
      <c r="A105">
        <v>349</v>
      </c>
      <c r="B105" s="57" t="s">
        <v>409</v>
      </c>
      <c r="C105" s="57"/>
      <c r="D105">
        <f t="shared" si="26"/>
        <v>168</v>
      </c>
      <c r="E105" s="1">
        <f t="shared" si="27"/>
        <v>32</v>
      </c>
      <c r="F105">
        <f t="shared" si="40"/>
        <v>11</v>
      </c>
      <c r="G105">
        <f t="shared" si="40"/>
        <v>1</v>
      </c>
      <c r="H105">
        <f t="shared" si="40"/>
        <v>1</v>
      </c>
      <c r="I105">
        <f t="shared" si="40"/>
        <v>5</v>
      </c>
      <c r="J105">
        <f t="shared" si="40"/>
        <v>19</v>
      </c>
      <c r="K105">
        <f t="shared" si="40"/>
        <v>1</v>
      </c>
      <c r="L105">
        <f t="shared" si="40"/>
        <v>5</v>
      </c>
      <c r="M105">
        <f t="shared" si="40"/>
        <v>8</v>
      </c>
      <c r="N105">
        <f t="shared" si="40"/>
        <v>8</v>
      </c>
      <c r="O105">
        <f t="shared" si="40"/>
        <v>0</v>
      </c>
      <c r="P105">
        <f t="shared" si="41"/>
        <v>2</v>
      </c>
      <c r="Q105">
        <f t="shared" si="41"/>
        <v>2</v>
      </c>
      <c r="R105">
        <f t="shared" si="41"/>
        <v>0</v>
      </c>
      <c r="S105">
        <f t="shared" si="41"/>
        <v>16</v>
      </c>
      <c r="T105">
        <f t="shared" si="41"/>
        <v>10</v>
      </c>
      <c r="U105">
        <f t="shared" si="41"/>
        <v>2</v>
      </c>
      <c r="V105">
        <f t="shared" si="41"/>
        <v>0</v>
      </c>
      <c r="W105">
        <f t="shared" si="41"/>
        <v>9</v>
      </c>
      <c r="X105">
        <f t="shared" si="41"/>
        <v>6</v>
      </c>
      <c r="Y105">
        <f t="shared" si="41"/>
        <v>13</v>
      </c>
      <c r="Z105">
        <f t="shared" si="42"/>
        <v>4</v>
      </c>
      <c r="AA105">
        <f t="shared" si="42"/>
        <v>1</v>
      </c>
      <c r="AB105">
        <f t="shared" si="42"/>
        <v>4</v>
      </c>
      <c r="AC105">
        <f t="shared" si="42"/>
        <v>1</v>
      </c>
      <c r="AD105">
        <f t="shared" si="42"/>
        <v>4</v>
      </c>
      <c r="AE105">
        <f t="shared" si="42"/>
        <v>0</v>
      </c>
      <c r="AF105" s="56">
        <f t="shared" si="28"/>
        <v>22</v>
      </c>
      <c r="AG105" s="59">
        <f t="shared" si="29"/>
        <v>5.25</v>
      </c>
      <c r="AH105">
        <f t="shared" si="30"/>
        <v>0.23863636363636365</v>
      </c>
    </row>
    <row r="106" spans="1:34" ht="15" x14ac:dyDescent="0.2">
      <c r="A106">
        <v>270</v>
      </c>
      <c r="B106" s="57" t="s">
        <v>332</v>
      </c>
      <c r="C106" s="57"/>
      <c r="D106">
        <f t="shared" si="26"/>
        <v>167</v>
      </c>
      <c r="E106" s="1">
        <f t="shared" si="27"/>
        <v>31</v>
      </c>
      <c r="F106">
        <f t="shared" si="40"/>
        <v>15</v>
      </c>
      <c r="G106">
        <f t="shared" si="40"/>
        <v>4</v>
      </c>
      <c r="H106">
        <f t="shared" si="40"/>
        <v>2</v>
      </c>
      <c r="I106">
        <f t="shared" si="40"/>
        <v>1</v>
      </c>
      <c r="J106">
        <f t="shared" si="40"/>
        <v>17</v>
      </c>
      <c r="K106">
        <f t="shared" si="40"/>
        <v>2</v>
      </c>
      <c r="L106">
        <f t="shared" si="40"/>
        <v>2</v>
      </c>
      <c r="M106">
        <f t="shared" si="40"/>
        <v>4</v>
      </c>
      <c r="N106">
        <f t="shared" si="40"/>
        <v>4</v>
      </c>
      <c r="O106">
        <f t="shared" si="40"/>
        <v>0</v>
      </c>
      <c r="P106">
        <f t="shared" si="41"/>
        <v>3</v>
      </c>
      <c r="Q106">
        <f t="shared" si="41"/>
        <v>10</v>
      </c>
      <c r="R106">
        <f t="shared" si="41"/>
        <v>6</v>
      </c>
      <c r="S106">
        <f t="shared" si="41"/>
        <v>3</v>
      </c>
      <c r="T106">
        <f t="shared" si="41"/>
        <v>13</v>
      </c>
      <c r="U106">
        <f t="shared" si="41"/>
        <v>5</v>
      </c>
      <c r="V106">
        <f t="shared" si="41"/>
        <v>0</v>
      </c>
      <c r="W106">
        <f t="shared" si="41"/>
        <v>7</v>
      </c>
      <c r="X106">
        <f t="shared" si="41"/>
        <v>3</v>
      </c>
      <c r="Y106">
        <f t="shared" si="41"/>
        <v>15</v>
      </c>
      <c r="Z106">
        <f t="shared" si="42"/>
        <v>4</v>
      </c>
      <c r="AA106">
        <f t="shared" si="42"/>
        <v>0</v>
      </c>
      <c r="AB106">
        <f t="shared" si="42"/>
        <v>4</v>
      </c>
      <c r="AC106">
        <f t="shared" si="42"/>
        <v>0</v>
      </c>
      <c r="AD106">
        <f t="shared" si="42"/>
        <v>7</v>
      </c>
      <c r="AE106">
        <f t="shared" si="42"/>
        <v>0</v>
      </c>
      <c r="AF106" s="56">
        <f t="shared" si="28"/>
        <v>21</v>
      </c>
      <c r="AG106" s="59">
        <f t="shared" si="29"/>
        <v>5.387096774193548</v>
      </c>
      <c r="AH106">
        <f t="shared" si="30"/>
        <v>0.25652841781874036</v>
      </c>
    </row>
    <row r="107" spans="1:34" ht="15" x14ac:dyDescent="0.2">
      <c r="A107">
        <v>528</v>
      </c>
      <c r="B107" s="57" t="s">
        <v>558</v>
      </c>
      <c r="C107" s="57"/>
      <c r="D107">
        <f t="shared" si="26"/>
        <v>166</v>
      </c>
      <c r="E107" s="1">
        <f t="shared" si="27"/>
        <v>32</v>
      </c>
      <c r="F107">
        <f t="shared" si="40"/>
        <v>7</v>
      </c>
      <c r="G107">
        <f t="shared" si="40"/>
        <v>1</v>
      </c>
      <c r="H107">
        <f t="shared" si="40"/>
        <v>2</v>
      </c>
      <c r="I107">
        <f t="shared" si="40"/>
        <v>3</v>
      </c>
      <c r="J107">
        <f t="shared" si="40"/>
        <v>16</v>
      </c>
      <c r="K107">
        <f t="shared" si="40"/>
        <v>2</v>
      </c>
      <c r="L107">
        <f t="shared" si="40"/>
        <v>7</v>
      </c>
      <c r="M107">
        <f t="shared" si="40"/>
        <v>5</v>
      </c>
      <c r="N107">
        <f t="shared" si="40"/>
        <v>10</v>
      </c>
      <c r="O107">
        <f t="shared" si="40"/>
        <v>0</v>
      </c>
      <c r="P107">
        <f t="shared" si="41"/>
        <v>0</v>
      </c>
      <c r="Q107">
        <f t="shared" si="41"/>
        <v>7</v>
      </c>
      <c r="R107">
        <f t="shared" si="41"/>
        <v>0</v>
      </c>
      <c r="S107">
        <f t="shared" si="41"/>
        <v>11</v>
      </c>
      <c r="T107">
        <f t="shared" si="41"/>
        <v>8</v>
      </c>
      <c r="U107">
        <f t="shared" si="41"/>
        <v>5</v>
      </c>
      <c r="V107">
        <f t="shared" si="41"/>
        <v>2</v>
      </c>
      <c r="W107">
        <f t="shared" si="41"/>
        <v>7</v>
      </c>
      <c r="X107">
        <f t="shared" si="41"/>
        <v>6</v>
      </c>
      <c r="Y107">
        <f t="shared" si="41"/>
        <v>13</v>
      </c>
      <c r="Z107">
        <f t="shared" si="42"/>
        <v>9</v>
      </c>
      <c r="AA107">
        <f t="shared" si="42"/>
        <v>1</v>
      </c>
      <c r="AB107">
        <f t="shared" si="42"/>
        <v>3</v>
      </c>
      <c r="AC107">
        <f t="shared" si="42"/>
        <v>0</v>
      </c>
      <c r="AD107">
        <f t="shared" si="42"/>
        <v>6</v>
      </c>
      <c r="AE107">
        <f t="shared" si="42"/>
        <v>0</v>
      </c>
      <c r="AF107" s="56">
        <f t="shared" si="28"/>
        <v>21</v>
      </c>
      <c r="AG107" s="59">
        <f t="shared" si="29"/>
        <v>5.1875</v>
      </c>
      <c r="AH107">
        <f t="shared" si="30"/>
        <v>0.24702380952380953</v>
      </c>
    </row>
    <row r="108" spans="1:34" ht="15" x14ac:dyDescent="0.2">
      <c r="A108">
        <v>586</v>
      </c>
      <c r="B108" s="57" t="s">
        <v>607</v>
      </c>
      <c r="C108" s="57"/>
      <c r="D108">
        <f t="shared" si="26"/>
        <v>164</v>
      </c>
      <c r="E108" s="1">
        <f t="shared" si="27"/>
        <v>31</v>
      </c>
      <c r="F108">
        <f t="shared" si="40"/>
        <v>9</v>
      </c>
      <c r="G108">
        <f t="shared" si="40"/>
        <v>3</v>
      </c>
      <c r="H108">
        <f t="shared" si="40"/>
        <v>2</v>
      </c>
      <c r="I108">
        <f t="shared" si="40"/>
        <v>3</v>
      </c>
      <c r="J108">
        <f t="shared" si="40"/>
        <v>14</v>
      </c>
      <c r="K108">
        <f t="shared" si="40"/>
        <v>1</v>
      </c>
      <c r="L108">
        <f t="shared" si="40"/>
        <v>4</v>
      </c>
      <c r="M108">
        <f t="shared" si="40"/>
        <v>12</v>
      </c>
      <c r="N108">
        <f t="shared" si="40"/>
        <v>6</v>
      </c>
      <c r="O108">
        <f t="shared" si="40"/>
        <v>0</v>
      </c>
      <c r="P108">
        <f t="shared" si="41"/>
        <v>1</v>
      </c>
      <c r="Q108">
        <f t="shared" si="41"/>
        <v>3</v>
      </c>
      <c r="R108">
        <f t="shared" si="41"/>
        <v>3</v>
      </c>
      <c r="S108">
        <f t="shared" si="41"/>
        <v>8</v>
      </c>
      <c r="T108">
        <f t="shared" si="41"/>
        <v>15</v>
      </c>
      <c r="U108">
        <f t="shared" si="41"/>
        <v>5</v>
      </c>
      <c r="V108">
        <f t="shared" si="41"/>
        <v>0</v>
      </c>
      <c r="W108">
        <f t="shared" si="41"/>
        <v>7</v>
      </c>
      <c r="X108">
        <f t="shared" si="41"/>
        <v>6</v>
      </c>
      <c r="Y108">
        <f t="shared" si="41"/>
        <v>10</v>
      </c>
      <c r="Z108">
        <f t="shared" si="42"/>
        <v>6</v>
      </c>
      <c r="AA108">
        <f t="shared" si="42"/>
        <v>3</v>
      </c>
      <c r="AB108">
        <f t="shared" si="42"/>
        <v>5</v>
      </c>
      <c r="AC108">
        <f t="shared" si="42"/>
        <v>0</v>
      </c>
      <c r="AD108">
        <f t="shared" si="42"/>
        <v>5</v>
      </c>
      <c r="AE108">
        <f t="shared" si="42"/>
        <v>0</v>
      </c>
      <c r="AF108" s="56">
        <f t="shared" si="28"/>
        <v>22</v>
      </c>
      <c r="AG108" s="59">
        <f t="shared" si="29"/>
        <v>5.290322580645161</v>
      </c>
      <c r="AH108">
        <f t="shared" si="30"/>
        <v>0.24046920821114368</v>
      </c>
    </row>
    <row r="109" spans="1:34" ht="15" x14ac:dyDescent="0.2">
      <c r="A109">
        <v>493</v>
      </c>
      <c r="B109" s="57" t="s">
        <v>531</v>
      </c>
      <c r="C109" s="57"/>
      <c r="D109">
        <f t="shared" si="26"/>
        <v>163</v>
      </c>
      <c r="E109" s="1">
        <f t="shared" si="27"/>
        <v>29</v>
      </c>
      <c r="F109">
        <f t="shared" si="40"/>
        <v>12</v>
      </c>
      <c r="G109">
        <f t="shared" si="40"/>
        <v>1</v>
      </c>
      <c r="H109">
        <f t="shared" si="40"/>
        <v>6</v>
      </c>
      <c r="I109">
        <f t="shared" si="40"/>
        <v>2</v>
      </c>
      <c r="J109">
        <f t="shared" si="40"/>
        <v>14</v>
      </c>
      <c r="K109">
        <f t="shared" si="40"/>
        <v>7</v>
      </c>
      <c r="L109">
        <f t="shared" si="40"/>
        <v>2</v>
      </c>
      <c r="M109">
        <f t="shared" si="40"/>
        <v>8</v>
      </c>
      <c r="N109">
        <f t="shared" si="40"/>
        <v>9</v>
      </c>
      <c r="O109">
        <f t="shared" si="40"/>
        <v>0</v>
      </c>
      <c r="P109">
        <f t="shared" si="41"/>
        <v>1</v>
      </c>
      <c r="Q109">
        <f t="shared" si="41"/>
        <v>4</v>
      </c>
      <c r="R109">
        <f t="shared" si="41"/>
        <v>5</v>
      </c>
      <c r="S109">
        <f t="shared" si="41"/>
        <v>8</v>
      </c>
      <c r="T109">
        <f t="shared" si="41"/>
        <v>12</v>
      </c>
      <c r="U109">
        <f t="shared" si="41"/>
        <v>2</v>
      </c>
      <c r="V109">
        <f t="shared" si="41"/>
        <v>0</v>
      </c>
      <c r="W109">
        <f t="shared" si="41"/>
        <v>10</v>
      </c>
      <c r="X109">
        <f t="shared" si="41"/>
        <v>7</v>
      </c>
      <c r="Y109">
        <f t="shared" si="41"/>
        <v>13</v>
      </c>
      <c r="Z109">
        <f t="shared" si="42"/>
        <v>3</v>
      </c>
      <c r="AA109">
        <f t="shared" si="42"/>
        <v>0</v>
      </c>
      <c r="AB109">
        <f t="shared" si="42"/>
        <v>2</v>
      </c>
      <c r="AC109">
        <f t="shared" si="42"/>
        <v>0</v>
      </c>
      <c r="AD109">
        <f t="shared" si="42"/>
        <v>2</v>
      </c>
      <c r="AE109">
        <f t="shared" si="42"/>
        <v>1</v>
      </c>
      <c r="AF109" s="56">
        <f t="shared" si="28"/>
        <v>22</v>
      </c>
      <c r="AG109" s="59">
        <f t="shared" si="29"/>
        <v>5.6206896551724137</v>
      </c>
      <c r="AH109">
        <f t="shared" si="30"/>
        <v>0.2554858934169279</v>
      </c>
    </row>
    <row r="110" spans="1:34" ht="15" x14ac:dyDescent="0.2">
      <c r="A110">
        <v>284</v>
      </c>
      <c r="B110" s="57" t="s">
        <v>346</v>
      </c>
      <c r="C110" s="57"/>
      <c r="D110">
        <f t="shared" si="26"/>
        <v>162</v>
      </c>
      <c r="E110" s="1">
        <f t="shared" si="27"/>
        <v>25</v>
      </c>
      <c r="F110">
        <f t="shared" si="40"/>
        <v>14</v>
      </c>
      <c r="G110">
        <f t="shared" si="40"/>
        <v>3</v>
      </c>
      <c r="H110">
        <f t="shared" si="40"/>
        <v>7</v>
      </c>
      <c r="I110">
        <f t="shared" si="40"/>
        <v>6</v>
      </c>
      <c r="J110">
        <f t="shared" si="40"/>
        <v>17</v>
      </c>
      <c r="K110">
        <f t="shared" si="40"/>
        <v>0</v>
      </c>
      <c r="L110">
        <f t="shared" si="40"/>
        <v>3</v>
      </c>
      <c r="M110">
        <f t="shared" si="40"/>
        <v>2</v>
      </c>
      <c r="N110">
        <f t="shared" si="40"/>
        <v>6</v>
      </c>
      <c r="O110">
        <f t="shared" si="40"/>
        <v>0</v>
      </c>
      <c r="P110">
        <f t="shared" si="41"/>
        <v>2</v>
      </c>
      <c r="Q110">
        <f t="shared" si="41"/>
        <v>0</v>
      </c>
      <c r="R110">
        <f t="shared" si="41"/>
        <v>9</v>
      </c>
      <c r="S110">
        <f t="shared" si="41"/>
        <v>15</v>
      </c>
      <c r="T110">
        <f t="shared" si="41"/>
        <v>9</v>
      </c>
      <c r="U110">
        <f t="shared" si="41"/>
        <v>6</v>
      </c>
      <c r="V110">
        <f t="shared" si="41"/>
        <v>0</v>
      </c>
      <c r="W110">
        <f t="shared" si="41"/>
        <v>11</v>
      </c>
      <c r="X110">
        <f t="shared" si="41"/>
        <v>5</v>
      </c>
      <c r="Y110">
        <f t="shared" si="41"/>
        <v>9</v>
      </c>
      <c r="Z110">
        <f t="shared" si="42"/>
        <v>4</v>
      </c>
      <c r="AA110">
        <f t="shared" si="42"/>
        <v>0</v>
      </c>
      <c r="AB110">
        <f t="shared" si="42"/>
        <v>0</v>
      </c>
      <c r="AC110">
        <f t="shared" si="42"/>
        <v>2</v>
      </c>
      <c r="AD110">
        <f t="shared" si="42"/>
        <v>6</v>
      </c>
      <c r="AE110">
        <f t="shared" si="42"/>
        <v>0</v>
      </c>
      <c r="AF110" s="56">
        <f t="shared" si="28"/>
        <v>19</v>
      </c>
      <c r="AG110" s="59">
        <f t="shared" si="29"/>
        <v>6.48</v>
      </c>
      <c r="AH110">
        <f t="shared" si="30"/>
        <v>0.34105263157894739</v>
      </c>
    </row>
    <row r="111" spans="1:34" ht="15" x14ac:dyDescent="0.2">
      <c r="A111">
        <v>104</v>
      </c>
      <c r="B111" s="57" t="s">
        <v>169</v>
      </c>
      <c r="C111" s="57"/>
      <c r="D111">
        <f t="shared" si="26"/>
        <v>162</v>
      </c>
      <c r="E111" s="1">
        <f t="shared" si="27"/>
        <v>32</v>
      </c>
      <c r="F111">
        <f t="shared" si="40"/>
        <v>5</v>
      </c>
      <c r="G111">
        <f t="shared" si="40"/>
        <v>1</v>
      </c>
      <c r="H111">
        <f t="shared" si="40"/>
        <v>2</v>
      </c>
      <c r="I111">
        <f t="shared" si="40"/>
        <v>6</v>
      </c>
      <c r="J111">
        <f t="shared" si="40"/>
        <v>19</v>
      </c>
      <c r="K111">
        <f t="shared" si="40"/>
        <v>2</v>
      </c>
      <c r="L111">
        <f t="shared" si="40"/>
        <v>2</v>
      </c>
      <c r="M111">
        <f t="shared" si="40"/>
        <v>11</v>
      </c>
      <c r="N111">
        <f t="shared" si="40"/>
        <v>10</v>
      </c>
      <c r="O111">
        <f t="shared" si="40"/>
        <v>0</v>
      </c>
      <c r="P111">
        <f t="shared" si="41"/>
        <v>3</v>
      </c>
      <c r="Q111">
        <f t="shared" si="41"/>
        <v>2</v>
      </c>
      <c r="R111">
        <f t="shared" si="41"/>
        <v>1</v>
      </c>
      <c r="S111">
        <f t="shared" si="41"/>
        <v>6</v>
      </c>
      <c r="T111">
        <f t="shared" si="41"/>
        <v>13</v>
      </c>
      <c r="U111">
        <f t="shared" si="41"/>
        <v>4</v>
      </c>
      <c r="V111">
        <f t="shared" si="41"/>
        <v>0</v>
      </c>
      <c r="W111">
        <f t="shared" si="41"/>
        <v>10</v>
      </c>
      <c r="X111">
        <f t="shared" si="41"/>
        <v>7</v>
      </c>
      <c r="Y111">
        <f t="shared" si="41"/>
        <v>16</v>
      </c>
      <c r="Z111">
        <f t="shared" si="42"/>
        <v>1</v>
      </c>
      <c r="AA111">
        <f t="shared" si="42"/>
        <v>0</v>
      </c>
      <c r="AB111">
        <f t="shared" si="42"/>
        <v>4</v>
      </c>
      <c r="AC111">
        <f t="shared" si="42"/>
        <v>0</v>
      </c>
      <c r="AD111">
        <f t="shared" si="42"/>
        <v>1</v>
      </c>
      <c r="AE111">
        <f t="shared" si="42"/>
        <v>0</v>
      </c>
      <c r="AF111" s="56">
        <f t="shared" si="28"/>
        <v>21</v>
      </c>
      <c r="AG111" s="59">
        <f t="shared" si="29"/>
        <v>5.0625</v>
      </c>
      <c r="AH111">
        <f t="shared" si="30"/>
        <v>0.24107142857142858</v>
      </c>
    </row>
    <row r="112" spans="1:34" ht="15" x14ac:dyDescent="0.2">
      <c r="A112">
        <v>195</v>
      </c>
      <c r="B112" s="57" t="s">
        <v>259</v>
      </c>
      <c r="C112" s="57"/>
      <c r="D112">
        <f t="shared" si="26"/>
        <v>162</v>
      </c>
      <c r="E112" s="1">
        <f t="shared" si="27"/>
        <v>29</v>
      </c>
      <c r="F112">
        <f t="shared" ref="F112:O121" si="43">LEN($B112)-LEN(SUBSTITUTE($B112,F$1,""))</f>
        <v>8</v>
      </c>
      <c r="G112">
        <f t="shared" si="43"/>
        <v>1</v>
      </c>
      <c r="H112">
        <f t="shared" si="43"/>
        <v>2</v>
      </c>
      <c r="I112">
        <f t="shared" si="43"/>
        <v>6</v>
      </c>
      <c r="J112">
        <f t="shared" si="43"/>
        <v>13</v>
      </c>
      <c r="K112">
        <f t="shared" si="43"/>
        <v>3</v>
      </c>
      <c r="L112">
        <f t="shared" si="43"/>
        <v>2</v>
      </c>
      <c r="M112">
        <f t="shared" si="43"/>
        <v>9</v>
      </c>
      <c r="N112">
        <f t="shared" si="43"/>
        <v>12</v>
      </c>
      <c r="O112">
        <f t="shared" si="43"/>
        <v>0</v>
      </c>
      <c r="P112">
        <f t="shared" ref="P112:Y121" si="44">LEN($B112)-LEN(SUBSTITUTE($B112,P$1,""))</f>
        <v>1</v>
      </c>
      <c r="Q112">
        <f t="shared" si="44"/>
        <v>5</v>
      </c>
      <c r="R112">
        <f t="shared" si="44"/>
        <v>5</v>
      </c>
      <c r="S112">
        <f t="shared" si="44"/>
        <v>8</v>
      </c>
      <c r="T112">
        <f t="shared" si="44"/>
        <v>10</v>
      </c>
      <c r="U112">
        <f t="shared" si="44"/>
        <v>5</v>
      </c>
      <c r="V112">
        <f t="shared" si="44"/>
        <v>0</v>
      </c>
      <c r="W112">
        <f t="shared" si="44"/>
        <v>4</v>
      </c>
      <c r="X112">
        <f t="shared" si="44"/>
        <v>9</v>
      </c>
      <c r="Y112">
        <f t="shared" si="44"/>
        <v>11</v>
      </c>
      <c r="Z112">
        <f t="shared" ref="Z112:AE121" si="45">LEN($B112)-LEN(SUBSTITUTE($B112,Z$1,""))</f>
        <v>7</v>
      </c>
      <c r="AA112">
        <f t="shared" si="45"/>
        <v>1</v>
      </c>
      <c r="AB112">
        <f t="shared" si="45"/>
        <v>2</v>
      </c>
      <c r="AC112">
        <f t="shared" si="45"/>
        <v>1</v>
      </c>
      <c r="AD112">
        <f t="shared" si="45"/>
        <v>6</v>
      </c>
      <c r="AE112">
        <f t="shared" si="45"/>
        <v>0</v>
      </c>
      <c r="AF112" s="56">
        <f t="shared" si="28"/>
        <v>23</v>
      </c>
      <c r="AG112" s="59">
        <f t="shared" si="29"/>
        <v>5.5862068965517242</v>
      </c>
      <c r="AH112">
        <f t="shared" si="30"/>
        <v>0.24287856071964017</v>
      </c>
    </row>
    <row r="113" spans="1:34" ht="15" x14ac:dyDescent="0.2">
      <c r="A113">
        <v>290</v>
      </c>
      <c r="B113" s="57" t="s">
        <v>352</v>
      </c>
      <c r="C113" s="57"/>
      <c r="D113">
        <f t="shared" si="26"/>
        <v>161</v>
      </c>
      <c r="E113" s="1">
        <f t="shared" si="27"/>
        <v>32</v>
      </c>
      <c r="F113">
        <f t="shared" si="43"/>
        <v>15</v>
      </c>
      <c r="G113">
        <f t="shared" si="43"/>
        <v>0</v>
      </c>
      <c r="H113">
        <f t="shared" si="43"/>
        <v>7</v>
      </c>
      <c r="I113">
        <f t="shared" si="43"/>
        <v>2</v>
      </c>
      <c r="J113">
        <f t="shared" si="43"/>
        <v>18</v>
      </c>
      <c r="K113">
        <f t="shared" si="43"/>
        <v>4</v>
      </c>
      <c r="L113">
        <f t="shared" si="43"/>
        <v>1</v>
      </c>
      <c r="M113">
        <f t="shared" si="43"/>
        <v>1</v>
      </c>
      <c r="N113">
        <f t="shared" si="43"/>
        <v>10</v>
      </c>
      <c r="O113">
        <f t="shared" si="43"/>
        <v>0</v>
      </c>
      <c r="P113">
        <f t="shared" si="44"/>
        <v>0</v>
      </c>
      <c r="Q113">
        <f t="shared" si="44"/>
        <v>5</v>
      </c>
      <c r="R113">
        <f t="shared" si="44"/>
        <v>0</v>
      </c>
      <c r="S113">
        <f t="shared" si="44"/>
        <v>4</v>
      </c>
      <c r="T113">
        <f t="shared" si="44"/>
        <v>4</v>
      </c>
      <c r="U113">
        <f t="shared" si="44"/>
        <v>0</v>
      </c>
      <c r="V113">
        <f t="shared" si="44"/>
        <v>7</v>
      </c>
      <c r="W113">
        <f t="shared" si="44"/>
        <v>7</v>
      </c>
      <c r="X113">
        <f t="shared" si="44"/>
        <v>8</v>
      </c>
      <c r="Y113">
        <f t="shared" si="44"/>
        <v>10</v>
      </c>
      <c r="Z113">
        <f t="shared" si="45"/>
        <v>9</v>
      </c>
      <c r="AA113">
        <f t="shared" si="45"/>
        <v>4</v>
      </c>
      <c r="AB113">
        <f t="shared" si="45"/>
        <v>0</v>
      </c>
      <c r="AC113">
        <f t="shared" si="45"/>
        <v>1</v>
      </c>
      <c r="AD113">
        <f t="shared" si="45"/>
        <v>2</v>
      </c>
      <c r="AE113">
        <f t="shared" si="45"/>
        <v>0</v>
      </c>
      <c r="AF113" s="56">
        <f t="shared" si="28"/>
        <v>19</v>
      </c>
      <c r="AG113" s="59">
        <f t="shared" si="29"/>
        <v>5.03125</v>
      </c>
      <c r="AH113">
        <f t="shared" si="30"/>
        <v>0.26480263157894735</v>
      </c>
    </row>
    <row r="114" spans="1:34" ht="15" x14ac:dyDescent="0.2">
      <c r="A114">
        <v>273</v>
      </c>
      <c r="B114" s="57" t="s">
        <v>335</v>
      </c>
      <c r="C114" s="57"/>
      <c r="D114">
        <f t="shared" si="26"/>
        <v>161</v>
      </c>
      <c r="E114" s="1">
        <f t="shared" si="27"/>
        <v>26</v>
      </c>
      <c r="F114">
        <f t="shared" si="43"/>
        <v>7</v>
      </c>
      <c r="G114">
        <f t="shared" si="43"/>
        <v>1</v>
      </c>
      <c r="H114">
        <f t="shared" si="43"/>
        <v>1</v>
      </c>
      <c r="I114">
        <f t="shared" si="43"/>
        <v>1</v>
      </c>
      <c r="J114">
        <f t="shared" si="43"/>
        <v>18</v>
      </c>
      <c r="K114">
        <f t="shared" si="43"/>
        <v>2</v>
      </c>
      <c r="L114">
        <f t="shared" si="43"/>
        <v>1</v>
      </c>
      <c r="M114">
        <f t="shared" si="43"/>
        <v>10</v>
      </c>
      <c r="N114">
        <f t="shared" si="43"/>
        <v>1</v>
      </c>
      <c r="O114">
        <f t="shared" si="43"/>
        <v>0</v>
      </c>
      <c r="P114">
        <f t="shared" si="44"/>
        <v>2</v>
      </c>
      <c r="Q114">
        <f t="shared" si="44"/>
        <v>6</v>
      </c>
      <c r="R114">
        <f t="shared" si="44"/>
        <v>8</v>
      </c>
      <c r="S114">
        <f t="shared" si="44"/>
        <v>2</v>
      </c>
      <c r="T114">
        <f t="shared" si="44"/>
        <v>12</v>
      </c>
      <c r="U114">
        <f t="shared" si="44"/>
        <v>2</v>
      </c>
      <c r="V114">
        <f t="shared" si="44"/>
        <v>0</v>
      </c>
      <c r="W114">
        <f t="shared" si="44"/>
        <v>7</v>
      </c>
      <c r="X114">
        <f t="shared" si="44"/>
        <v>6</v>
      </c>
      <c r="Y114">
        <f t="shared" si="44"/>
        <v>16</v>
      </c>
      <c r="Z114">
        <f t="shared" si="45"/>
        <v>1</v>
      </c>
      <c r="AA114">
        <f t="shared" si="45"/>
        <v>0</v>
      </c>
      <c r="AB114">
        <f t="shared" si="45"/>
        <v>4</v>
      </c>
      <c r="AC114">
        <f t="shared" si="45"/>
        <v>0</v>
      </c>
      <c r="AD114">
        <f t="shared" si="45"/>
        <v>0</v>
      </c>
      <c r="AE114">
        <f t="shared" si="45"/>
        <v>1</v>
      </c>
      <c r="AF114" s="56">
        <f t="shared" si="28"/>
        <v>21</v>
      </c>
      <c r="AG114" s="59">
        <f t="shared" si="29"/>
        <v>6.1923076923076925</v>
      </c>
      <c r="AH114">
        <f t="shared" si="30"/>
        <v>0.29487179487179488</v>
      </c>
    </row>
    <row r="115" spans="1:34" ht="15" x14ac:dyDescent="0.2">
      <c r="A115">
        <v>225</v>
      </c>
      <c r="B115" s="57" t="s">
        <v>288</v>
      </c>
      <c r="C115" s="57"/>
      <c r="D115">
        <f t="shared" si="26"/>
        <v>161</v>
      </c>
      <c r="E115" s="1">
        <f t="shared" si="27"/>
        <v>31</v>
      </c>
      <c r="F115">
        <f t="shared" si="43"/>
        <v>15</v>
      </c>
      <c r="G115">
        <f t="shared" si="43"/>
        <v>0</v>
      </c>
      <c r="H115">
        <f t="shared" si="43"/>
        <v>3</v>
      </c>
      <c r="I115">
        <f t="shared" si="43"/>
        <v>2</v>
      </c>
      <c r="J115">
        <f t="shared" si="43"/>
        <v>14</v>
      </c>
      <c r="K115">
        <f t="shared" si="43"/>
        <v>3</v>
      </c>
      <c r="L115">
        <f t="shared" si="43"/>
        <v>4</v>
      </c>
      <c r="M115">
        <f t="shared" si="43"/>
        <v>1</v>
      </c>
      <c r="N115">
        <f t="shared" si="43"/>
        <v>10</v>
      </c>
      <c r="O115">
        <f t="shared" si="43"/>
        <v>0</v>
      </c>
      <c r="P115">
        <f t="shared" si="44"/>
        <v>2</v>
      </c>
      <c r="Q115">
        <f t="shared" si="44"/>
        <v>4</v>
      </c>
      <c r="R115">
        <f t="shared" si="44"/>
        <v>4</v>
      </c>
      <c r="S115">
        <f t="shared" si="44"/>
        <v>16</v>
      </c>
      <c r="T115">
        <f t="shared" si="44"/>
        <v>8</v>
      </c>
      <c r="U115">
        <f t="shared" si="44"/>
        <v>6</v>
      </c>
      <c r="V115">
        <f t="shared" si="44"/>
        <v>0</v>
      </c>
      <c r="W115">
        <f t="shared" si="44"/>
        <v>8</v>
      </c>
      <c r="X115">
        <f t="shared" si="44"/>
        <v>6</v>
      </c>
      <c r="Y115">
        <f t="shared" si="44"/>
        <v>8</v>
      </c>
      <c r="Z115">
        <f t="shared" si="45"/>
        <v>2</v>
      </c>
      <c r="AA115">
        <f t="shared" si="45"/>
        <v>1</v>
      </c>
      <c r="AB115">
        <f t="shared" si="45"/>
        <v>3</v>
      </c>
      <c r="AC115">
        <f t="shared" si="45"/>
        <v>0</v>
      </c>
      <c r="AD115">
        <f t="shared" si="45"/>
        <v>5</v>
      </c>
      <c r="AE115">
        <f t="shared" si="45"/>
        <v>0</v>
      </c>
      <c r="AF115" s="56">
        <f t="shared" si="28"/>
        <v>21</v>
      </c>
      <c r="AG115" s="59">
        <f t="shared" si="29"/>
        <v>5.193548387096774</v>
      </c>
      <c r="AH115">
        <f t="shared" si="30"/>
        <v>0.24731182795698925</v>
      </c>
    </row>
    <row r="116" spans="1:34" ht="15" x14ac:dyDescent="0.2">
      <c r="A116">
        <v>327</v>
      </c>
      <c r="B116" s="57" t="s">
        <v>387</v>
      </c>
      <c r="C116" s="57"/>
      <c r="D116">
        <f t="shared" si="26"/>
        <v>160</v>
      </c>
      <c r="E116" s="1">
        <f t="shared" si="27"/>
        <v>34</v>
      </c>
      <c r="F116">
        <f t="shared" si="43"/>
        <v>14</v>
      </c>
      <c r="G116">
        <f t="shared" si="43"/>
        <v>0</v>
      </c>
      <c r="H116">
        <f t="shared" si="43"/>
        <v>4</v>
      </c>
      <c r="I116">
        <f t="shared" si="43"/>
        <v>8</v>
      </c>
      <c r="J116">
        <f t="shared" si="43"/>
        <v>15</v>
      </c>
      <c r="K116">
        <f t="shared" si="43"/>
        <v>0</v>
      </c>
      <c r="L116">
        <f t="shared" si="43"/>
        <v>1</v>
      </c>
      <c r="M116">
        <f t="shared" si="43"/>
        <v>8</v>
      </c>
      <c r="N116">
        <f t="shared" si="43"/>
        <v>11</v>
      </c>
      <c r="O116">
        <f t="shared" si="43"/>
        <v>0</v>
      </c>
      <c r="P116">
        <f t="shared" si="44"/>
        <v>3</v>
      </c>
      <c r="Q116">
        <f t="shared" si="44"/>
        <v>3</v>
      </c>
      <c r="R116">
        <f t="shared" si="44"/>
        <v>2</v>
      </c>
      <c r="S116">
        <f t="shared" si="44"/>
        <v>12</v>
      </c>
      <c r="T116">
        <f t="shared" si="44"/>
        <v>6</v>
      </c>
      <c r="U116">
        <f t="shared" si="44"/>
        <v>1</v>
      </c>
      <c r="V116">
        <f t="shared" si="44"/>
        <v>0</v>
      </c>
      <c r="W116">
        <f t="shared" si="44"/>
        <v>6</v>
      </c>
      <c r="X116">
        <f t="shared" si="44"/>
        <v>7</v>
      </c>
      <c r="Y116">
        <f t="shared" si="44"/>
        <v>10</v>
      </c>
      <c r="Z116">
        <f t="shared" si="45"/>
        <v>1</v>
      </c>
      <c r="AA116">
        <f t="shared" si="45"/>
        <v>3</v>
      </c>
      <c r="AB116">
        <f t="shared" si="45"/>
        <v>3</v>
      </c>
      <c r="AC116">
        <f t="shared" si="45"/>
        <v>0</v>
      </c>
      <c r="AD116">
        <f t="shared" si="45"/>
        <v>2</v>
      </c>
      <c r="AE116">
        <f t="shared" si="45"/>
        <v>0</v>
      </c>
      <c r="AF116" s="56">
        <f t="shared" si="28"/>
        <v>20</v>
      </c>
      <c r="AG116" s="59">
        <f t="shared" si="29"/>
        <v>4.7058823529411766</v>
      </c>
      <c r="AH116">
        <f t="shared" si="30"/>
        <v>0.23529411764705882</v>
      </c>
    </row>
    <row r="117" spans="1:34" ht="15" x14ac:dyDescent="0.2">
      <c r="A117">
        <v>425</v>
      </c>
      <c r="B117" s="57" t="s">
        <v>471</v>
      </c>
      <c r="C117" s="57"/>
      <c r="D117">
        <f t="shared" si="26"/>
        <v>159</v>
      </c>
      <c r="E117" s="1">
        <f t="shared" si="27"/>
        <v>29</v>
      </c>
      <c r="F117">
        <f t="shared" si="43"/>
        <v>13</v>
      </c>
      <c r="G117">
        <f t="shared" si="43"/>
        <v>1</v>
      </c>
      <c r="H117">
        <f t="shared" si="43"/>
        <v>2</v>
      </c>
      <c r="I117">
        <f t="shared" si="43"/>
        <v>5</v>
      </c>
      <c r="J117">
        <f t="shared" si="43"/>
        <v>14</v>
      </c>
      <c r="K117">
        <f t="shared" si="43"/>
        <v>3</v>
      </c>
      <c r="L117">
        <f t="shared" si="43"/>
        <v>3</v>
      </c>
      <c r="M117">
        <f t="shared" si="43"/>
        <v>3</v>
      </c>
      <c r="N117">
        <f t="shared" si="43"/>
        <v>8</v>
      </c>
      <c r="O117">
        <f t="shared" si="43"/>
        <v>1</v>
      </c>
      <c r="P117">
        <f t="shared" si="44"/>
        <v>0</v>
      </c>
      <c r="Q117">
        <f t="shared" si="44"/>
        <v>5</v>
      </c>
      <c r="R117">
        <f t="shared" si="44"/>
        <v>3</v>
      </c>
      <c r="S117">
        <f t="shared" si="44"/>
        <v>10</v>
      </c>
      <c r="T117">
        <f t="shared" si="44"/>
        <v>6</v>
      </c>
      <c r="U117">
        <f t="shared" si="44"/>
        <v>5</v>
      </c>
      <c r="V117">
        <f t="shared" si="44"/>
        <v>0</v>
      </c>
      <c r="W117">
        <f t="shared" si="44"/>
        <v>11</v>
      </c>
      <c r="X117">
        <f t="shared" si="44"/>
        <v>12</v>
      </c>
      <c r="Y117">
        <f t="shared" si="44"/>
        <v>11</v>
      </c>
      <c r="Z117">
        <f t="shared" si="45"/>
        <v>4</v>
      </c>
      <c r="AA117">
        <f t="shared" si="45"/>
        <v>0</v>
      </c>
      <c r="AB117">
        <f t="shared" si="45"/>
        <v>3</v>
      </c>
      <c r="AC117">
        <f t="shared" si="45"/>
        <v>1</v>
      </c>
      <c r="AD117">
        <f t="shared" si="45"/>
        <v>2</v>
      </c>
      <c r="AE117">
        <f t="shared" si="45"/>
        <v>0</v>
      </c>
      <c r="AF117" s="56">
        <f t="shared" si="28"/>
        <v>22</v>
      </c>
      <c r="AG117" s="59">
        <f t="shared" si="29"/>
        <v>5.4827586206896548</v>
      </c>
      <c r="AH117">
        <f t="shared" si="30"/>
        <v>0.24921630094043887</v>
      </c>
    </row>
    <row r="118" spans="1:34" ht="15" x14ac:dyDescent="0.2">
      <c r="A118">
        <v>291</v>
      </c>
      <c r="B118" s="57" t="s">
        <v>353</v>
      </c>
      <c r="C118" s="57"/>
      <c r="D118">
        <f t="shared" si="26"/>
        <v>159</v>
      </c>
      <c r="E118" s="1">
        <f t="shared" si="27"/>
        <v>27</v>
      </c>
      <c r="F118">
        <f t="shared" si="43"/>
        <v>14</v>
      </c>
      <c r="G118">
        <f t="shared" si="43"/>
        <v>2</v>
      </c>
      <c r="H118">
        <f t="shared" si="43"/>
        <v>4</v>
      </c>
      <c r="I118">
        <f t="shared" si="43"/>
        <v>3</v>
      </c>
      <c r="J118">
        <f t="shared" si="43"/>
        <v>14</v>
      </c>
      <c r="K118">
        <f t="shared" si="43"/>
        <v>3</v>
      </c>
      <c r="L118">
        <f t="shared" si="43"/>
        <v>1</v>
      </c>
      <c r="M118">
        <f t="shared" si="43"/>
        <v>5</v>
      </c>
      <c r="N118">
        <f t="shared" si="43"/>
        <v>7</v>
      </c>
      <c r="O118">
        <f t="shared" si="43"/>
        <v>1</v>
      </c>
      <c r="P118">
        <f t="shared" si="44"/>
        <v>1</v>
      </c>
      <c r="Q118">
        <f t="shared" si="44"/>
        <v>10</v>
      </c>
      <c r="R118">
        <f t="shared" si="44"/>
        <v>6</v>
      </c>
      <c r="S118">
        <f t="shared" si="44"/>
        <v>8</v>
      </c>
      <c r="T118">
        <f t="shared" si="44"/>
        <v>9</v>
      </c>
      <c r="U118">
        <f t="shared" si="44"/>
        <v>2</v>
      </c>
      <c r="V118">
        <f t="shared" si="44"/>
        <v>0</v>
      </c>
      <c r="W118">
        <f t="shared" si="44"/>
        <v>10</v>
      </c>
      <c r="X118">
        <f t="shared" si="44"/>
        <v>7</v>
      </c>
      <c r="Y118">
        <f t="shared" si="44"/>
        <v>11</v>
      </c>
      <c r="Z118">
        <f t="shared" si="45"/>
        <v>2</v>
      </c>
      <c r="AA118">
        <f t="shared" si="45"/>
        <v>1</v>
      </c>
      <c r="AB118">
        <f t="shared" si="45"/>
        <v>2</v>
      </c>
      <c r="AC118">
        <f t="shared" si="45"/>
        <v>0</v>
      </c>
      <c r="AD118">
        <f t="shared" si="45"/>
        <v>5</v>
      </c>
      <c r="AE118">
        <f t="shared" si="45"/>
        <v>0</v>
      </c>
      <c r="AF118" s="56">
        <f t="shared" si="28"/>
        <v>23</v>
      </c>
      <c r="AG118" s="59">
        <f t="shared" si="29"/>
        <v>5.8888888888888893</v>
      </c>
      <c r="AH118">
        <f t="shared" si="30"/>
        <v>0.2560386473429952</v>
      </c>
    </row>
    <row r="119" spans="1:34" ht="15" x14ac:dyDescent="0.2">
      <c r="A119">
        <v>537</v>
      </c>
      <c r="B119" s="57" t="s">
        <v>566</v>
      </c>
      <c r="C119" s="57"/>
      <c r="D119">
        <f t="shared" si="26"/>
        <v>157</v>
      </c>
      <c r="E119" s="1">
        <f t="shared" si="27"/>
        <v>28</v>
      </c>
      <c r="F119">
        <f t="shared" si="43"/>
        <v>9</v>
      </c>
      <c r="G119">
        <f t="shared" si="43"/>
        <v>1</v>
      </c>
      <c r="H119">
        <f t="shared" si="43"/>
        <v>3</v>
      </c>
      <c r="I119">
        <f t="shared" si="43"/>
        <v>4</v>
      </c>
      <c r="J119">
        <f t="shared" si="43"/>
        <v>17</v>
      </c>
      <c r="K119">
        <f t="shared" si="43"/>
        <v>1</v>
      </c>
      <c r="L119">
        <f t="shared" si="43"/>
        <v>4</v>
      </c>
      <c r="M119">
        <f t="shared" si="43"/>
        <v>4</v>
      </c>
      <c r="N119">
        <f t="shared" si="43"/>
        <v>6</v>
      </c>
      <c r="O119">
        <f t="shared" si="43"/>
        <v>0</v>
      </c>
      <c r="P119">
        <f t="shared" si="44"/>
        <v>1</v>
      </c>
      <c r="Q119">
        <f t="shared" si="44"/>
        <v>6</v>
      </c>
      <c r="R119">
        <f t="shared" si="44"/>
        <v>6</v>
      </c>
      <c r="S119">
        <f t="shared" si="44"/>
        <v>11</v>
      </c>
      <c r="T119">
        <f t="shared" si="44"/>
        <v>11</v>
      </c>
      <c r="U119">
        <f t="shared" si="44"/>
        <v>5</v>
      </c>
      <c r="V119">
        <f t="shared" si="44"/>
        <v>0</v>
      </c>
      <c r="W119">
        <f t="shared" si="44"/>
        <v>5</v>
      </c>
      <c r="X119">
        <f t="shared" si="44"/>
        <v>7</v>
      </c>
      <c r="Y119">
        <f t="shared" si="44"/>
        <v>13</v>
      </c>
      <c r="Z119">
        <f t="shared" si="45"/>
        <v>2</v>
      </c>
      <c r="AA119">
        <f t="shared" si="45"/>
        <v>2</v>
      </c>
      <c r="AB119">
        <f t="shared" si="45"/>
        <v>2</v>
      </c>
      <c r="AC119">
        <f t="shared" si="45"/>
        <v>1</v>
      </c>
      <c r="AD119">
        <f t="shared" si="45"/>
        <v>4</v>
      </c>
      <c r="AE119">
        <f t="shared" si="45"/>
        <v>0</v>
      </c>
      <c r="AF119" s="56">
        <f t="shared" si="28"/>
        <v>23</v>
      </c>
      <c r="AG119" s="59">
        <f t="shared" si="29"/>
        <v>5.6071428571428568</v>
      </c>
      <c r="AH119">
        <f t="shared" si="30"/>
        <v>0.24378881987577639</v>
      </c>
    </row>
    <row r="120" spans="1:34" ht="15" x14ac:dyDescent="0.2">
      <c r="A120">
        <v>446</v>
      </c>
      <c r="B120" s="57" t="s">
        <v>488</v>
      </c>
      <c r="C120" s="57"/>
      <c r="D120">
        <f t="shared" si="26"/>
        <v>154</v>
      </c>
      <c r="E120" s="1">
        <f t="shared" si="27"/>
        <v>26</v>
      </c>
      <c r="F120">
        <f t="shared" si="43"/>
        <v>8</v>
      </c>
      <c r="G120">
        <f t="shared" si="43"/>
        <v>2</v>
      </c>
      <c r="H120">
        <f t="shared" si="43"/>
        <v>8</v>
      </c>
      <c r="I120">
        <f t="shared" si="43"/>
        <v>4</v>
      </c>
      <c r="J120">
        <f t="shared" si="43"/>
        <v>12</v>
      </c>
      <c r="K120">
        <f t="shared" si="43"/>
        <v>4</v>
      </c>
      <c r="L120">
        <f t="shared" si="43"/>
        <v>4</v>
      </c>
      <c r="M120">
        <f t="shared" si="43"/>
        <v>5</v>
      </c>
      <c r="N120">
        <f t="shared" si="43"/>
        <v>11</v>
      </c>
      <c r="O120">
        <f t="shared" si="43"/>
        <v>0</v>
      </c>
      <c r="P120">
        <f t="shared" si="44"/>
        <v>1</v>
      </c>
      <c r="Q120">
        <f t="shared" si="44"/>
        <v>12</v>
      </c>
      <c r="R120">
        <f t="shared" si="44"/>
        <v>3</v>
      </c>
      <c r="S120">
        <f t="shared" si="44"/>
        <v>6</v>
      </c>
      <c r="T120">
        <f t="shared" si="44"/>
        <v>11</v>
      </c>
      <c r="U120">
        <f t="shared" si="44"/>
        <v>4</v>
      </c>
      <c r="V120">
        <f t="shared" si="44"/>
        <v>0</v>
      </c>
      <c r="W120">
        <f t="shared" si="44"/>
        <v>9</v>
      </c>
      <c r="X120">
        <f t="shared" si="44"/>
        <v>4</v>
      </c>
      <c r="Y120">
        <f t="shared" si="44"/>
        <v>8</v>
      </c>
      <c r="Z120">
        <f t="shared" si="45"/>
        <v>0</v>
      </c>
      <c r="AA120">
        <f t="shared" si="45"/>
        <v>0</v>
      </c>
      <c r="AB120">
        <f t="shared" si="45"/>
        <v>1</v>
      </c>
      <c r="AC120">
        <f t="shared" si="45"/>
        <v>1</v>
      </c>
      <c r="AD120">
        <f t="shared" si="45"/>
        <v>3</v>
      </c>
      <c r="AE120">
        <f t="shared" si="45"/>
        <v>0</v>
      </c>
      <c r="AF120" s="56">
        <f t="shared" si="28"/>
        <v>21</v>
      </c>
      <c r="AG120" s="59">
        <f t="shared" si="29"/>
        <v>5.9230769230769234</v>
      </c>
      <c r="AH120">
        <f t="shared" si="30"/>
        <v>0.28205128205128205</v>
      </c>
    </row>
    <row r="121" spans="1:34" ht="15" x14ac:dyDescent="0.2">
      <c r="A121">
        <v>285</v>
      </c>
      <c r="B121" s="57" t="s">
        <v>347</v>
      </c>
      <c r="C121" s="57"/>
      <c r="D121">
        <f t="shared" si="26"/>
        <v>154</v>
      </c>
      <c r="E121" s="1">
        <f t="shared" si="27"/>
        <v>24</v>
      </c>
      <c r="F121">
        <f t="shared" si="43"/>
        <v>9</v>
      </c>
      <c r="G121">
        <f t="shared" si="43"/>
        <v>5</v>
      </c>
      <c r="H121">
        <f t="shared" si="43"/>
        <v>4</v>
      </c>
      <c r="I121">
        <f t="shared" si="43"/>
        <v>4</v>
      </c>
      <c r="J121">
        <f t="shared" si="43"/>
        <v>15</v>
      </c>
      <c r="K121">
        <f t="shared" si="43"/>
        <v>3</v>
      </c>
      <c r="L121">
        <f t="shared" si="43"/>
        <v>2</v>
      </c>
      <c r="M121">
        <f t="shared" si="43"/>
        <v>2</v>
      </c>
      <c r="N121">
        <f t="shared" si="43"/>
        <v>12</v>
      </c>
      <c r="O121">
        <f t="shared" si="43"/>
        <v>0</v>
      </c>
      <c r="P121">
        <f t="shared" si="44"/>
        <v>2</v>
      </c>
      <c r="Q121">
        <f t="shared" si="44"/>
        <v>5</v>
      </c>
      <c r="R121">
        <f t="shared" si="44"/>
        <v>2</v>
      </c>
      <c r="S121">
        <f t="shared" si="44"/>
        <v>7</v>
      </c>
      <c r="T121">
        <f t="shared" si="44"/>
        <v>9</v>
      </c>
      <c r="U121">
        <f t="shared" si="44"/>
        <v>4</v>
      </c>
      <c r="V121">
        <f t="shared" si="44"/>
        <v>0</v>
      </c>
      <c r="W121">
        <f t="shared" si="44"/>
        <v>12</v>
      </c>
      <c r="X121">
        <f t="shared" si="44"/>
        <v>9</v>
      </c>
      <c r="Y121">
        <f t="shared" si="44"/>
        <v>10</v>
      </c>
      <c r="Z121">
        <f t="shared" si="45"/>
        <v>6</v>
      </c>
      <c r="AA121">
        <f t="shared" si="45"/>
        <v>1</v>
      </c>
      <c r="AB121">
        <f t="shared" si="45"/>
        <v>0</v>
      </c>
      <c r="AC121">
        <f t="shared" si="45"/>
        <v>1</v>
      </c>
      <c r="AD121">
        <f t="shared" si="45"/>
        <v>1</v>
      </c>
      <c r="AE121">
        <f t="shared" si="45"/>
        <v>0</v>
      </c>
      <c r="AF121" s="56">
        <f t="shared" si="28"/>
        <v>22</v>
      </c>
      <c r="AG121" s="59">
        <f t="shared" si="29"/>
        <v>6.416666666666667</v>
      </c>
      <c r="AH121">
        <f t="shared" si="30"/>
        <v>0.29166666666666669</v>
      </c>
    </row>
    <row r="122" spans="1:34" ht="15" x14ac:dyDescent="0.2">
      <c r="A122">
        <v>535</v>
      </c>
      <c r="B122" s="57" t="s">
        <v>564</v>
      </c>
      <c r="C122" s="57"/>
      <c r="D122">
        <f t="shared" si="26"/>
        <v>153</v>
      </c>
      <c r="E122" s="1">
        <f t="shared" si="27"/>
        <v>24</v>
      </c>
      <c r="F122">
        <f t="shared" ref="F122:O131" si="46">LEN($B122)-LEN(SUBSTITUTE($B122,F$1,""))</f>
        <v>11</v>
      </c>
      <c r="G122">
        <f t="shared" si="46"/>
        <v>3</v>
      </c>
      <c r="H122">
        <f t="shared" si="46"/>
        <v>2</v>
      </c>
      <c r="I122">
        <f t="shared" si="46"/>
        <v>1</v>
      </c>
      <c r="J122">
        <f t="shared" si="46"/>
        <v>8</v>
      </c>
      <c r="K122">
        <f t="shared" si="46"/>
        <v>4</v>
      </c>
      <c r="L122">
        <f t="shared" si="46"/>
        <v>4</v>
      </c>
      <c r="M122">
        <f t="shared" si="46"/>
        <v>4</v>
      </c>
      <c r="N122">
        <f t="shared" si="46"/>
        <v>11</v>
      </c>
      <c r="O122">
        <f t="shared" si="46"/>
        <v>0</v>
      </c>
      <c r="P122">
        <f t="shared" ref="P122:Y131" si="47">LEN($B122)-LEN(SUBSTITUTE($B122,P$1,""))</f>
        <v>2</v>
      </c>
      <c r="Q122">
        <f t="shared" si="47"/>
        <v>7</v>
      </c>
      <c r="R122">
        <f t="shared" si="47"/>
        <v>8</v>
      </c>
      <c r="S122">
        <f t="shared" si="47"/>
        <v>5</v>
      </c>
      <c r="T122">
        <f t="shared" si="47"/>
        <v>11</v>
      </c>
      <c r="U122">
        <f t="shared" si="47"/>
        <v>4</v>
      </c>
      <c r="V122">
        <f t="shared" si="47"/>
        <v>1</v>
      </c>
      <c r="W122">
        <f t="shared" si="47"/>
        <v>11</v>
      </c>
      <c r="X122">
        <f t="shared" si="47"/>
        <v>10</v>
      </c>
      <c r="Y122">
        <f t="shared" si="47"/>
        <v>10</v>
      </c>
      <c r="Z122">
        <f t="shared" ref="Z122:AE131" si="48">LEN($B122)-LEN(SUBSTITUTE($B122,Z$1,""))</f>
        <v>4</v>
      </c>
      <c r="AA122">
        <f t="shared" si="48"/>
        <v>1</v>
      </c>
      <c r="AB122">
        <f t="shared" si="48"/>
        <v>1</v>
      </c>
      <c r="AC122">
        <f t="shared" si="48"/>
        <v>0</v>
      </c>
      <c r="AD122">
        <f t="shared" si="48"/>
        <v>0</v>
      </c>
      <c r="AE122">
        <f t="shared" si="48"/>
        <v>0</v>
      </c>
      <c r="AF122" s="56">
        <f t="shared" si="28"/>
        <v>22</v>
      </c>
      <c r="AG122" s="59">
        <f t="shared" si="29"/>
        <v>6.375</v>
      </c>
      <c r="AH122">
        <f t="shared" si="30"/>
        <v>0.28977272727272729</v>
      </c>
    </row>
    <row r="123" spans="1:34" ht="15" x14ac:dyDescent="0.2">
      <c r="A123">
        <v>196</v>
      </c>
      <c r="B123" s="57" t="s">
        <v>260</v>
      </c>
      <c r="C123" s="57"/>
      <c r="D123">
        <f t="shared" si="26"/>
        <v>152</v>
      </c>
      <c r="E123" s="1">
        <f t="shared" si="27"/>
        <v>33</v>
      </c>
      <c r="F123">
        <f t="shared" si="46"/>
        <v>11</v>
      </c>
      <c r="G123">
        <f t="shared" si="46"/>
        <v>3</v>
      </c>
      <c r="H123">
        <f t="shared" si="46"/>
        <v>1</v>
      </c>
      <c r="I123">
        <f t="shared" si="46"/>
        <v>2</v>
      </c>
      <c r="J123">
        <f t="shared" si="46"/>
        <v>18</v>
      </c>
      <c r="K123">
        <f t="shared" si="46"/>
        <v>0</v>
      </c>
      <c r="L123">
        <f t="shared" si="46"/>
        <v>0</v>
      </c>
      <c r="M123">
        <f t="shared" si="46"/>
        <v>8</v>
      </c>
      <c r="N123">
        <f t="shared" si="46"/>
        <v>9</v>
      </c>
      <c r="O123">
        <f t="shared" si="46"/>
        <v>0</v>
      </c>
      <c r="P123">
        <f t="shared" si="47"/>
        <v>0</v>
      </c>
      <c r="Q123">
        <f t="shared" si="47"/>
        <v>11</v>
      </c>
      <c r="R123">
        <f t="shared" si="47"/>
        <v>2</v>
      </c>
      <c r="S123">
        <f t="shared" si="47"/>
        <v>8</v>
      </c>
      <c r="T123">
        <f t="shared" si="47"/>
        <v>6</v>
      </c>
      <c r="U123">
        <f t="shared" si="47"/>
        <v>1</v>
      </c>
      <c r="V123">
        <f t="shared" si="47"/>
        <v>0</v>
      </c>
      <c r="W123">
        <f t="shared" si="47"/>
        <v>5</v>
      </c>
      <c r="X123">
        <f t="shared" si="47"/>
        <v>6</v>
      </c>
      <c r="Y123">
        <f t="shared" si="47"/>
        <v>13</v>
      </c>
      <c r="Z123">
        <f t="shared" si="48"/>
        <v>4</v>
      </c>
      <c r="AA123">
        <f t="shared" si="48"/>
        <v>3</v>
      </c>
      <c r="AB123">
        <f t="shared" si="48"/>
        <v>1</v>
      </c>
      <c r="AC123">
        <f t="shared" si="48"/>
        <v>0</v>
      </c>
      <c r="AD123">
        <f t="shared" si="48"/>
        <v>1</v>
      </c>
      <c r="AE123">
        <f t="shared" si="48"/>
        <v>0</v>
      </c>
      <c r="AF123" s="56">
        <f t="shared" si="28"/>
        <v>19</v>
      </c>
      <c r="AG123" s="59">
        <f t="shared" si="29"/>
        <v>4.6060606060606064</v>
      </c>
      <c r="AH123">
        <f t="shared" si="30"/>
        <v>0.24242424242424243</v>
      </c>
    </row>
    <row r="124" spans="1:34" ht="15" x14ac:dyDescent="0.2">
      <c r="A124">
        <v>276</v>
      </c>
      <c r="B124" s="57" t="s">
        <v>338</v>
      </c>
      <c r="C124" s="57"/>
      <c r="D124">
        <f t="shared" si="26"/>
        <v>151</v>
      </c>
      <c r="E124" s="1">
        <f t="shared" si="27"/>
        <v>30</v>
      </c>
      <c r="F124">
        <f t="shared" si="46"/>
        <v>8</v>
      </c>
      <c r="G124">
        <f t="shared" si="46"/>
        <v>3</v>
      </c>
      <c r="H124">
        <f t="shared" si="46"/>
        <v>1</v>
      </c>
      <c r="I124">
        <f t="shared" si="46"/>
        <v>3</v>
      </c>
      <c r="J124">
        <f t="shared" si="46"/>
        <v>18</v>
      </c>
      <c r="K124">
        <f t="shared" si="46"/>
        <v>2</v>
      </c>
      <c r="L124">
        <f t="shared" si="46"/>
        <v>3</v>
      </c>
      <c r="M124">
        <f t="shared" si="46"/>
        <v>5</v>
      </c>
      <c r="N124">
        <f t="shared" si="46"/>
        <v>11</v>
      </c>
      <c r="O124">
        <f t="shared" si="46"/>
        <v>1</v>
      </c>
      <c r="P124">
        <f t="shared" si="47"/>
        <v>0</v>
      </c>
      <c r="Q124">
        <f t="shared" si="47"/>
        <v>5</v>
      </c>
      <c r="R124">
        <f t="shared" si="47"/>
        <v>2</v>
      </c>
      <c r="S124">
        <f t="shared" si="47"/>
        <v>8</v>
      </c>
      <c r="T124">
        <f t="shared" si="47"/>
        <v>8</v>
      </c>
      <c r="U124">
        <f t="shared" si="47"/>
        <v>0</v>
      </c>
      <c r="V124">
        <f t="shared" si="47"/>
        <v>0</v>
      </c>
      <c r="W124">
        <f t="shared" si="47"/>
        <v>7</v>
      </c>
      <c r="X124">
        <f t="shared" si="47"/>
        <v>8</v>
      </c>
      <c r="Y124">
        <f t="shared" si="47"/>
        <v>11</v>
      </c>
      <c r="Z124">
        <f t="shared" si="48"/>
        <v>4</v>
      </c>
      <c r="AA124">
        <f t="shared" si="48"/>
        <v>2</v>
      </c>
      <c r="AB124">
        <f t="shared" si="48"/>
        <v>5</v>
      </c>
      <c r="AC124">
        <f t="shared" si="48"/>
        <v>0</v>
      </c>
      <c r="AD124">
        <f t="shared" si="48"/>
        <v>2</v>
      </c>
      <c r="AE124">
        <f t="shared" si="48"/>
        <v>0</v>
      </c>
      <c r="AF124" s="56">
        <f t="shared" si="28"/>
        <v>21</v>
      </c>
      <c r="AG124" s="59">
        <f t="shared" si="29"/>
        <v>5.0333333333333332</v>
      </c>
      <c r="AH124">
        <f t="shared" si="30"/>
        <v>0.23968253968253966</v>
      </c>
    </row>
    <row r="125" spans="1:34" ht="15" x14ac:dyDescent="0.2">
      <c r="A125">
        <v>423</v>
      </c>
      <c r="B125" s="57" t="s">
        <v>470</v>
      </c>
      <c r="C125" s="57"/>
      <c r="D125">
        <f t="shared" si="26"/>
        <v>150</v>
      </c>
      <c r="E125" s="1">
        <f t="shared" si="27"/>
        <v>25</v>
      </c>
      <c r="F125">
        <f t="shared" si="46"/>
        <v>8</v>
      </c>
      <c r="G125">
        <f t="shared" si="46"/>
        <v>2</v>
      </c>
      <c r="H125">
        <f t="shared" si="46"/>
        <v>6</v>
      </c>
      <c r="I125">
        <f t="shared" si="46"/>
        <v>2</v>
      </c>
      <c r="J125">
        <f t="shared" si="46"/>
        <v>24</v>
      </c>
      <c r="K125">
        <f t="shared" si="46"/>
        <v>3</v>
      </c>
      <c r="L125">
        <f t="shared" si="46"/>
        <v>2</v>
      </c>
      <c r="M125">
        <f t="shared" si="46"/>
        <v>6</v>
      </c>
      <c r="N125">
        <f t="shared" si="46"/>
        <v>2</v>
      </c>
      <c r="O125">
        <f t="shared" si="46"/>
        <v>0</v>
      </c>
      <c r="P125">
        <f t="shared" si="47"/>
        <v>0</v>
      </c>
      <c r="Q125">
        <f t="shared" si="47"/>
        <v>3</v>
      </c>
      <c r="R125">
        <f t="shared" si="47"/>
        <v>5</v>
      </c>
      <c r="S125">
        <f t="shared" si="47"/>
        <v>3</v>
      </c>
      <c r="T125">
        <f t="shared" si="47"/>
        <v>10</v>
      </c>
      <c r="U125">
        <f t="shared" si="47"/>
        <v>2</v>
      </c>
      <c r="V125">
        <f t="shared" si="47"/>
        <v>0</v>
      </c>
      <c r="W125">
        <f t="shared" si="47"/>
        <v>12</v>
      </c>
      <c r="X125">
        <f t="shared" si="47"/>
        <v>10</v>
      </c>
      <c r="Y125">
        <f t="shared" si="47"/>
        <v>12</v>
      </c>
      <c r="Z125">
        <f t="shared" si="48"/>
        <v>1</v>
      </c>
      <c r="AA125">
        <f t="shared" si="48"/>
        <v>2</v>
      </c>
      <c r="AB125">
        <f t="shared" si="48"/>
        <v>0</v>
      </c>
      <c r="AC125">
        <f t="shared" si="48"/>
        <v>0</v>
      </c>
      <c r="AD125">
        <f t="shared" si="48"/>
        <v>2</v>
      </c>
      <c r="AE125">
        <f t="shared" si="48"/>
        <v>0</v>
      </c>
      <c r="AF125" s="56">
        <f t="shared" si="28"/>
        <v>20</v>
      </c>
      <c r="AG125" s="59">
        <f t="shared" si="29"/>
        <v>6</v>
      </c>
      <c r="AH125">
        <f t="shared" si="30"/>
        <v>0.3</v>
      </c>
    </row>
    <row r="126" spans="1:34" ht="15" x14ac:dyDescent="0.2">
      <c r="A126">
        <v>395</v>
      </c>
      <c r="B126" s="57" t="s">
        <v>446</v>
      </c>
      <c r="C126" s="57"/>
      <c r="D126">
        <f t="shared" si="26"/>
        <v>150</v>
      </c>
      <c r="E126" s="1">
        <f t="shared" si="27"/>
        <v>24</v>
      </c>
      <c r="F126">
        <f t="shared" si="46"/>
        <v>12</v>
      </c>
      <c r="G126">
        <f t="shared" si="46"/>
        <v>2</v>
      </c>
      <c r="H126">
        <f t="shared" si="46"/>
        <v>3</v>
      </c>
      <c r="I126">
        <f t="shared" si="46"/>
        <v>0</v>
      </c>
      <c r="J126">
        <f t="shared" si="46"/>
        <v>9</v>
      </c>
      <c r="K126">
        <f t="shared" si="46"/>
        <v>0</v>
      </c>
      <c r="L126">
        <f t="shared" si="46"/>
        <v>1</v>
      </c>
      <c r="M126">
        <f t="shared" si="46"/>
        <v>8</v>
      </c>
      <c r="N126">
        <f t="shared" si="46"/>
        <v>8</v>
      </c>
      <c r="O126">
        <f t="shared" si="46"/>
        <v>0</v>
      </c>
      <c r="P126">
        <f t="shared" si="47"/>
        <v>4</v>
      </c>
      <c r="Q126">
        <f t="shared" si="47"/>
        <v>5</v>
      </c>
      <c r="R126">
        <f t="shared" si="47"/>
        <v>2</v>
      </c>
      <c r="S126">
        <f t="shared" si="47"/>
        <v>10</v>
      </c>
      <c r="T126">
        <f t="shared" si="47"/>
        <v>9</v>
      </c>
      <c r="U126">
        <f t="shared" si="47"/>
        <v>4</v>
      </c>
      <c r="V126">
        <f t="shared" si="47"/>
        <v>0</v>
      </c>
      <c r="W126">
        <f t="shared" si="47"/>
        <v>9</v>
      </c>
      <c r="X126">
        <f t="shared" si="47"/>
        <v>6</v>
      </c>
      <c r="Y126">
        <f t="shared" si="47"/>
        <v>12</v>
      </c>
      <c r="Z126">
        <f t="shared" si="48"/>
        <v>4</v>
      </c>
      <c r="AA126">
        <f t="shared" si="48"/>
        <v>0</v>
      </c>
      <c r="AB126">
        <f t="shared" si="48"/>
        <v>1</v>
      </c>
      <c r="AC126">
        <f t="shared" si="48"/>
        <v>0</v>
      </c>
      <c r="AD126">
        <f t="shared" si="48"/>
        <v>6</v>
      </c>
      <c r="AE126">
        <f t="shared" si="48"/>
        <v>1</v>
      </c>
      <c r="AF126" s="56">
        <f t="shared" si="28"/>
        <v>20</v>
      </c>
      <c r="AG126" s="59">
        <f t="shared" si="29"/>
        <v>6.25</v>
      </c>
      <c r="AH126">
        <f t="shared" si="30"/>
        <v>0.3125</v>
      </c>
    </row>
    <row r="127" spans="1:34" ht="15" x14ac:dyDescent="0.2">
      <c r="A127">
        <v>118</v>
      </c>
      <c r="B127" s="57" t="s">
        <v>183</v>
      </c>
      <c r="C127" s="57"/>
      <c r="D127">
        <f t="shared" si="26"/>
        <v>150</v>
      </c>
      <c r="E127" s="1">
        <f t="shared" si="27"/>
        <v>28</v>
      </c>
      <c r="F127">
        <f t="shared" si="46"/>
        <v>7</v>
      </c>
      <c r="G127">
        <f t="shared" si="46"/>
        <v>0</v>
      </c>
      <c r="H127">
        <f t="shared" si="46"/>
        <v>4</v>
      </c>
      <c r="I127">
        <f t="shared" si="46"/>
        <v>6</v>
      </c>
      <c r="J127">
        <f t="shared" si="46"/>
        <v>15</v>
      </c>
      <c r="K127">
        <f t="shared" si="46"/>
        <v>4</v>
      </c>
      <c r="L127">
        <f t="shared" si="46"/>
        <v>6</v>
      </c>
      <c r="M127">
        <f t="shared" si="46"/>
        <v>6</v>
      </c>
      <c r="N127">
        <f t="shared" si="46"/>
        <v>9</v>
      </c>
      <c r="O127">
        <f t="shared" si="46"/>
        <v>0</v>
      </c>
      <c r="P127">
        <f t="shared" si="47"/>
        <v>2</v>
      </c>
      <c r="Q127">
        <f t="shared" si="47"/>
        <v>2</v>
      </c>
      <c r="R127">
        <f t="shared" si="47"/>
        <v>1</v>
      </c>
      <c r="S127">
        <f t="shared" si="47"/>
        <v>8</v>
      </c>
      <c r="T127">
        <f t="shared" si="47"/>
        <v>8</v>
      </c>
      <c r="U127">
        <f t="shared" si="47"/>
        <v>3</v>
      </c>
      <c r="V127">
        <f t="shared" si="47"/>
        <v>0</v>
      </c>
      <c r="W127">
        <f t="shared" si="47"/>
        <v>5</v>
      </c>
      <c r="X127">
        <f t="shared" si="47"/>
        <v>12</v>
      </c>
      <c r="Y127">
        <f t="shared" si="47"/>
        <v>11</v>
      </c>
      <c r="Z127">
        <f t="shared" si="48"/>
        <v>4</v>
      </c>
      <c r="AA127">
        <f t="shared" si="48"/>
        <v>0</v>
      </c>
      <c r="AB127">
        <f t="shared" si="48"/>
        <v>4</v>
      </c>
      <c r="AC127">
        <f t="shared" si="48"/>
        <v>0</v>
      </c>
      <c r="AD127">
        <f t="shared" si="48"/>
        <v>2</v>
      </c>
      <c r="AE127">
        <f t="shared" si="48"/>
        <v>0</v>
      </c>
      <c r="AF127" s="56">
        <f t="shared" si="28"/>
        <v>20</v>
      </c>
      <c r="AG127" s="59">
        <f t="shared" si="29"/>
        <v>5.3571428571428568</v>
      </c>
      <c r="AH127">
        <f t="shared" si="30"/>
        <v>0.26785714285714285</v>
      </c>
    </row>
    <row r="128" spans="1:34" ht="15" x14ac:dyDescent="0.2">
      <c r="A128">
        <v>260</v>
      </c>
      <c r="B128" s="57" t="s">
        <v>632</v>
      </c>
      <c r="C128" s="57"/>
      <c r="D128">
        <f t="shared" si="26"/>
        <v>150</v>
      </c>
      <c r="E128" s="1">
        <f t="shared" si="27"/>
        <v>26</v>
      </c>
      <c r="F128">
        <f t="shared" si="46"/>
        <v>5</v>
      </c>
      <c r="G128">
        <f t="shared" si="46"/>
        <v>4</v>
      </c>
      <c r="H128">
        <f t="shared" si="46"/>
        <v>3</v>
      </c>
      <c r="I128">
        <f t="shared" si="46"/>
        <v>3</v>
      </c>
      <c r="J128">
        <f t="shared" si="46"/>
        <v>17</v>
      </c>
      <c r="K128">
        <f t="shared" si="46"/>
        <v>3</v>
      </c>
      <c r="L128">
        <f t="shared" si="46"/>
        <v>2</v>
      </c>
      <c r="M128">
        <f t="shared" si="46"/>
        <v>10</v>
      </c>
      <c r="N128">
        <f t="shared" si="46"/>
        <v>10</v>
      </c>
      <c r="O128">
        <f t="shared" si="46"/>
        <v>1</v>
      </c>
      <c r="P128">
        <f t="shared" si="47"/>
        <v>1</v>
      </c>
      <c r="Q128">
        <f t="shared" si="47"/>
        <v>2</v>
      </c>
      <c r="R128">
        <f t="shared" si="47"/>
        <v>3</v>
      </c>
      <c r="S128">
        <f t="shared" si="47"/>
        <v>11</v>
      </c>
      <c r="T128">
        <f t="shared" si="47"/>
        <v>8</v>
      </c>
      <c r="U128">
        <f t="shared" si="47"/>
        <v>0</v>
      </c>
      <c r="V128">
        <f t="shared" si="47"/>
        <v>0</v>
      </c>
      <c r="W128">
        <f t="shared" si="47"/>
        <v>11</v>
      </c>
      <c r="X128">
        <f t="shared" si="47"/>
        <v>9</v>
      </c>
      <c r="Y128">
        <f t="shared" si="47"/>
        <v>9</v>
      </c>
      <c r="Z128">
        <f t="shared" si="48"/>
        <v>5</v>
      </c>
      <c r="AA128">
        <f t="shared" si="48"/>
        <v>1</v>
      </c>
      <c r="AB128">
        <f t="shared" si="48"/>
        <v>2</v>
      </c>
      <c r="AC128">
        <f t="shared" si="48"/>
        <v>0</v>
      </c>
      <c r="AD128">
        <f t="shared" si="48"/>
        <v>0</v>
      </c>
      <c r="AE128">
        <f t="shared" si="48"/>
        <v>0</v>
      </c>
      <c r="AF128" s="56">
        <f t="shared" si="28"/>
        <v>21</v>
      </c>
      <c r="AG128" s="59">
        <f t="shared" si="29"/>
        <v>5.7692307692307692</v>
      </c>
      <c r="AH128">
        <f t="shared" si="30"/>
        <v>0.27472527472527475</v>
      </c>
    </row>
    <row r="129" spans="1:34" ht="15" x14ac:dyDescent="0.2">
      <c r="A129">
        <v>251</v>
      </c>
      <c r="B129" s="57" t="s">
        <v>314</v>
      </c>
      <c r="C129" s="57"/>
      <c r="D129">
        <f t="shared" si="26"/>
        <v>149</v>
      </c>
      <c r="E129" s="1">
        <f t="shared" si="27"/>
        <v>26</v>
      </c>
      <c r="F129">
        <f t="shared" si="46"/>
        <v>9</v>
      </c>
      <c r="G129">
        <f t="shared" si="46"/>
        <v>0</v>
      </c>
      <c r="H129">
        <f t="shared" si="46"/>
        <v>1</v>
      </c>
      <c r="I129">
        <f t="shared" si="46"/>
        <v>4</v>
      </c>
      <c r="J129">
        <f t="shared" si="46"/>
        <v>12</v>
      </c>
      <c r="K129">
        <f t="shared" si="46"/>
        <v>1</v>
      </c>
      <c r="L129">
        <f t="shared" si="46"/>
        <v>2</v>
      </c>
      <c r="M129">
        <f t="shared" si="46"/>
        <v>5</v>
      </c>
      <c r="N129">
        <f t="shared" si="46"/>
        <v>15</v>
      </c>
      <c r="O129">
        <f t="shared" si="46"/>
        <v>0</v>
      </c>
      <c r="P129">
        <f t="shared" si="47"/>
        <v>0</v>
      </c>
      <c r="Q129">
        <f t="shared" si="47"/>
        <v>3</v>
      </c>
      <c r="R129">
        <f t="shared" si="47"/>
        <v>4</v>
      </c>
      <c r="S129">
        <f t="shared" si="47"/>
        <v>11</v>
      </c>
      <c r="T129">
        <f t="shared" si="47"/>
        <v>6</v>
      </c>
      <c r="U129">
        <f t="shared" si="47"/>
        <v>3</v>
      </c>
      <c r="V129">
        <f t="shared" si="47"/>
        <v>1</v>
      </c>
      <c r="W129">
        <f t="shared" si="47"/>
        <v>10</v>
      </c>
      <c r="X129">
        <f t="shared" si="47"/>
        <v>6</v>
      </c>
      <c r="Y129">
        <f t="shared" si="47"/>
        <v>15</v>
      </c>
      <c r="Z129">
        <f t="shared" si="48"/>
        <v>5</v>
      </c>
      <c r="AA129">
        <f t="shared" si="48"/>
        <v>2</v>
      </c>
      <c r="AB129">
        <f t="shared" si="48"/>
        <v>1</v>
      </c>
      <c r="AC129">
        <f t="shared" si="48"/>
        <v>0</v>
      </c>
      <c r="AD129">
        <f t="shared" si="48"/>
        <v>1</v>
      </c>
      <c r="AE129">
        <f t="shared" si="48"/>
        <v>0</v>
      </c>
      <c r="AF129" s="56">
        <f t="shared" si="28"/>
        <v>21</v>
      </c>
      <c r="AG129" s="59">
        <f t="shared" si="29"/>
        <v>5.7307692307692308</v>
      </c>
      <c r="AH129">
        <f t="shared" si="30"/>
        <v>0.27289377289377292</v>
      </c>
    </row>
    <row r="130" spans="1:34" ht="15" x14ac:dyDescent="0.2">
      <c r="A130">
        <v>410</v>
      </c>
      <c r="B130" s="57" t="s">
        <v>460</v>
      </c>
      <c r="C130" s="57"/>
      <c r="D130">
        <f t="shared" ref="D130:D193" si="49">LEN(B130)</f>
        <v>148</v>
      </c>
      <c r="E130" s="1">
        <f t="shared" ref="E130:E193" si="50">IF(LEN(TRIM(B130))=0,0,LEN(TRIM(B130))-LEN(SUBSTITUTE(B130," ",""))+1)</f>
        <v>26</v>
      </c>
      <c r="F130">
        <f t="shared" si="46"/>
        <v>16</v>
      </c>
      <c r="G130">
        <f t="shared" si="46"/>
        <v>1</v>
      </c>
      <c r="H130">
        <f t="shared" si="46"/>
        <v>2</v>
      </c>
      <c r="I130">
        <f t="shared" si="46"/>
        <v>7</v>
      </c>
      <c r="J130">
        <f t="shared" si="46"/>
        <v>12</v>
      </c>
      <c r="K130">
        <f t="shared" si="46"/>
        <v>5</v>
      </c>
      <c r="L130">
        <f t="shared" si="46"/>
        <v>2</v>
      </c>
      <c r="M130">
        <f t="shared" si="46"/>
        <v>5</v>
      </c>
      <c r="N130">
        <f t="shared" si="46"/>
        <v>5</v>
      </c>
      <c r="O130">
        <f t="shared" si="46"/>
        <v>0</v>
      </c>
      <c r="P130">
        <f t="shared" si="47"/>
        <v>4</v>
      </c>
      <c r="Q130">
        <f t="shared" si="47"/>
        <v>3</v>
      </c>
      <c r="R130">
        <f t="shared" si="47"/>
        <v>7</v>
      </c>
      <c r="S130">
        <f t="shared" si="47"/>
        <v>8</v>
      </c>
      <c r="T130">
        <f t="shared" si="47"/>
        <v>7</v>
      </c>
      <c r="U130">
        <f t="shared" si="47"/>
        <v>1</v>
      </c>
      <c r="V130">
        <f t="shared" si="47"/>
        <v>0</v>
      </c>
      <c r="W130">
        <f t="shared" si="47"/>
        <v>11</v>
      </c>
      <c r="X130">
        <f t="shared" si="47"/>
        <v>6</v>
      </c>
      <c r="Y130">
        <f t="shared" si="47"/>
        <v>5</v>
      </c>
      <c r="Z130">
        <f t="shared" si="48"/>
        <v>7</v>
      </c>
      <c r="AA130">
        <f t="shared" si="48"/>
        <v>0</v>
      </c>
      <c r="AB130">
        <f t="shared" si="48"/>
        <v>0</v>
      </c>
      <c r="AC130">
        <f t="shared" si="48"/>
        <v>0</v>
      </c>
      <c r="AD130">
        <f t="shared" si="48"/>
        <v>3</v>
      </c>
      <c r="AE130">
        <f t="shared" si="48"/>
        <v>0</v>
      </c>
      <c r="AF130" s="56">
        <f t="shared" ref="AF130:AF193" si="51">26-COUNTIF(F130:AE130,0)</f>
        <v>20</v>
      </c>
      <c r="AG130" s="59">
        <f t="shared" ref="AG130:AG193" si="52">D130/E130</f>
        <v>5.6923076923076925</v>
      </c>
      <c r="AH130">
        <f t="shared" ref="AH130:AH193" si="53">AG130/AF130</f>
        <v>0.2846153846153846</v>
      </c>
    </row>
    <row r="131" spans="1:34" ht="15" x14ac:dyDescent="0.2">
      <c r="A131">
        <v>27</v>
      </c>
      <c r="B131" s="57" t="s">
        <v>92</v>
      </c>
      <c r="C131" s="57"/>
      <c r="D131">
        <f t="shared" si="49"/>
        <v>148</v>
      </c>
      <c r="E131" s="1">
        <f t="shared" si="50"/>
        <v>27</v>
      </c>
      <c r="F131">
        <f t="shared" si="46"/>
        <v>9</v>
      </c>
      <c r="G131">
        <f t="shared" si="46"/>
        <v>1</v>
      </c>
      <c r="H131">
        <f t="shared" si="46"/>
        <v>4</v>
      </c>
      <c r="I131">
        <f t="shared" si="46"/>
        <v>2</v>
      </c>
      <c r="J131">
        <f t="shared" si="46"/>
        <v>16</v>
      </c>
      <c r="K131">
        <f t="shared" si="46"/>
        <v>1</v>
      </c>
      <c r="L131">
        <f t="shared" si="46"/>
        <v>0</v>
      </c>
      <c r="M131">
        <f t="shared" si="46"/>
        <v>9</v>
      </c>
      <c r="N131">
        <f t="shared" si="46"/>
        <v>11</v>
      </c>
      <c r="O131">
        <f t="shared" si="46"/>
        <v>0</v>
      </c>
      <c r="P131">
        <f t="shared" si="47"/>
        <v>1</v>
      </c>
      <c r="Q131">
        <f t="shared" si="47"/>
        <v>4</v>
      </c>
      <c r="R131">
        <f t="shared" si="47"/>
        <v>4</v>
      </c>
      <c r="S131">
        <f t="shared" si="47"/>
        <v>4</v>
      </c>
      <c r="T131">
        <f t="shared" si="47"/>
        <v>11</v>
      </c>
      <c r="U131">
        <f t="shared" si="47"/>
        <v>0</v>
      </c>
      <c r="V131">
        <f t="shared" si="47"/>
        <v>0</v>
      </c>
      <c r="W131">
        <f t="shared" si="47"/>
        <v>6</v>
      </c>
      <c r="X131">
        <f t="shared" si="47"/>
        <v>6</v>
      </c>
      <c r="Y131">
        <f t="shared" si="47"/>
        <v>7</v>
      </c>
      <c r="Z131">
        <f t="shared" si="48"/>
        <v>6</v>
      </c>
      <c r="AA131">
        <f t="shared" si="48"/>
        <v>1</v>
      </c>
      <c r="AB131">
        <f t="shared" si="48"/>
        <v>4</v>
      </c>
      <c r="AC131">
        <f t="shared" si="48"/>
        <v>0</v>
      </c>
      <c r="AD131">
        <f t="shared" si="48"/>
        <v>7</v>
      </c>
      <c r="AE131">
        <f t="shared" si="48"/>
        <v>2</v>
      </c>
      <c r="AF131" s="56">
        <f t="shared" si="51"/>
        <v>21</v>
      </c>
      <c r="AG131" s="59">
        <f t="shared" si="52"/>
        <v>5.4814814814814818</v>
      </c>
      <c r="AH131">
        <f t="shared" si="53"/>
        <v>0.2610229276895944</v>
      </c>
    </row>
    <row r="132" spans="1:34" ht="15" x14ac:dyDescent="0.2">
      <c r="A132">
        <v>574</v>
      </c>
      <c r="B132" s="57" t="s">
        <v>595</v>
      </c>
      <c r="C132" s="57"/>
      <c r="D132">
        <f t="shared" si="49"/>
        <v>148</v>
      </c>
      <c r="E132" s="1">
        <f t="shared" si="50"/>
        <v>28</v>
      </c>
      <c r="F132">
        <f t="shared" ref="F132:O141" si="54">LEN($B132)-LEN(SUBSTITUTE($B132,F$1,""))</f>
        <v>10</v>
      </c>
      <c r="G132">
        <f t="shared" si="54"/>
        <v>4</v>
      </c>
      <c r="H132">
        <f t="shared" si="54"/>
        <v>4</v>
      </c>
      <c r="I132">
        <f t="shared" si="54"/>
        <v>2</v>
      </c>
      <c r="J132">
        <f t="shared" si="54"/>
        <v>11</v>
      </c>
      <c r="K132">
        <f t="shared" si="54"/>
        <v>5</v>
      </c>
      <c r="L132">
        <f t="shared" si="54"/>
        <v>0</v>
      </c>
      <c r="M132">
        <f t="shared" si="54"/>
        <v>3</v>
      </c>
      <c r="N132">
        <f t="shared" si="54"/>
        <v>7</v>
      </c>
      <c r="O132">
        <f t="shared" si="54"/>
        <v>2</v>
      </c>
      <c r="P132">
        <f t="shared" ref="P132:Y141" si="55">LEN($B132)-LEN(SUBSTITUTE($B132,P$1,""))</f>
        <v>2</v>
      </c>
      <c r="Q132">
        <f t="shared" si="55"/>
        <v>6</v>
      </c>
      <c r="R132">
        <f t="shared" si="55"/>
        <v>5</v>
      </c>
      <c r="S132">
        <f t="shared" si="55"/>
        <v>5</v>
      </c>
      <c r="T132">
        <f t="shared" si="55"/>
        <v>11</v>
      </c>
      <c r="U132">
        <f t="shared" si="55"/>
        <v>2</v>
      </c>
      <c r="V132">
        <f t="shared" si="55"/>
        <v>0</v>
      </c>
      <c r="W132">
        <f t="shared" si="55"/>
        <v>11</v>
      </c>
      <c r="X132">
        <f t="shared" si="55"/>
        <v>10</v>
      </c>
      <c r="Y132">
        <f t="shared" si="55"/>
        <v>9</v>
      </c>
      <c r="Z132">
        <f t="shared" ref="Z132:AE141" si="56">LEN($B132)-LEN(SUBSTITUTE($B132,Z$1,""))</f>
        <v>2</v>
      </c>
      <c r="AA132">
        <f t="shared" si="56"/>
        <v>3</v>
      </c>
      <c r="AB132">
        <f t="shared" si="56"/>
        <v>3</v>
      </c>
      <c r="AC132">
        <f t="shared" si="56"/>
        <v>0</v>
      </c>
      <c r="AD132">
        <f t="shared" si="56"/>
        <v>2</v>
      </c>
      <c r="AE132">
        <f t="shared" si="56"/>
        <v>0</v>
      </c>
      <c r="AF132" s="56">
        <f t="shared" si="51"/>
        <v>22</v>
      </c>
      <c r="AG132" s="59">
        <f t="shared" si="52"/>
        <v>5.2857142857142856</v>
      </c>
      <c r="AH132">
        <f t="shared" si="53"/>
        <v>0.24025974025974026</v>
      </c>
    </row>
    <row r="133" spans="1:34" ht="15" x14ac:dyDescent="0.2">
      <c r="A133">
        <v>302</v>
      </c>
      <c r="B133" s="57" t="s">
        <v>362</v>
      </c>
      <c r="C133" s="57"/>
      <c r="D133">
        <f t="shared" si="49"/>
        <v>147</v>
      </c>
      <c r="E133" s="1">
        <f t="shared" si="50"/>
        <v>27</v>
      </c>
      <c r="F133">
        <f t="shared" si="54"/>
        <v>9</v>
      </c>
      <c r="G133">
        <f t="shared" si="54"/>
        <v>0</v>
      </c>
      <c r="H133">
        <f t="shared" si="54"/>
        <v>4</v>
      </c>
      <c r="I133">
        <f t="shared" si="54"/>
        <v>0</v>
      </c>
      <c r="J133">
        <f t="shared" si="54"/>
        <v>21</v>
      </c>
      <c r="K133">
        <f t="shared" si="54"/>
        <v>2</v>
      </c>
      <c r="L133">
        <f t="shared" si="54"/>
        <v>4</v>
      </c>
      <c r="M133">
        <f t="shared" si="54"/>
        <v>8</v>
      </c>
      <c r="N133">
        <f t="shared" si="54"/>
        <v>6</v>
      </c>
      <c r="O133">
        <f t="shared" si="54"/>
        <v>0</v>
      </c>
      <c r="P133">
        <f t="shared" si="55"/>
        <v>0</v>
      </c>
      <c r="Q133">
        <f t="shared" si="55"/>
        <v>7</v>
      </c>
      <c r="R133">
        <f t="shared" si="55"/>
        <v>5</v>
      </c>
      <c r="S133">
        <f t="shared" si="55"/>
        <v>5</v>
      </c>
      <c r="T133">
        <f t="shared" si="55"/>
        <v>8</v>
      </c>
      <c r="U133">
        <f t="shared" si="55"/>
        <v>5</v>
      </c>
      <c r="V133">
        <f t="shared" si="55"/>
        <v>0</v>
      </c>
      <c r="W133">
        <f t="shared" si="55"/>
        <v>12</v>
      </c>
      <c r="X133">
        <f t="shared" si="55"/>
        <v>6</v>
      </c>
      <c r="Y133">
        <f t="shared" si="55"/>
        <v>10</v>
      </c>
      <c r="Z133">
        <f t="shared" si="56"/>
        <v>3</v>
      </c>
      <c r="AA133">
        <f t="shared" si="56"/>
        <v>2</v>
      </c>
      <c r="AB133">
        <f t="shared" si="56"/>
        <v>1</v>
      </c>
      <c r="AC133">
        <f t="shared" si="56"/>
        <v>0</v>
      </c>
      <c r="AD133">
        <f t="shared" si="56"/>
        <v>0</v>
      </c>
      <c r="AE133">
        <f t="shared" si="56"/>
        <v>0</v>
      </c>
      <c r="AF133" s="56">
        <f t="shared" si="51"/>
        <v>18</v>
      </c>
      <c r="AG133" s="59">
        <f t="shared" si="52"/>
        <v>5.4444444444444446</v>
      </c>
      <c r="AH133">
        <f t="shared" si="53"/>
        <v>0.30246913580246915</v>
      </c>
    </row>
    <row r="134" spans="1:34" ht="15" x14ac:dyDescent="0.2">
      <c r="A134">
        <v>419</v>
      </c>
      <c r="B134" s="57" t="s">
        <v>467</v>
      </c>
      <c r="C134" s="57"/>
      <c r="D134">
        <f t="shared" si="49"/>
        <v>147</v>
      </c>
      <c r="E134" s="1">
        <f t="shared" si="50"/>
        <v>30</v>
      </c>
      <c r="F134">
        <f t="shared" si="54"/>
        <v>8</v>
      </c>
      <c r="G134">
        <f t="shared" si="54"/>
        <v>1</v>
      </c>
      <c r="H134">
        <f t="shared" si="54"/>
        <v>1</v>
      </c>
      <c r="I134">
        <f t="shared" si="54"/>
        <v>6</v>
      </c>
      <c r="J134">
        <f t="shared" si="54"/>
        <v>11</v>
      </c>
      <c r="K134">
        <f t="shared" si="54"/>
        <v>2</v>
      </c>
      <c r="L134">
        <f t="shared" si="54"/>
        <v>3</v>
      </c>
      <c r="M134">
        <f t="shared" si="54"/>
        <v>4</v>
      </c>
      <c r="N134">
        <f t="shared" si="54"/>
        <v>8</v>
      </c>
      <c r="O134">
        <f t="shared" si="54"/>
        <v>0</v>
      </c>
      <c r="P134">
        <f t="shared" si="55"/>
        <v>0</v>
      </c>
      <c r="Q134">
        <f t="shared" si="55"/>
        <v>3</v>
      </c>
      <c r="R134">
        <f t="shared" si="55"/>
        <v>3</v>
      </c>
      <c r="S134">
        <f t="shared" si="55"/>
        <v>8</v>
      </c>
      <c r="T134">
        <f t="shared" si="55"/>
        <v>10</v>
      </c>
      <c r="U134">
        <f t="shared" si="55"/>
        <v>1</v>
      </c>
      <c r="V134">
        <f t="shared" si="55"/>
        <v>0</v>
      </c>
      <c r="W134">
        <f t="shared" si="55"/>
        <v>10</v>
      </c>
      <c r="X134">
        <f t="shared" si="55"/>
        <v>8</v>
      </c>
      <c r="Y134">
        <f t="shared" si="55"/>
        <v>15</v>
      </c>
      <c r="Z134">
        <f t="shared" si="56"/>
        <v>8</v>
      </c>
      <c r="AA134">
        <f t="shared" si="56"/>
        <v>0</v>
      </c>
      <c r="AB134">
        <f t="shared" si="56"/>
        <v>2</v>
      </c>
      <c r="AC134">
        <f t="shared" si="56"/>
        <v>0</v>
      </c>
      <c r="AD134">
        <f t="shared" si="56"/>
        <v>3</v>
      </c>
      <c r="AE134">
        <f t="shared" si="56"/>
        <v>0</v>
      </c>
      <c r="AF134" s="56">
        <f t="shared" si="51"/>
        <v>20</v>
      </c>
      <c r="AG134" s="59">
        <f t="shared" si="52"/>
        <v>4.9000000000000004</v>
      </c>
      <c r="AH134">
        <f t="shared" si="53"/>
        <v>0.24500000000000002</v>
      </c>
    </row>
    <row r="135" spans="1:34" ht="15" x14ac:dyDescent="0.2">
      <c r="A135">
        <v>375</v>
      </c>
      <c r="B135" s="57" t="s">
        <v>430</v>
      </c>
      <c r="C135" s="57"/>
      <c r="D135">
        <f t="shared" si="49"/>
        <v>147</v>
      </c>
      <c r="E135" s="1">
        <f t="shared" si="50"/>
        <v>28</v>
      </c>
      <c r="F135">
        <f t="shared" si="54"/>
        <v>7</v>
      </c>
      <c r="G135">
        <f t="shared" si="54"/>
        <v>0</v>
      </c>
      <c r="H135">
        <f t="shared" si="54"/>
        <v>4</v>
      </c>
      <c r="I135">
        <f t="shared" si="54"/>
        <v>5</v>
      </c>
      <c r="J135">
        <f t="shared" si="54"/>
        <v>17</v>
      </c>
      <c r="K135">
        <f t="shared" si="54"/>
        <v>3</v>
      </c>
      <c r="L135">
        <f t="shared" si="54"/>
        <v>2</v>
      </c>
      <c r="M135">
        <f t="shared" si="54"/>
        <v>6</v>
      </c>
      <c r="N135">
        <f t="shared" si="54"/>
        <v>8</v>
      </c>
      <c r="O135">
        <f t="shared" si="54"/>
        <v>0</v>
      </c>
      <c r="P135">
        <f t="shared" si="55"/>
        <v>1</v>
      </c>
      <c r="Q135">
        <f t="shared" si="55"/>
        <v>1</v>
      </c>
      <c r="R135">
        <f t="shared" si="55"/>
        <v>2</v>
      </c>
      <c r="S135">
        <f t="shared" si="55"/>
        <v>8</v>
      </c>
      <c r="T135">
        <f t="shared" si="55"/>
        <v>11</v>
      </c>
      <c r="U135">
        <f t="shared" si="55"/>
        <v>5</v>
      </c>
      <c r="V135">
        <f t="shared" si="55"/>
        <v>0</v>
      </c>
      <c r="W135">
        <f t="shared" si="55"/>
        <v>5</v>
      </c>
      <c r="X135">
        <f t="shared" si="55"/>
        <v>5</v>
      </c>
      <c r="Y135">
        <f t="shared" si="55"/>
        <v>13</v>
      </c>
      <c r="Z135">
        <f t="shared" si="56"/>
        <v>6</v>
      </c>
      <c r="AA135">
        <f t="shared" si="56"/>
        <v>1</v>
      </c>
      <c r="AB135">
        <f t="shared" si="56"/>
        <v>1</v>
      </c>
      <c r="AC135">
        <f t="shared" si="56"/>
        <v>0</v>
      </c>
      <c r="AD135">
        <f t="shared" si="56"/>
        <v>5</v>
      </c>
      <c r="AE135">
        <f t="shared" si="56"/>
        <v>1</v>
      </c>
      <c r="AF135" s="56">
        <f t="shared" si="51"/>
        <v>22</v>
      </c>
      <c r="AG135" s="59">
        <f t="shared" si="52"/>
        <v>5.25</v>
      </c>
      <c r="AH135">
        <f t="shared" si="53"/>
        <v>0.23863636363636365</v>
      </c>
    </row>
    <row r="136" spans="1:34" ht="15" x14ac:dyDescent="0.2">
      <c r="A136">
        <v>372</v>
      </c>
      <c r="B136" s="57" t="s">
        <v>428</v>
      </c>
      <c r="C136" s="57"/>
      <c r="D136">
        <f t="shared" si="49"/>
        <v>147</v>
      </c>
      <c r="E136" s="1">
        <f t="shared" si="50"/>
        <v>28</v>
      </c>
      <c r="F136">
        <f t="shared" si="54"/>
        <v>10</v>
      </c>
      <c r="G136">
        <f t="shared" si="54"/>
        <v>3</v>
      </c>
      <c r="H136">
        <f t="shared" si="54"/>
        <v>1</v>
      </c>
      <c r="I136">
        <f t="shared" si="54"/>
        <v>0</v>
      </c>
      <c r="J136">
        <f t="shared" si="54"/>
        <v>15</v>
      </c>
      <c r="K136">
        <f t="shared" si="54"/>
        <v>1</v>
      </c>
      <c r="L136">
        <f t="shared" si="54"/>
        <v>1</v>
      </c>
      <c r="M136">
        <f t="shared" si="54"/>
        <v>4</v>
      </c>
      <c r="N136">
        <f t="shared" si="54"/>
        <v>9</v>
      </c>
      <c r="O136">
        <f t="shared" si="54"/>
        <v>0</v>
      </c>
      <c r="P136">
        <f t="shared" si="55"/>
        <v>2</v>
      </c>
      <c r="Q136">
        <f t="shared" si="55"/>
        <v>4</v>
      </c>
      <c r="R136">
        <f t="shared" si="55"/>
        <v>4</v>
      </c>
      <c r="S136">
        <f t="shared" si="55"/>
        <v>9</v>
      </c>
      <c r="T136">
        <f t="shared" si="55"/>
        <v>9</v>
      </c>
      <c r="U136">
        <f t="shared" si="55"/>
        <v>1</v>
      </c>
      <c r="V136">
        <f t="shared" si="55"/>
        <v>0</v>
      </c>
      <c r="W136">
        <f t="shared" si="55"/>
        <v>5</v>
      </c>
      <c r="X136">
        <f t="shared" si="55"/>
        <v>9</v>
      </c>
      <c r="Y136">
        <f t="shared" si="55"/>
        <v>10</v>
      </c>
      <c r="Z136">
        <f t="shared" si="56"/>
        <v>2</v>
      </c>
      <c r="AA136">
        <f t="shared" si="56"/>
        <v>2</v>
      </c>
      <c r="AB136">
        <f t="shared" si="56"/>
        <v>3</v>
      </c>
      <c r="AC136">
        <f t="shared" si="56"/>
        <v>1</v>
      </c>
      <c r="AD136">
        <f t="shared" si="56"/>
        <v>4</v>
      </c>
      <c r="AE136">
        <f t="shared" si="56"/>
        <v>0</v>
      </c>
      <c r="AF136" s="56">
        <f t="shared" si="51"/>
        <v>22</v>
      </c>
      <c r="AG136" s="59">
        <f t="shared" si="52"/>
        <v>5.25</v>
      </c>
      <c r="AH136">
        <f t="shared" si="53"/>
        <v>0.23863636363636365</v>
      </c>
    </row>
    <row r="137" spans="1:34" ht="15" x14ac:dyDescent="0.2">
      <c r="A137">
        <v>304</v>
      </c>
      <c r="B137" s="57" t="s">
        <v>364</v>
      </c>
      <c r="C137" s="57"/>
      <c r="D137">
        <f t="shared" si="49"/>
        <v>147</v>
      </c>
      <c r="E137" s="1">
        <f t="shared" si="50"/>
        <v>26</v>
      </c>
      <c r="F137">
        <f t="shared" si="54"/>
        <v>5</v>
      </c>
      <c r="G137">
        <f t="shared" si="54"/>
        <v>3</v>
      </c>
      <c r="H137">
        <f t="shared" si="54"/>
        <v>3</v>
      </c>
      <c r="I137">
        <f t="shared" si="54"/>
        <v>7</v>
      </c>
      <c r="J137">
        <f t="shared" si="54"/>
        <v>22</v>
      </c>
      <c r="K137">
        <f t="shared" si="54"/>
        <v>3</v>
      </c>
      <c r="L137">
        <f t="shared" si="54"/>
        <v>2</v>
      </c>
      <c r="M137">
        <f t="shared" si="54"/>
        <v>3</v>
      </c>
      <c r="N137">
        <f t="shared" si="54"/>
        <v>10</v>
      </c>
      <c r="O137">
        <f t="shared" si="54"/>
        <v>0</v>
      </c>
      <c r="P137">
        <f t="shared" si="55"/>
        <v>1</v>
      </c>
      <c r="Q137">
        <f t="shared" si="55"/>
        <v>4</v>
      </c>
      <c r="R137">
        <f t="shared" si="55"/>
        <v>1</v>
      </c>
      <c r="S137">
        <f t="shared" si="55"/>
        <v>8</v>
      </c>
      <c r="T137">
        <f t="shared" si="55"/>
        <v>3</v>
      </c>
      <c r="U137">
        <f t="shared" si="55"/>
        <v>1</v>
      </c>
      <c r="V137">
        <f t="shared" si="55"/>
        <v>0</v>
      </c>
      <c r="W137">
        <f t="shared" si="55"/>
        <v>5</v>
      </c>
      <c r="X137">
        <f t="shared" si="55"/>
        <v>9</v>
      </c>
      <c r="Y137">
        <f t="shared" si="55"/>
        <v>9</v>
      </c>
      <c r="Z137">
        <f t="shared" si="56"/>
        <v>2</v>
      </c>
      <c r="AA137">
        <f t="shared" si="56"/>
        <v>3</v>
      </c>
      <c r="AB137">
        <f t="shared" si="56"/>
        <v>5</v>
      </c>
      <c r="AC137">
        <f t="shared" si="56"/>
        <v>1</v>
      </c>
      <c r="AD137">
        <f t="shared" si="56"/>
        <v>1</v>
      </c>
      <c r="AE137">
        <f t="shared" si="56"/>
        <v>0</v>
      </c>
      <c r="AF137" s="56">
        <f t="shared" si="51"/>
        <v>23</v>
      </c>
      <c r="AG137" s="59">
        <f t="shared" si="52"/>
        <v>5.6538461538461542</v>
      </c>
      <c r="AH137">
        <f t="shared" si="53"/>
        <v>0.24581939799331104</v>
      </c>
    </row>
    <row r="138" spans="1:34" ht="15" x14ac:dyDescent="0.2">
      <c r="A138">
        <v>422</v>
      </c>
      <c r="B138" s="57" t="s">
        <v>469</v>
      </c>
      <c r="C138" s="57"/>
      <c r="D138">
        <f t="shared" si="49"/>
        <v>146</v>
      </c>
      <c r="E138" s="1">
        <f t="shared" si="50"/>
        <v>28</v>
      </c>
      <c r="F138">
        <f t="shared" si="54"/>
        <v>10</v>
      </c>
      <c r="G138">
        <f t="shared" si="54"/>
        <v>5</v>
      </c>
      <c r="H138">
        <f t="shared" si="54"/>
        <v>5</v>
      </c>
      <c r="I138">
        <f t="shared" si="54"/>
        <v>1</v>
      </c>
      <c r="J138">
        <f t="shared" si="54"/>
        <v>12</v>
      </c>
      <c r="K138">
        <f t="shared" si="54"/>
        <v>3</v>
      </c>
      <c r="L138">
        <f t="shared" si="54"/>
        <v>2</v>
      </c>
      <c r="M138">
        <f t="shared" si="54"/>
        <v>3</v>
      </c>
      <c r="N138">
        <f t="shared" si="54"/>
        <v>15</v>
      </c>
      <c r="O138">
        <f t="shared" si="54"/>
        <v>0</v>
      </c>
      <c r="P138">
        <f t="shared" si="55"/>
        <v>0</v>
      </c>
      <c r="Q138">
        <f t="shared" si="55"/>
        <v>6</v>
      </c>
      <c r="R138">
        <f t="shared" si="55"/>
        <v>1</v>
      </c>
      <c r="S138">
        <f t="shared" si="55"/>
        <v>10</v>
      </c>
      <c r="T138">
        <f t="shared" si="55"/>
        <v>10</v>
      </c>
      <c r="U138">
        <f t="shared" si="55"/>
        <v>2</v>
      </c>
      <c r="V138">
        <f t="shared" si="55"/>
        <v>0</v>
      </c>
      <c r="W138">
        <f t="shared" si="55"/>
        <v>6</v>
      </c>
      <c r="X138">
        <f t="shared" si="55"/>
        <v>6</v>
      </c>
      <c r="Y138">
        <f t="shared" si="55"/>
        <v>10</v>
      </c>
      <c r="Z138">
        <f t="shared" si="56"/>
        <v>3</v>
      </c>
      <c r="AA138">
        <f t="shared" si="56"/>
        <v>2</v>
      </c>
      <c r="AB138">
        <f t="shared" si="56"/>
        <v>0</v>
      </c>
      <c r="AC138">
        <f t="shared" si="56"/>
        <v>0</v>
      </c>
      <c r="AD138">
        <f t="shared" si="56"/>
        <v>0</v>
      </c>
      <c r="AE138">
        <f t="shared" si="56"/>
        <v>1</v>
      </c>
      <c r="AF138" s="56">
        <f t="shared" si="51"/>
        <v>20</v>
      </c>
      <c r="AG138" s="59">
        <f t="shared" si="52"/>
        <v>5.2142857142857144</v>
      </c>
      <c r="AH138">
        <f t="shared" si="53"/>
        <v>0.26071428571428573</v>
      </c>
    </row>
    <row r="139" spans="1:34" ht="15" x14ac:dyDescent="0.2">
      <c r="A139">
        <v>599</v>
      </c>
      <c r="B139" s="57" t="s">
        <v>619</v>
      </c>
      <c r="C139" s="57"/>
      <c r="D139">
        <f t="shared" si="49"/>
        <v>146</v>
      </c>
      <c r="E139" s="1">
        <f t="shared" si="50"/>
        <v>21</v>
      </c>
      <c r="F139">
        <f t="shared" si="54"/>
        <v>9</v>
      </c>
      <c r="G139">
        <f t="shared" si="54"/>
        <v>0</v>
      </c>
      <c r="H139">
        <f t="shared" si="54"/>
        <v>3</v>
      </c>
      <c r="I139">
        <f t="shared" si="54"/>
        <v>4</v>
      </c>
      <c r="J139">
        <f t="shared" si="54"/>
        <v>14</v>
      </c>
      <c r="K139">
        <f t="shared" si="54"/>
        <v>1</v>
      </c>
      <c r="L139">
        <f t="shared" si="54"/>
        <v>10</v>
      </c>
      <c r="M139">
        <f t="shared" si="54"/>
        <v>5</v>
      </c>
      <c r="N139">
        <f t="shared" si="54"/>
        <v>11</v>
      </c>
      <c r="O139">
        <f t="shared" si="54"/>
        <v>0</v>
      </c>
      <c r="P139">
        <f t="shared" si="55"/>
        <v>1</v>
      </c>
      <c r="Q139">
        <f t="shared" si="55"/>
        <v>4</v>
      </c>
      <c r="R139">
        <f t="shared" si="55"/>
        <v>5</v>
      </c>
      <c r="S139">
        <f t="shared" si="55"/>
        <v>18</v>
      </c>
      <c r="T139">
        <f t="shared" si="55"/>
        <v>7</v>
      </c>
      <c r="U139">
        <f t="shared" si="55"/>
        <v>1</v>
      </c>
      <c r="V139">
        <f t="shared" si="55"/>
        <v>0</v>
      </c>
      <c r="W139">
        <f t="shared" si="55"/>
        <v>4</v>
      </c>
      <c r="X139">
        <f t="shared" si="55"/>
        <v>4</v>
      </c>
      <c r="Y139">
        <f t="shared" si="55"/>
        <v>9</v>
      </c>
      <c r="Z139">
        <f t="shared" si="56"/>
        <v>1</v>
      </c>
      <c r="AA139">
        <f t="shared" si="56"/>
        <v>3</v>
      </c>
      <c r="AB139">
        <f t="shared" si="56"/>
        <v>2</v>
      </c>
      <c r="AC139">
        <f t="shared" si="56"/>
        <v>0</v>
      </c>
      <c r="AD139">
        <f t="shared" si="56"/>
        <v>1</v>
      </c>
      <c r="AE139">
        <f t="shared" si="56"/>
        <v>0</v>
      </c>
      <c r="AF139" s="56">
        <f t="shared" si="51"/>
        <v>21</v>
      </c>
      <c r="AG139" s="59">
        <f t="shared" si="52"/>
        <v>6.9523809523809526</v>
      </c>
      <c r="AH139">
        <f t="shared" si="53"/>
        <v>0.33106575963718821</v>
      </c>
    </row>
    <row r="140" spans="1:34" ht="15" x14ac:dyDescent="0.2">
      <c r="A140">
        <v>536</v>
      </c>
      <c r="B140" s="57" t="s">
        <v>565</v>
      </c>
      <c r="C140" s="57"/>
      <c r="D140">
        <f t="shared" si="49"/>
        <v>146</v>
      </c>
      <c r="E140" s="1">
        <f t="shared" si="50"/>
        <v>29</v>
      </c>
      <c r="F140">
        <f t="shared" si="54"/>
        <v>12</v>
      </c>
      <c r="G140">
        <f t="shared" si="54"/>
        <v>0</v>
      </c>
      <c r="H140">
        <f t="shared" si="54"/>
        <v>3</v>
      </c>
      <c r="I140">
        <f t="shared" si="54"/>
        <v>5</v>
      </c>
      <c r="J140">
        <f t="shared" si="54"/>
        <v>11</v>
      </c>
      <c r="K140">
        <f t="shared" si="54"/>
        <v>0</v>
      </c>
      <c r="L140">
        <f t="shared" si="54"/>
        <v>3</v>
      </c>
      <c r="M140">
        <f t="shared" si="54"/>
        <v>7</v>
      </c>
      <c r="N140">
        <f t="shared" si="54"/>
        <v>10</v>
      </c>
      <c r="O140">
        <f t="shared" si="54"/>
        <v>2</v>
      </c>
      <c r="P140">
        <f t="shared" si="55"/>
        <v>4</v>
      </c>
      <c r="Q140">
        <f t="shared" si="55"/>
        <v>3</v>
      </c>
      <c r="R140">
        <f t="shared" si="55"/>
        <v>4</v>
      </c>
      <c r="S140">
        <f t="shared" si="55"/>
        <v>9</v>
      </c>
      <c r="T140">
        <f t="shared" si="55"/>
        <v>7</v>
      </c>
      <c r="U140">
        <f t="shared" si="55"/>
        <v>1</v>
      </c>
      <c r="V140">
        <f t="shared" si="55"/>
        <v>0</v>
      </c>
      <c r="W140">
        <f t="shared" si="55"/>
        <v>2</v>
      </c>
      <c r="X140">
        <f t="shared" si="55"/>
        <v>10</v>
      </c>
      <c r="Y140">
        <f t="shared" si="55"/>
        <v>12</v>
      </c>
      <c r="Z140">
        <f t="shared" si="56"/>
        <v>2</v>
      </c>
      <c r="AA140">
        <f t="shared" si="56"/>
        <v>2</v>
      </c>
      <c r="AB140">
        <f t="shared" si="56"/>
        <v>1</v>
      </c>
      <c r="AC140">
        <f t="shared" si="56"/>
        <v>0</v>
      </c>
      <c r="AD140">
        <f t="shared" si="56"/>
        <v>2</v>
      </c>
      <c r="AE140">
        <f t="shared" si="56"/>
        <v>0</v>
      </c>
      <c r="AF140" s="56">
        <f t="shared" si="51"/>
        <v>21</v>
      </c>
      <c r="AG140" s="59">
        <f t="shared" si="52"/>
        <v>5.0344827586206895</v>
      </c>
      <c r="AH140">
        <f t="shared" si="53"/>
        <v>0.23973727422003283</v>
      </c>
    </row>
    <row r="141" spans="1:34" ht="15" x14ac:dyDescent="0.2">
      <c r="A141">
        <v>282</v>
      </c>
      <c r="B141" s="57" t="s">
        <v>344</v>
      </c>
      <c r="C141" s="57"/>
      <c r="D141">
        <f t="shared" si="49"/>
        <v>145</v>
      </c>
      <c r="E141" s="1">
        <f t="shared" si="50"/>
        <v>24</v>
      </c>
      <c r="F141">
        <f t="shared" si="54"/>
        <v>14</v>
      </c>
      <c r="G141">
        <f t="shared" si="54"/>
        <v>1</v>
      </c>
      <c r="H141">
        <f t="shared" si="54"/>
        <v>2</v>
      </c>
      <c r="I141">
        <f t="shared" si="54"/>
        <v>4</v>
      </c>
      <c r="J141">
        <f t="shared" si="54"/>
        <v>11</v>
      </c>
      <c r="K141">
        <f t="shared" si="54"/>
        <v>1</v>
      </c>
      <c r="L141">
        <f t="shared" si="54"/>
        <v>6</v>
      </c>
      <c r="M141">
        <f t="shared" si="54"/>
        <v>3</v>
      </c>
      <c r="N141">
        <f t="shared" si="54"/>
        <v>10</v>
      </c>
      <c r="O141">
        <f t="shared" si="54"/>
        <v>1</v>
      </c>
      <c r="P141">
        <f t="shared" si="55"/>
        <v>1</v>
      </c>
      <c r="Q141">
        <f t="shared" si="55"/>
        <v>7</v>
      </c>
      <c r="R141">
        <f t="shared" si="55"/>
        <v>7</v>
      </c>
      <c r="S141">
        <f t="shared" si="55"/>
        <v>11</v>
      </c>
      <c r="T141">
        <f t="shared" si="55"/>
        <v>7</v>
      </c>
      <c r="U141">
        <f t="shared" si="55"/>
        <v>6</v>
      </c>
      <c r="V141">
        <f t="shared" si="55"/>
        <v>0</v>
      </c>
      <c r="W141">
        <f t="shared" si="55"/>
        <v>6</v>
      </c>
      <c r="X141">
        <f t="shared" si="55"/>
        <v>8</v>
      </c>
      <c r="Y141">
        <f t="shared" si="55"/>
        <v>5</v>
      </c>
      <c r="Z141">
        <f t="shared" si="56"/>
        <v>2</v>
      </c>
      <c r="AA141">
        <f t="shared" si="56"/>
        <v>1</v>
      </c>
      <c r="AB141">
        <f t="shared" si="56"/>
        <v>2</v>
      </c>
      <c r="AC141">
        <f t="shared" si="56"/>
        <v>0</v>
      </c>
      <c r="AD141">
        <f t="shared" si="56"/>
        <v>1</v>
      </c>
      <c r="AE141">
        <f t="shared" si="56"/>
        <v>0</v>
      </c>
      <c r="AF141" s="56">
        <f t="shared" si="51"/>
        <v>23</v>
      </c>
      <c r="AG141" s="59">
        <f t="shared" si="52"/>
        <v>6.041666666666667</v>
      </c>
      <c r="AH141">
        <f t="shared" si="53"/>
        <v>0.26268115942028986</v>
      </c>
    </row>
    <row r="142" spans="1:34" ht="15" x14ac:dyDescent="0.2">
      <c r="A142">
        <v>508</v>
      </c>
      <c r="B142" s="57" t="s">
        <v>543</v>
      </c>
      <c r="C142" s="57"/>
      <c r="D142">
        <f t="shared" si="49"/>
        <v>143</v>
      </c>
      <c r="E142" s="1">
        <f t="shared" si="50"/>
        <v>25</v>
      </c>
      <c r="F142">
        <f t="shared" ref="F142:O151" si="57">LEN($B142)-LEN(SUBSTITUTE($B142,F$1,""))</f>
        <v>7</v>
      </c>
      <c r="G142">
        <f t="shared" si="57"/>
        <v>1</v>
      </c>
      <c r="H142">
        <f t="shared" si="57"/>
        <v>3</v>
      </c>
      <c r="I142">
        <f t="shared" si="57"/>
        <v>6</v>
      </c>
      <c r="J142">
        <f t="shared" si="57"/>
        <v>12</v>
      </c>
      <c r="K142">
        <f t="shared" si="57"/>
        <v>3</v>
      </c>
      <c r="L142">
        <f t="shared" si="57"/>
        <v>2</v>
      </c>
      <c r="M142">
        <f t="shared" si="57"/>
        <v>4</v>
      </c>
      <c r="N142">
        <f t="shared" si="57"/>
        <v>9</v>
      </c>
      <c r="O142">
        <f t="shared" si="57"/>
        <v>0</v>
      </c>
      <c r="P142">
        <f t="shared" ref="P142:Y151" si="58">LEN($B142)-LEN(SUBSTITUTE($B142,P$1,""))</f>
        <v>0</v>
      </c>
      <c r="Q142">
        <f t="shared" si="58"/>
        <v>4</v>
      </c>
      <c r="R142">
        <f t="shared" si="58"/>
        <v>4</v>
      </c>
      <c r="S142">
        <f t="shared" si="58"/>
        <v>10</v>
      </c>
      <c r="T142">
        <f t="shared" si="58"/>
        <v>10</v>
      </c>
      <c r="U142">
        <f t="shared" si="58"/>
        <v>3</v>
      </c>
      <c r="V142">
        <f t="shared" si="58"/>
        <v>0</v>
      </c>
      <c r="W142">
        <f t="shared" si="58"/>
        <v>5</v>
      </c>
      <c r="X142">
        <f t="shared" si="58"/>
        <v>8</v>
      </c>
      <c r="Y142">
        <f t="shared" si="58"/>
        <v>8</v>
      </c>
      <c r="Z142">
        <f t="shared" ref="Z142:AE151" si="59">LEN($B142)-LEN(SUBSTITUTE($B142,Z$1,""))</f>
        <v>0</v>
      </c>
      <c r="AA142">
        <f t="shared" si="59"/>
        <v>2</v>
      </c>
      <c r="AB142">
        <f t="shared" si="59"/>
        <v>6</v>
      </c>
      <c r="AC142">
        <f t="shared" si="59"/>
        <v>0</v>
      </c>
      <c r="AD142">
        <f t="shared" si="59"/>
        <v>2</v>
      </c>
      <c r="AE142">
        <f t="shared" si="59"/>
        <v>0</v>
      </c>
      <c r="AF142" s="56">
        <f t="shared" si="51"/>
        <v>20</v>
      </c>
      <c r="AG142" s="59">
        <f t="shared" si="52"/>
        <v>5.72</v>
      </c>
      <c r="AH142">
        <f t="shared" si="53"/>
        <v>0.28599999999999998</v>
      </c>
    </row>
    <row r="143" spans="1:34" ht="15" x14ac:dyDescent="0.2">
      <c r="A143">
        <v>584</v>
      </c>
      <c r="B143" s="57" t="s">
        <v>605</v>
      </c>
      <c r="C143" s="57"/>
      <c r="D143">
        <f t="shared" si="49"/>
        <v>143</v>
      </c>
      <c r="E143" s="1">
        <f t="shared" si="50"/>
        <v>23</v>
      </c>
      <c r="F143">
        <f t="shared" si="57"/>
        <v>6</v>
      </c>
      <c r="G143">
        <f t="shared" si="57"/>
        <v>3</v>
      </c>
      <c r="H143">
        <f t="shared" si="57"/>
        <v>4</v>
      </c>
      <c r="I143">
        <f t="shared" si="57"/>
        <v>7</v>
      </c>
      <c r="J143">
        <f t="shared" si="57"/>
        <v>16</v>
      </c>
      <c r="K143">
        <f t="shared" si="57"/>
        <v>2</v>
      </c>
      <c r="L143">
        <f t="shared" si="57"/>
        <v>2</v>
      </c>
      <c r="M143">
        <f t="shared" si="57"/>
        <v>3</v>
      </c>
      <c r="N143">
        <f t="shared" si="57"/>
        <v>9</v>
      </c>
      <c r="O143">
        <f t="shared" si="57"/>
        <v>0</v>
      </c>
      <c r="P143">
        <f t="shared" si="58"/>
        <v>2</v>
      </c>
      <c r="Q143">
        <f t="shared" si="58"/>
        <v>6</v>
      </c>
      <c r="R143">
        <f t="shared" si="58"/>
        <v>4</v>
      </c>
      <c r="S143">
        <f t="shared" si="58"/>
        <v>9</v>
      </c>
      <c r="T143">
        <f t="shared" si="58"/>
        <v>10</v>
      </c>
      <c r="U143">
        <f t="shared" si="58"/>
        <v>3</v>
      </c>
      <c r="V143">
        <f t="shared" si="58"/>
        <v>0</v>
      </c>
      <c r="W143">
        <f t="shared" si="58"/>
        <v>10</v>
      </c>
      <c r="X143">
        <f t="shared" si="58"/>
        <v>4</v>
      </c>
      <c r="Y143">
        <f t="shared" si="58"/>
        <v>8</v>
      </c>
      <c r="Z143">
        <f t="shared" si="59"/>
        <v>3</v>
      </c>
      <c r="AA143">
        <f t="shared" si="59"/>
        <v>2</v>
      </c>
      <c r="AB143">
        <f t="shared" si="59"/>
        <v>1</v>
      </c>
      <c r="AC143">
        <f t="shared" si="59"/>
        <v>0</v>
      </c>
      <c r="AD143">
        <f t="shared" si="59"/>
        <v>1</v>
      </c>
      <c r="AE143">
        <f t="shared" si="59"/>
        <v>0</v>
      </c>
      <c r="AF143" s="56">
        <f t="shared" si="51"/>
        <v>22</v>
      </c>
      <c r="AG143" s="59">
        <f t="shared" si="52"/>
        <v>6.2173913043478262</v>
      </c>
      <c r="AH143">
        <f t="shared" si="53"/>
        <v>0.28260869565217389</v>
      </c>
    </row>
    <row r="144" spans="1:34" ht="15" x14ac:dyDescent="0.2">
      <c r="A144">
        <v>339</v>
      </c>
      <c r="B144" s="57" t="s">
        <v>399</v>
      </c>
      <c r="C144" s="57"/>
      <c r="D144">
        <f t="shared" si="49"/>
        <v>142</v>
      </c>
      <c r="E144" s="1">
        <f t="shared" si="50"/>
        <v>27</v>
      </c>
      <c r="F144">
        <f t="shared" si="57"/>
        <v>6</v>
      </c>
      <c r="G144">
        <f t="shared" si="57"/>
        <v>4</v>
      </c>
      <c r="H144">
        <f t="shared" si="57"/>
        <v>0</v>
      </c>
      <c r="I144">
        <f t="shared" si="57"/>
        <v>2</v>
      </c>
      <c r="J144">
        <f t="shared" si="57"/>
        <v>14</v>
      </c>
      <c r="K144">
        <f t="shared" si="57"/>
        <v>1</v>
      </c>
      <c r="L144">
        <f t="shared" si="57"/>
        <v>2</v>
      </c>
      <c r="M144">
        <f t="shared" si="57"/>
        <v>7</v>
      </c>
      <c r="N144">
        <f t="shared" si="57"/>
        <v>8</v>
      </c>
      <c r="O144">
        <f t="shared" si="57"/>
        <v>0</v>
      </c>
      <c r="P144">
        <f t="shared" si="58"/>
        <v>0</v>
      </c>
      <c r="Q144">
        <f t="shared" si="58"/>
        <v>2</v>
      </c>
      <c r="R144">
        <f t="shared" si="58"/>
        <v>5</v>
      </c>
      <c r="S144">
        <f t="shared" si="58"/>
        <v>6</v>
      </c>
      <c r="T144">
        <f t="shared" si="58"/>
        <v>10</v>
      </c>
      <c r="U144">
        <f t="shared" si="58"/>
        <v>3</v>
      </c>
      <c r="V144">
        <f t="shared" si="58"/>
        <v>0</v>
      </c>
      <c r="W144">
        <f t="shared" si="58"/>
        <v>9</v>
      </c>
      <c r="X144">
        <f t="shared" si="58"/>
        <v>9</v>
      </c>
      <c r="Y144">
        <f t="shared" si="58"/>
        <v>14</v>
      </c>
      <c r="Z144">
        <f t="shared" si="59"/>
        <v>2</v>
      </c>
      <c r="AA144">
        <f t="shared" si="59"/>
        <v>2</v>
      </c>
      <c r="AB144">
        <f t="shared" si="59"/>
        <v>4</v>
      </c>
      <c r="AC144">
        <f t="shared" si="59"/>
        <v>0</v>
      </c>
      <c r="AD144">
        <f t="shared" si="59"/>
        <v>0</v>
      </c>
      <c r="AE144">
        <f t="shared" si="59"/>
        <v>0</v>
      </c>
      <c r="AF144" s="56">
        <f t="shared" si="51"/>
        <v>19</v>
      </c>
      <c r="AG144" s="59">
        <f t="shared" si="52"/>
        <v>5.2592592592592595</v>
      </c>
      <c r="AH144">
        <f t="shared" si="53"/>
        <v>0.27680311890838211</v>
      </c>
    </row>
    <row r="145" spans="1:34" ht="15" x14ac:dyDescent="0.2">
      <c r="A145">
        <v>378</v>
      </c>
      <c r="B145" s="57" t="s">
        <v>433</v>
      </c>
      <c r="C145" s="57"/>
      <c r="D145">
        <f t="shared" si="49"/>
        <v>141</v>
      </c>
      <c r="E145" s="1">
        <f t="shared" si="50"/>
        <v>24</v>
      </c>
      <c r="F145">
        <f t="shared" si="57"/>
        <v>7</v>
      </c>
      <c r="G145">
        <f t="shared" si="57"/>
        <v>4</v>
      </c>
      <c r="H145">
        <f t="shared" si="57"/>
        <v>5</v>
      </c>
      <c r="I145">
        <f t="shared" si="57"/>
        <v>6</v>
      </c>
      <c r="J145">
        <f t="shared" si="57"/>
        <v>12</v>
      </c>
      <c r="K145">
        <f t="shared" si="57"/>
        <v>4</v>
      </c>
      <c r="L145">
        <f t="shared" si="57"/>
        <v>3</v>
      </c>
      <c r="M145">
        <f t="shared" si="57"/>
        <v>4</v>
      </c>
      <c r="N145">
        <f t="shared" si="57"/>
        <v>7</v>
      </c>
      <c r="O145">
        <f t="shared" si="57"/>
        <v>0</v>
      </c>
      <c r="P145">
        <f t="shared" si="58"/>
        <v>0</v>
      </c>
      <c r="Q145">
        <f t="shared" si="58"/>
        <v>7</v>
      </c>
      <c r="R145">
        <f t="shared" si="58"/>
        <v>4</v>
      </c>
      <c r="S145">
        <f t="shared" si="58"/>
        <v>8</v>
      </c>
      <c r="T145">
        <f t="shared" si="58"/>
        <v>11</v>
      </c>
      <c r="U145">
        <f t="shared" si="58"/>
        <v>3</v>
      </c>
      <c r="V145">
        <f t="shared" si="58"/>
        <v>0</v>
      </c>
      <c r="W145">
        <f t="shared" si="58"/>
        <v>7</v>
      </c>
      <c r="X145">
        <f t="shared" si="58"/>
        <v>7</v>
      </c>
      <c r="Y145">
        <f t="shared" si="58"/>
        <v>8</v>
      </c>
      <c r="Z145">
        <f t="shared" si="59"/>
        <v>5</v>
      </c>
      <c r="AA145">
        <f t="shared" si="59"/>
        <v>0</v>
      </c>
      <c r="AB145">
        <f t="shared" si="59"/>
        <v>1</v>
      </c>
      <c r="AC145">
        <f t="shared" si="59"/>
        <v>0</v>
      </c>
      <c r="AD145">
        <f t="shared" si="59"/>
        <v>0</v>
      </c>
      <c r="AE145">
        <f t="shared" si="59"/>
        <v>0</v>
      </c>
      <c r="AF145" s="56">
        <f t="shared" si="51"/>
        <v>19</v>
      </c>
      <c r="AG145" s="59">
        <f t="shared" si="52"/>
        <v>5.875</v>
      </c>
      <c r="AH145">
        <f t="shared" si="53"/>
        <v>0.30921052631578949</v>
      </c>
    </row>
    <row r="146" spans="1:34" ht="15" x14ac:dyDescent="0.2">
      <c r="A146">
        <v>368</v>
      </c>
      <c r="B146" s="57" t="s">
        <v>425</v>
      </c>
      <c r="C146" s="57"/>
      <c r="D146">
        <f t="shared" si="49"/>
        <v>141</v>
      </c>
      <c r="E146" s="1">
        <f t="shared" si="50"/>
        <v>23</v>
      </c>
      <c r="F146">
        <f t="shared" si="57"/>
        <v>12</v>
      </c>
      <c r="G146">
        <f t="shared" si="57"/>
        <v>1</v>
      </c>
      <c r="H146">
        <f t="shared" si="57"/>
        <v>4</v>
      </c>
      <c r="I146">
        <f t="shared" si="57"/>
        <v>3</v>
      </c>
      <c r="J146">
        <f t="shared" si="57"/>
        <v>13</v>
      </c>
      <c r="K146">
        <f t="shared" si="57"/>
        <v>3</v>
      </c>
      <c r="L146">
        <f t="shared" si="57"/>
        <v>7</v>
      </c>
      <c r="M146">
        <f t="shared" si="57"/>
        <v>2</v>
      </c>
      <c r="N146">
        <f t="shared" si="57"/>
        <v>12</v>
      </c>
      <c r="O146">
        <f t="shared" si="57"/>
        <v>1</v>
      </c>
      <c r="P146">
        <f t="shared" si="58"/>
        <v>0</v>
      </c>
      <c r="Q146">
        <f t="shared" si="58"/>
        <v>5</v>
      </c>
      <c r="R146">
        <f t="shared" si="58"/>
        <v>2</v>
      </c>
      <c r="S146">
        <f t="shared" si="58"/>
        <v>10</v>
      </c>
      <c r="T146">
        <f t="shared" si="58"/>
        <v>4</v>
      </c>
      <c r="U146">
        <f t="shared" si="58"/>
        <v>0</v>
      </c>
      <c r="V146">
        <f t="shared" si="58"/>
        <v>0</v>
      </c>
      <c r="W146">
        <f t="shared" si="58"/>
        <v>8</v>
      </c>
      <c r="X146">
        <f t="shared" si="58"/>
        <v>10</v>
      </c>
      <c r="Y146">
        <f t="shared" si="58"/>
        <v>7</v>
      </c>
      <c r="Z146">
        <f t="shared" si="59"/>
        <v>4</v>
      </c>
      <c r="AA146">
        <f t="shared" si="59"/>
        <v>1</v>
      </c>
      <c r="AB146">
        <f t="shared" si="59"/>
        <v>2</v>
      </c>
      <c r="AC146">
        <f t="shared" si="59"/>
        <v>1</v>
      </c>
      <c r="AD146">
        <f t="shared" si="59"/>
        <v>1</v>
      </c>
      <c r="AE146">
        <f t="shared" si="59"/>
        <v>0</v>
      </c>
      <c r="AF146" s="56">
        <f t="shared" si="51"/>
        <v>22</v>
      </c>
      <c r="AG146" s="59">
        <f t="shared" si="52"/>
        <v>6.1304347826086953</v>
      </c>
      <c r="AH146">
        <f t="shared" si="53"/>
        <v>0.27865612648221344</v>
      </c>
    </row>
    <row r="147" spans="1:34" ht="15" x14ac:dyDescent="0.2">
      <c r="A147">
        <v>121</v>
      </c>
      <c r="B147" s="57" t="s">
        <v>186</v>
      </c>
      <c r="C147" s="57"/>
      <c r="D147">
        <f t="shared" si="49"/>
        <v>141</v>
      </c>
      <c r="E147" s="1">
        <f t="shared" si="50"/>
        <v>26</v>
      </c>
      <c r="F147">
        <f t="shared" si="57"/>
        <v>9</v>
      </c>
      <c r="G147">
        <f t="shared" si="57"/>
        <v>0</v>
      </c>
      <c r="H147">
        <f t="shared" si="57"/>
        <v>2</v>
      </c>
      <c r="I147">
        <f t="shared" si="57"/>
        <v>2</v>
      </c>
      <c r="J147">
        <f t="shared" si="57"/>
        <v>14</v>
      </c>
      <c r="K147">
        <f t="shared" si="57"/>
        <v>2</v>
      </c>
      <c r="L147">
        <f t="shared" si="57"/>
        <v>1</v>
      </c>
      <c r="M147">
        <f t="shared" si="57"/>
        <v>7</v>
      </c>
      <c r="N147">
        <f t="shared" si="57"/>
        <v>8</v>
      </c>
      <c r="O147">
        <f t="shared" si="57"/>
        <v>1</v>
      </c>
      <c r="P147">
        <f t="shared" si="58"/>
        <v>0</v>
      </c>
      <c r="Q147">
        <f t="shared" si="58"/>
        <v>2</v>
      </c>
      <c r="R147">
        <f t="shared" si="58"/>
        <v>1</v>
      </c>
      <c r="S147">
        <f t="shared" si="58"/>
        <v>8</v>
      </c>
      <c r="T147">
        <f t="shared" si="58"/>
        <v>7</v>
      </c>
      <c r="U147">
        <f t="shared" si="58"/>
        <v>3</v>
      </c>
      <c r="V147">
        <f t="shared" si="58"/>
        <v>0</v>
      </c>
      <c r="W147">
        <f t="shared" si="58"/>
        <v>8</v>
      </c>
      <c r="X147">
        <f t="shared" si="58"/>
        <v>10</v>
      </c>
      <c r="Y147">
        <f t="shared" si="58"/>
        <v>15</v>
      </c>
      <c r="Z147">
        <f t="shared" si="59"/>
        <v>3</v>
      </c>
      <c r="AA147">
        <f t="shared" si="59"/>
        <v>3</v>
      </c>
      <c r="AB147">
        <f t="shared" si="59"/>
        <v>3</v>
      </c>
      <c r="AC147">
        <f t="shared" si="59"/>
        <v>2</v>
      </c>
      <c r="AD147">
        <f t="shared" si="59"/>
        <v>2</v>
      </c>
      <c r="AE147">
        <f t="shared" si="59"/>
        <v>0</v>
      </c>
      <c r="AF147" s="56">
        <f t="shared" si="51"/>
        <v>22</v>
      </c>
      <c r="AG147" s="59">
        <f t="shared" si="52"/>
        <v>5.4230769230769234</v>
      </c>
      <c r="AH147">
        <f t="shared" si="53"/>
        <v>0.24650349650349651</v>
      </c>
    </row>
    <row r="148" spans="1:34" ht="15" x14ac:dyDescent="0.2">
      <c r="A148">
        <v>441</v>
      </c>
      <c r="B148" s="57" t="s">
        <v>484</v>
      </c>
      <c r="C148" s="57"/>
      <c r="D148">
        <f t="shared" si="49"/>
        <v>139</v>
      </c>
      <c r="E148" s="1">
        <f t="shared" si="50"/>
        <v>21</v>
      </c>
      <c r="F148">
        <f t="shared" si="57"/>
        <v>16</v>
      </c>
      <c r="G148">
        <f t="shared" si="57"/>
        <v>2</v>
      </c>
      <c r="H148">
        <f t="shared" si="57"/>
        <v>6</v>
      </c>
      <c r="I148">
        <f t="shared" si="57"/>
        <v>4</v>
      </c>
      <c r="J148">
        <f t="shared" si="57"/>
        <v>9</v>
      </c>
      <c r="K148">
        <f t="shared" si="57"/>
        <v>3</v>
      </c>
      <c r="L148">
        <f t="shared" si="57"/>
        <v>3</v>
      </c>
      <c r="M148">
        <f t="shared" si="57"/>
        <v>2</v>
      </c>
      <c r="N148">
        <f t="shared" si="57"/>
        <v>4</v>
      </c>
      <c r="O148">
        <f t="shared" si="57"/>
        <v>0</v>
      </c>
      <c r="P148">
        <f t="shared" si="58"/>
        <v>0</v>
      </c>
      <c r="Q148">
        <f t="shared" si="58"/>
        <v>6</v>
      </c>
      <c r="R148">
        <f t="shared" si="58"/>
        <v>6</v>
      </c>
      <c r="S148">
        <f t="shared" si="58"/>
        <v>6</v>
      </c>
      <c r="T148">
        <f t="shared" si="58"/>
        <v>10</v>
      </c>
      <c r="U148">
        <f t="shared" si="58"/>
        <v>3</v>
      </c>
      <c r="V148">
        <f t="shared" si="58"/>
        <v>0</v>
      </c>
      <c r="W148">
        <f t="shared" si="58"/>
        <v>12</v>
      </c>
      <c r="X148">
        <f t="shared" si="58"/>
        <v>5</v>
      </c>
      <c r="Y148">
        <f t="shared" si="58"/>
        <v>6</v>
      </c>
      <c r="Z148">
        <f t="shared" si="59"/>
        <v>0</v>
      </c>
      <c r="AA148">
        <f t="shared" si="59"/>
        <v>0</v>
      </c>
      <c r="AB148">
        <f t="shared" si="59"/>
        <v>2</v>
      </c>
      <c r="AC148">
        <f t="shared" si="59"/>
        <v>0</v>
      </c>
      <c r="AD148">
        <f t="shared" si="59"/>
        <v>5</v>
      </c>
      <c r="AE148">
        <f t="shared" si="59"/>
        <v>1</v>
      </c>
      <c r="AF148" s="56">
        <f t="shared" si="51"/>
        <v>20</v>
      </c>
      <c r="AG148" s="59">
        <f t="shared" si="52"/>
        <v>6.6190476190476186</v>
      </c>
      <c r="AH148">
        <f t="shared" si="53"/>
        <v>0.33095238095238094</v>
      </c>
    </row>
    <row r="149" spans="1:34" ht="15" x14ac:dyDescent="0.2">
      <c r="A149">
        <v>444</v>
      </c>
      <c r="B149" s="57" t="s">
        <v>487</v>
      </c>
      <c r="C149" s="57"/>
      <c r="D149">
        <f t="shared" si="49"/>
        <v>139</v>
      </c>
      <c r="E149" s="1">
        <f t="shared" si="50"/>
        <v>26</v>
      </c>
      <c r="F149">
        <f t="shared" si="57"/>
        <v>10</v>
      </c>
      <c r="G149">
        <f t="shared" si="57"/>
        <v>2</v>
      </c>
      <c r="H149">
        <f t="shared" si="57"/>
        <v>2</v>
      </c>
      <c r="I149">
        <f t="shared" si="57"/>
        <v>5</v>
      </c>
      <c r="J149">
        <f t="shared" si="57"/>
        <v>17</v>
      </c>
      <c r="K149">
        <f t="shared" si="57"/>
        <v>1</v>
      </c>
      <c r="L149">
        <f t="shared" si="57"/>
        <v>1</v>
      </c>
      <c r="M149">
        <f t="shared" si="57"/>
        <v>5</v>
      </c>
      <c r="N149">
        <f t="shared" si="57"/>
        <v>6</v>
      </c>
      <c r="O149">
        <f t="shared" si="57"/>
        <v>0</v>
      </c>
      <c r="P149">
        <f t="shared" si="58"/>
        <v>0</v>
      </c>
      <c r="Q149">
        <f t="shared" si="58"/>
        <v>3</v>
      </c>
      <c r="R149">
        <f t="shared" si="58"/>
        <v>4</v>
      </c>
      <c r="S149">
        <f t="shared" si="58"/>
        <v>5</v>
      </c>
      <c r="T149">
        <f t="shared" si="58"/>
        <v>10</v>
      </c>
      <c r="U149">
        <f t="shared" si="58"/>
        <v>2</v>
      </c>
      <c r="V149">
        <f t="shared" si="58"/>
        <v>0</v>
      </c>
      <c r="W149">
        <f t="shared" si="58"/>
        <v>8</v>
      </c>
      <c r="X149">
        <f t="shared" si="58"/>
        <v>6</v>
      </c>
      <c r="Y149">
        <f t="shared" si="58"/>
        <v>15</v>
      </c>
      <c r="Z149">
        <f t="shared" si="59"/>
        <v>3</v>
      </c>
      <c r="AA149">
        <f t="shared" si="59"/>
        <v>2</v>
      </c>
      <c r="AB149">
        <f t="shared" si="59"/>
        <v>2</v>
      </c>
      <c r="AC149">
        <f t="shared" si="59"/>
        <v>0</v>
      </c>
      <c r="AD149">
        <f t="shared" si="59"/>
        <v>2</v>
      </c>
      <c r="AE149">
        <f t="shared" si="59"/>
        <v>0</v>
      </c>
      <c r="AF149" s="56">
        <f t="shared" si="51"/>
        <v>21</v>
      </c>
      <c r="AG149" s="59">
        <f t="shared" si="52"/>
        <v>5.3461538461538458</v>
      </c>
      <c r="AH149">
        <f t="shared" si="53"/>
        <v>0.25457875457875456</v>
      </c>
    </row>
    <row r="150" spans="1:34" ht="15" x14ac:dyDescent="0.2">
      <c r="A150">
        <v>180</v>
      </c>
      <c r="B150" s="57" t="s">
        <v>244</v>
      </c>
      <c r="C150" s="57"/>
      <c r="D150">
        <f t="shared" si="49"/>
        <v>139</v>
      </c>
      <c r="E150" s="1">
        <f t="shared" si="50"/>
        <v>26</v>
      </c>
      <c r="F150">
        <f t="shared" si="57"/>
        <v>8</v>
      </c>
      <c r="G150">
        <f t="shared" si="57"/>
        <v>5</v>
      </c>
      <c r="H150">
        <f t="shared" si="57"/>
        <v>1</v>
      </c>
      <c r="I150">
        <f t="shared" si="57"/>
        <v>6</v>
      </c>
      <c r="J150">
        <f t="shared" si="57"/>
        <v>14</v>
      </c>
      <c r="K150">
        <f t="shared" si="57"/>
        <v>1</v>
      </c>
      <c r="L150">
        <f t="shared" si="57"/>
        <v>3</v>
      </c>
      <c r="M150">
        <f t="shared" si="57"/>
        <v>6</v>
      </c>
      <c r="N150">
        <f t="shared" si="57"/>
        <v>7</v>
      </c>
      <c r="O150">
        <f t="shared" si="57"/>
        <v>0</v>
      </c>
      <c r="P150">
        <f t="shared" si="58"/>
        <v>0</v>
      </c>
      <c r="Q150">
        <f t="shared" si="58"/>
        <v>4</v>
      </c>
      <c r="R150">
        <f t="shared" si="58"/>
        <v>3</v>
      </c>
      <c r="S150">
        <f t="shared" si="58"/>
        <v>8</v>
      </c>
      <c r="T150">
        <f t="shared" si="58"/>
        <v>8</v>
      </c>
      <c r="U150">
        <f t="shared" si="58"/>
        <v>1</v>
      </c>
      <c r="V150">
        <f t="shared" si="58"/>
        <v>0</v>
      </c>
      <c r="W150">
        <f t="shared" si="58"/>
        <v>6</v>
      </c>
      <c r="X150">
        <f t="shared" si="58"/>
        <v>9</v>
      </c>
      <c r="Y150">
        <f t="shared" si="58"/>
        <v>12</v>
      </c>
      <c r="Z150">
        <f t="shared" si="59"/>
        <v>2</v>
      </c>
      <c r="AA150">
        <f t="shared" si="59"/>
        <v>1</v>
      </c>
      <c r="AB150">
        <f t="shared" si="59"/>
        <v>2</v>
      </c>
      <c r="AC150">
        <f t="shared" si="59"/>
        <v>0</v>
      </c>
      <c r="AD150">
        <f t="shared" si="59"/>
        <v>4</v>
      </c>
      <c r="AE150">
        <f t="shared" si="59"/>
        <v>0</v>
      </c>
      <c r="AF150" s="56">
        <f t="shared" si="51"/>
        <v>21</v>
      </c>
      <c r="AG150" s="59">
        <f t="shared" si="52"/>
        <v>5.3461538461538458</v>
      </c>
      <c r="AH150">
        <f t="shared" si="53"/>
        <v>0.25457875457875456</v>
      </c>
    </row>
    <row r="151" spans="1:34" ht="15" x14ac:dyDescent="0.2">
      <c r="A151">
        <v>472</v>
      </c>
      <c r="B151" s="57" t="s">
        <v>511</v>
      </c>
      <c r="C151" s="57"/>
      <c r="D151">
        <f t="shared" si="49"/>
        <v>139</v>
      </c>
      <c r="E151" s="1">
        <f t="shared" si="50"/>
        <v>26</v>
      </c>
      <c r="F151">
        <f t="shared" si="57"/>
        <v>9</v>
      </c>
      <c r="G151">
        <f t="shared" si="57"/>
        <v>5</v>
      </c>
      <c r="H151">
        <f t="shared" si="57"/>
        <v>6</v>
      </c>
      <c r="I151">
        <f t="shared" si="57"/>
        <v>2</v>
      </c>
      <c r="J151">
        <f t="shared" si="57"/>
        <v>17</v>
      </c>
      <c r="K151">
        <f t="shared" si="57"/>
        <v>1</v>
      </c>
      <c r="L151">
        <f t="shared" si="57"/>
        <v>2</v>
      </c>
      <c r="M151">
        <f t="shared" si="57"/>
        <v>3</v>
      </c>
      <c r="N151">
        <f t="shared" si="57"/>
        <v>7</v>
      </c>
      <c r="O151">
        <f t="shared" si="57"/>
        <v>1</v>
      </c>
      <c r="P151">
        <f t="shared" si="58"/>
        <v>1</v>
      </c>
      <c r="Q151">
        <f t="shared" si="58"/>
        <v>4</v>
      </c>
      <c r="R151">
        <f t="shared" si="58"/>
        <v>1</v>
      </c>
      <c r="S151">
        <f t="shared" si="58"/>
        <v>7</v>
      </c>
      <c r="T151">
        <f t="shared" si="58"/>
        <v>8</v>
      </c>
      <c r="U151">
        <f t="shared" si="58"/>
        <v>3</v>
      </c>
      <c r="V151">
        <f t="shared" si="58"/>
        <v>0</v>
      </c>
      <c r="W151">
        <f t="shared" si="58"/>
        <v>6</v>
      </c>
      <c r="X151">
        <f t="shared" si="58"/>
        <v>8</v>
      </c>
      <c r="Y151">
        <f t="shared" si="58"/>
        <v>11</v>
      </c>
      <c r="Z151">
        <f t="shared" si="59"/>
        <v>4</v>
      </c>
      <c r="AA151">
        <f t="shared" si="59"/>
        <v>2</v>
      </c>
      <c r="AB151">
        <f t="shared" si="59"/>
        <v>2</v>
      </c>
      <c r="AC151">
        <f t="shared" si="59"/>
        <v>0</v>
      </c>
      <c r="AD151">
        <f t="shared" si="59"/>
        <v>1</v>
      </c>
      <c r="AE151">
        <f t="shared" si="59"/>
        <v>0</v>
      </c>
      <c r="AF151" s="56">
        <f t="shared" si="51"/>
        <v>23</v>
      </c>
      <c r="AG151" s="59">
        <f t="shared" si="52"/>
        <v>5.3461538461538458</v>
      </c>
      <c r="AH151">
        <f t="shared" si="53"/>
        <v>0.23244147157190634</v>
      </c>
    </row>
    <row r="152" spans="1:34" ht="15" x14ac:dyDescent="0.2">
      <c r="A152">
        <v>318</v>
      </c>
      <c r="B152" s="57" t="s">
        <v>378</v>
      </c>
      <c r="C152" s="57"/>
      <c r="D152">
        <f t="shared" si="49"/>
        <v>138</v>
      </c>
      <c r="E152" s="1">
        <f t="shared" si="50"/>
        <v>25</v>
      </c>
      <c r="F152">
        <f t="shared" ref="F152:O161" si="60">LEN($B152)-LEN(SUBSTITUTE($B152,F$1,""))</f>
        <v>8</v>
      </c>
      <c r="G152">
        <f t="shared" si="60"/>
        <v>2</v>
      </c>
      <c r="H152">
        <f t="shared" si="60"/>
        <v>0</v>
      </c>
      <c r="I152">
        <f t="shared" si="60"/>
        <v>6</v>
      </c>
      <c r="J152">
        <f t="shared" si="60"/>
        <v>13</v>
      </c>
      <c r="K152">
        <f t="shared" si="60"/>
        <v>4</v>
      </c>
      <c r="L152">
        <f t="shared" si="60"/>
        <v>0</v>
      </c>
      <c r="M152">
        <f t="shared" si="60"/>
        <v>2</v>
      </c>
      <c r="N152">
        <f t="shared" si="60"/>
        <v>8</v>
      </c>
      <c r="O152">
        <f t="shared" si="60"/>
        <v>1</v>
      </c>
      <c r="P152">
        <f t="shared" ref="P152:Y161" si="61">LEN($B152)-LEN(SUBSTITUTE($B152,P$1,""))</f>
        <v>2</v>
      </c>
      <c r="Q152">
        <f t="shared" si="61"/>
        <v>2</v>
      </c>
      <c r="R152">
        <f t="shared" si="61"/>
        <v>5</v>
      </c>
      <c r="S152">
        <f t="shared" si="61"/>
        <v>9</v>
      </c>
      <c r="T152">
        <f t="shared" si="61"/>
        <v>7</v>
      </c>
      <c r="U152">
        <f t="shared" si="61"/>
        <v>0</v>
      </c>
      <c r="V152">
        <f t="shared" si="61"/>
        <v>0</v>
      </c>
      <c r="W152">
        <f t="shared" si="61"/>
        <v>5</v>
      </c>
      <c r="X152">
        <f t="shared" si="61"/>
        <v>6</v>
      </c>
      <c r="Y152">
        <f t="shared" si="61"/>
        <v>10</v>
      </c>
      <c r="Z152">
        <f t="shared" ref="Z152:AE161" si="62">LEN($B152)-LEN(SUBSTITUTE($B152,Z$1,""))</f>
        <v>4</v>
      </c>
      <c r="AA152">
        <f t="shared" si="62"/>
        <v>2</v>
      </c>
      <c r="AB152">
        <f t="shared" si="62"/>
        <v>2</v>
      </c>
      <c r="AC152">
        <f t="shared" si="62"/>
        <v>0</v>
      </c>
      <c r="AD152">
        <f t="shared" si="62"/>
        <v>6</v>
      </c>
      <c r="AE152">
        <f t="shared" si="62"/>
        <v>0</v>
      </c>
      <c r="AF152" s="56">
        <f t="shared" si="51"/>
        <v>20</v>
      </c>
      <c r="AG152" s="59">
        <f t="shared" si="52"/>
        <v>5.52</v>
      </c>
      <c r="AH152">
        <f t="shared" si="53"/>
        <v>0.27599999999999997</v>
      </c>
    </row>
    <row r="153" spans="1:34" ht="15" x14ac:dyDescent="0.2">
      <c r="A153">
        <v>487</v>
      </c>
      <c r="B153" s="57" t="s">
        <v>525</v>
      </c>
      <c r="C153" s="57"/>
      <c r="D153">
        <f t="shared" si="49"/>
        <v>138</v>
      </c>
      <c r="E153" s="1">
        <f t="shared" si="50"/>
        <v>23</v>
      </c>
      <c r="F153">
        <f t="shared" si="60"/>
        <v>10</v>
      </c>
      <c r="G153">
        <f t="shared" si="60"/>
        <v>0</v>
      </c>
      <c r="H153">
        <f t="shared" si="60"/>
        <v>5</v>
      </c>
      <c r="I153">
        <f t="shared" si="60"/>
        <v>3</v>
      </c>
      <c r="J153">
        <f t="shared" si="60"/>
        <v>16</v>
      </c>
      <c r="K153">
        <f t="shared" si="60"/>
        <v>2</v>
      </c>
      <c r="L153">
        <f t="shared" si="60"/>
        <v>5</v>
      </c>
      <c r="M153">
        <f t="shared" si="60"/>
        <v>5</v>
      </c>
      <c r="N153">
        <f t="shared" si="60"/>
        <v>3</v>
      </c>
      <c r="O153">
        <f t="shared" si="60"/>
        <v>1</v>
      </c>
      <c r="P153">
        <f t="shared" si="61"/>
        <v>1</v>
      </c>
      <c r="Q153">
        <f t="shared" si="61"/>
        <v>7</v>
      </c>
      <c r="R153">
        <f t="shared" si="61"/>
        <v>3</v>
      </c>
      <c r="S153">
        <f t="shared" si="61"/>
        <v>7</v>
      </c>
      <c r="T153">
        <f t="shared" si="61"/>
        <v>6</v>
      </c>
      <c r="U153">
        <f t="shared" si="61"/>
        <v>3</v>
      </c>
      <c r="V153">
        <f t="shared" si="61"/>
        <v>0</v>
      </c>
      <c r="W153">
        <f t="shared" si="61"/>
        <v>10</v>
      </c>
      <c r="X153">
        <f t="shared" si="61"/>
        <v>4</v>
      </c>
      <c r="Y153">
        <f t="shared" si="61"/>
        <v>13</v>
      </c>
      <c r="Z153">
        <f t="shared" si="62"/>
        <v>2</v>
      </c>
      <c r="AA153">
        <f t="shared" si="62"/>
        <v>1</v>
      </c>
      <c r="AB153">
        <f t="shared" si="62"/>
        <v>0</v>
      </c>
      <c r="AC153">
        <f t="shared" si="62"/>
        <v>1</v>
      </c>
      <c r="AD153">
        <f t="shared" si="62"/>
        <v>2</v>
      </c>
      <c r="AE153">
        <f t="shared" si="62"/>
        <v>0</v>
      </c>
      <c r="AF153" s="56">
        <f t="shared" si="51"/>
        <v>22</v>
      </c>
      <c r="AG153" s="59">
        <f t="shared" si="52"/>
        <v>6</v>
      </c>
      <c r="AH153">
        <f t="shared" si="53"/>
        <v>0.27272727272727271</v>
      </c>
    </row>
    <row r="154" spans="1:34" ht="15" x14ac:dyDescent="0.2">
      <c r="A154">
        <v>435</v>
      </c>
      <c r="B154" s="57" t="s">
        <v>480</v>
      </c>
      <c r="C154" s="57"/>
      <c r="D154">
        <f t="shared" si="49"/>
        <v>138</v>
      </c>
      <c r="E154" s="1">
        <f t="shared" si="50"/>
        <v>27</v>
      </c>
      <c r="F154">
        <f t="shared" si="60"/>
        <v>6</v>
      </c>
      <c r="G154">
        <f t="shared" si="60"/>
        <v>1</v>
      </c>
      <c r="H154">
        <f t="shared" si="60"/>
        <v>3</v>
      </c>
      <c r="I154">
        <f t="shared" si="60"/>
        <v>4</v>
      </c>
      <c r="J154">
        <f t="shared" si="60"/>
        <v>14</v>
      </c>
      <c r="K154">
        <f t="shared" si="60"/>
        <v>2</v>
      </c>
      <c r="L154">
        <f t="shared" si="60"/>
        <v>2</v>
      </c>
      <c r="M154">
        <f t="shared" si="60"/>
        <v>3</v>
      </c>
      <c r="N154">
        <f t="shared" si="60"/>
        <v>3</v>
      </c>
      <c r="O154">
        <f t="shared" si="60"/>
        <v>2</v>
      </c>
      <c r="P154">
        <f t="shared" si="61"/>
        <v>0</v>
      </c>
      <c r="Q154">
        <f t="shared" si="61"/>
        <v>8</v>
      </c>
      <c r="R154">
        <f t="shared" si="61"/>
        <v>1</v>
      </c>
      <c r="S154">
        <f t="shared" si="61"/>
        <v>4</v>
      </c>
      <c r="T154">
        <f t="shared" si="61"/>
        <v>13</v>
      </c>
      <c r="U154">
        <f t="shared" si="61"/>
        <v>2</v>
      </c>
      <c r="V154">
        <f t="shared" si="61"/>
        <v>0</v>
      </c>
      <c r="W154">
        <f t="shared" si="61"/>
        <v>7</v>
      </c>
      <c r="X154">
        <f t="shared" si="61"/>
        <v>6</v>
      </c>
      <c r="Y154">
        <f t="shared" si="61"/>
        <v>9</v>
      </c>
      <c r="Z154">
        <f t="shared" si="62"/>
        <v>6</v>
      </c>
      <c r="AA154">
        <f t="shared" si="62"/>
        <v>2</v>
      </c>
      <c r="AB154">
        <f t="shared" si="62"/>
        <v>4</v>
      </c>
      <c r="AC154">
        <f t="shared" si="62"/>
        <v>1</v>
      </c>
      <c r="AD154">
        <f t="shared" si="62"/>
        <v>4</v>
      </c>
      <c r="AE154">
        <f t="shared" si="62"/>
        <v>0</v>
      </c>
      <c r="AF154" s="56">
        <f t="shared" si="51"/>
        <v>23</v>
      </c>
      <c r="AG154" s="59">
        <f t="shared" si="52"/>
        <v>5.1111111111111107</v>
      </c>
      <c r="AH154">
        <f t="shared" si="53"/>
        <v>0.22222222222222221</v>
      </c>
    </row>
    <row r="155" spans="1:34" ht="15" x14ac:dyDescent="0.2">
      <c r="A155">
        <v>400</v>
      </c>
      <c r="B155" s="57" t="s">
        <v>451</v>
      </c>
      <c r="C155" s="57"/>
      <c r="D155">
        <f t="shared" si="49"/>
        <v>137</v>
      </c>
      <c r="E155" s="1">
        <f t="shared" si="50"/>
        <v>24</v>
      </c>
      <c r="F155">
        <f t="shared" si="60"/>
        <v>10</v>
      </c>
      <c r="G155">
        <f t="shared" si="60"/>
        <v>3</v>
      </c>
      <c r="H155">
        <f t="shared" si="60"/>
        <v>4</v>
      </c>
      <c r="I155">
        <f t="shared" si="60"/>
        <v>4</v>
      </c>
      <c r="J155">
        <f t="shared" si="60"/>
        <v>15</v>
      </c>
      <c r="K155">
        <f t="shared" si="60"/>
        <v>1</v>
      </c>
      <c r="L155">
        <f t="shared" si="60"/>
        <v>2</v>
      </c>
      <c r="M155">
        <f t="shared" si="60"/>
        <v>3</v>
      </c>
      <c r="N155">
        <f t="shared" si="60"/>
        <v>9</v>
      </c>
      <c r="O155">
        <f t="shared" si="60"/>
        <v>0</v>
      </c>
      <c r="P155">
        <f t="shared" si="61"/>
        <v>0</v>
      </c>
      <c r="Q155">
        <f t="shared" si="61"/>
        <v>4</v>
      </c>
      <c r="R155">
        <f t="shared" si="61"/>
        <v>4</v>
      </c>
      <c r="S155">
        <f t="shared" si="61"/>
        <v>5</v>
      </c>
      <c r="T155">
        <f t="shared" si="61"/>
        <v>9</v>
      </c>
      <c r="U155">
        <f t="shared" si="61"/>
        <v>3</v>
      </c>
      <c r="V155">
        <f t="shared" si="61"/>
        <v>0</v>
      </c>
      <c r="W155">
        <f t="shared" si="61"/>
        <v>6</v>
      </c>
      <c r="X155">
        <f t="shared" si="61"/>
        <v>5</v>
      </c>
      <c r="Y155">
        <f t="shared" si="61"/>
        <v>7</v>
      </c>
      <c r="Z155">
        <f t="shared" si="62"/>
        <v>5</v>
      </c>
      <c r="AA155">
        <f t="shared" si="62"/>
        <v>3</v>
      </c>
      <c r="AB155">
        <f t="shared" si="62"/>
        <v>3</v>
      </c>
      <c r="AC155">
        <f t="shared" si="62"/>
        <v>0</v>
      </c>
      <c r="AD155">
        <f t="shared" si="62"/>
        <v>4</v>
      </c>
      <c r="AE155">
        <f t="shared" si="62"/>
        <v>0</v>
      </c>
      <c r="AF155" s="56">
        <f t="shared" si="51"/>
        <v>21</v>
      </c>
      <c r="AG155" s="59">
        <f t="shared" si="52"/>
        <v>5.708333333333333</v>
      </c>
      <c r="AH155">
        <f t="shared" si="53"/>
        <v>0.2718253968253968</v>
      </c>
    </row>
    <row r="156" spans="1:34" ht="15" x14ac:dyDescent="0.2">
      <c r="A156">
        <v>403</v>
      </c>
      <c r="B156" s="57" t="s">
        <v>454</v>
      </c>
      <c r="C156" s="57"/>
      <c r="D156">
        <f t="shared" si="49"/>
        <v>137</v>
      </c>
      <c r="E156" s="1">
        <f t="shared" si="50"/>
        <v>28</v>
      </c>
      <c r="F156">
        <f t="shared" si="60"/>
        <v>9</v>
      </c>
      <c r="G156">
        <f t="shared" si="60"/>
        <v>3</v>
      </c>
      <c r="H156">
        <f t="shared" si="60"/>
        <v>1</v>
      </c>
      <c r="I156">
        <f t="shared" si="60"/>
        <v>4</v>
      </c>
      <c r="J156">
        <f t="shared" si="60"/>
        <v>10</v>
      </c>
      <c r="K156">
        <f t="shared" si="60"/>
        <v>0</v>
      </c>
      <c r="L156">
        <f t="shared" si="60"/>
        <v>1</v>
      </c>
      <c r="M156">
        <f t="shared" si="60"/>
        <v>3</v>
      </c>
      <c r="N156">
        <f t="shared" si="60"/>
        <v>13</v>
      </c>
      <c r="O156">
        <f t="shared" si="60"/>
        <v>1</v>
      </c>
      <c r="P156">
        <f t="shared" si="61"/>
        <v>1</v>
      </c>
      <c r="Q156">
        <f t="shared" si="61"/>
        <v>6</v>
      </c>
      <c r="R156">
        <f t="shared" si="61"/>
        <v>1</v>
      </c>
      <c r="S156">
        <f t="shared" si="61"/>
        <v>7</v>
      </c>
      <c r="T156">
        <f t="shared" si="61"/>
        <v>5</v>
      </c>
      <c r="U156">
        <f t="shared" si="61"/>
        <v>3</v>
      </c>
      <c r="V156">
        <f t="shared" si="61"/>
        <v>1</v>
      </c>
      <c r="W156">
        <f t="shared" si="61"/>
        <v>4</v>
      </c>
      <c r="X156">
        <f t="shared" si="61"/>
        <v>9</v>
      </c>
      <c r="Y156">
        <f t="shared" si="61"/>
        <v>14</v>
      </c>
      <c r="Z156">
        <f t="shared" si="62"/>
        <v>3</v>
      </c>
      <c r="AA156">
        <f t="shared" si="62"/>
        <v>1</v>
      </c>
      <c r="AB156">
        <f t="shared" si="62"/>
        <v>2</v>
      </c>
      <c r="AC156">
        <f t="shared" si="62"/>
        <v>2</v>
      </c>
      <c r="AD156">
        <f t="shared" si="62"/>
        <v>2</v>
      </c>
      <c r="AE156">
        <f t="shared" si="62"/>
        <v>0</v>
      </c>
      <c r="AF156" s="56">
        <f t="shared" si="51"/>
        <v>24</v>
      </c>
      <c r="AG156" s="59">
        <f t="shared" si="52"/>
        <v>4.8928571428571432</v>
      </c>
      <c r="AH156">
        <f t="shared" si="53"/>
        <v>0.20386904761904764</v>
      </c>
    </row>
    <row r="157" spans="1:34" ht="15" x14ac:dyDescent="0.2">
      <c r="A157">
        <v>362</v>
      </c>
      <c r="B157" s="57" t="s">
        <v>634</v>
      </c>
      <c r="C157" s="57"/>
      <c r="D157">
        <f t="shared" si="49"/>
        <v>136</v>
      </c>
      <c r="E157" s="1">
        <f t="shared" si="50"/>
        <v>25</v>
      </c>
      <c r="F157">
        <f t="shared" si="60"/>
        <v>7</v>
      </c>
      <c r="G157">
        <f t="shared" si="60"/>
        <v>0</v>
      </c>
      <c r="H157">
        <f t="shared" si="60"/>
        <v>4</v>
      </c>
      <c r="I157">
        <f t="shared" si="60"/>
        <v>3</v>
      </c>
      <c r="J157">
        <f t="shared" si="60"/>
        <v>15</v>
      </c>
      <c r="K157">
        <f t="shared" si="60"/>
        <v>4</v>
      </c>
      <c r="L157">
        <f t="shared" si="60"/>
        <v>1</v>
      </c>
      <c r="M157">
        <f t="shared" si="60"/>
        <v>7</v>
      </c>
      <c r="N157">
        <f t="shared" si="60"/>
        <v>7</v>
      </c>
      <c r="O157">
        <f t="shared" si="60"/>
        <v>0</v>
      </c>
      <c r="P157">
        <f t="shared" si="61"/>
        <v>0</v>
      </c>
      <c r="Q157">
        <f t="shared" si="61"/>
        <v>5</v>
      </c>
      <c r="R157">
        <f t="shared" si="61"/>
        <v>1</v>
      </c>
      <c r="S157">
        <f t="shared" si="61"/>
        <v>6</v>
      </c>
      <c r="T157">
        <f t="shared" si="61"/>
        <v>7</v>
      </c>
      <c r="U157">
        <f t="shared" si="61"/>
        <v>4</v>
      </c>
      <c r="V157">
        <f t="shared" si="61"/>
        <v>0</v>
      </c>
      <c r="W157">
        <f t="shared" si="61"/>
        <v>6</v>
      </c>
      <c r="X157">
        <f t="shared" si="61"/>
        <v>5</v>
      </c>
      <c r="Y157">
        <f t="shared" si="61"/>
        <v>15</v>
      </c>
      <c r="Z157">
        <f t="shared" si="62"/>
        <v>4</v>
      </c>
      <c r="AA157">
        <f t="shared" si="62"/>
        <v>1</v>
      </c>
      <c r="AB157">
        <f t="shared" si="62"/>
        <v>3</v>
      </c>
      <c r="AC157">
        <f t="shared" si="62"/>
        <v>0</v>
      </c>
      <c r="AD157">
        <f t="shared" si="62"/>
        <v>5</v>
      </c>
      <c r="AE157">
        <f t="shared" si="62"/>
        <v>0</v>
      </c>
      <c r="AF157" s="56">
        <f t="shared" si="51"/>
        <v>20</v>
      </c>
      <c r="AG157" s="59">
        <f t="shared" si="52"/>
        <v>5.44</v>
      </c>
      <c r="AH157">
        <f t="shared" si="53"/>
        <v>0.27200000000000002</v>
      </c>
    </row>
    <row r="158" spans="1:34" ht="15" x14ac:dyDescent="0.2">
      <c r="A158">
        <v>497</v>
      </c>
      <c r="B158" s="57" t="s">
        <v>667</v>
      </c>
      <c r="C158" s="57"/>
      <c r="D158">
        <f t="shared" si="49"/>
        <v>136</v>
      </c>
      <c r="E158" s="1">
        <f t="shared" si="50"/>
        <v>27</v>
      </c>
      <c r="F158">
        <f t="shared" si="60"/>
        <v>8</v>
      </c>
      <c r="G158">
        <f t="shared" si="60"/>
        <v>2</v>
      </c>
      <c r="H158">
        <f t="shared" si="60"/>
        <v>1</v>
      </c>
      <c r="I158">
        <f t="shared" si="60"/>
        <v>2</v>
      </c>
      <c r="J158">
        <f t="shared" si="60"/>
        <v>15</v>
      </c>
      <c r="K158">
        <f t="shared" si="60"/>
        <v>2</v>
      </c>
      <c r="L158">
        <f t="shared" si="60"/>
        <v>2</v>
      </c>
      <c r="M158">
        <f t="shared" si="60"/>
        <v>5</v>
      </c>
      <c r="N158">
        <f t="shared" si="60"/>
        <v>3</v>
      </c>
      <c r="O158">
        <f t="shared" si="60"/>
        <v>0</v>
      </c>
      <c r="P158">
        <f t="shared" si="61"/>
        <v>1</v>
      </c>
      <c r="Q158">
        <f t="shared" si="61"/>
        <v>6</v>
      </c>
      <c r="R158">
        <f t="shared" si="61"/>
        <v>4</v>
      </c>
      <c r="S158">
        <f t="shared" si="61"/>
        <v>8</v>
      </c>
      <c r="T158">
        <f t="shared" si="61"/>
        <v>14</v>
      </c>
      <c r="U158">
        <f t="shared" si="61"/>
        <v>0</v>
      </c>
      <c r="V158">
        <f t="shared" si="61"/>
        <v>0</v>
      </c>
      <c r="W158">
        <f t="shared" si="61"/>
        <v>5</v>
      </c>
      <c r="X158">
        <f t="shared" si="61"/>
        <v>7</v>
      </c>
      <c r="Y158">
        <f t="shared" si="61"/>
        <v>8</v>
      </c>
      <c r="Z158">
        <f t="shared" si="62"/>
        <v>2</v>
      </c>
      <c r="AA158">
        <f t="shared" si="62"/>
        <v>2</v>
      </c>
      <c r="AB158">
        <f t="shared" si="62"/>
        <v>4</v>
      </c>
      <c r="AC158">
        <f t="shared" si="62"/>
        <v>1</v>
      </c>
      <c r="AD158">
        <f t="shared" si="62"/>
        <v>4</v>
      </c>
      <c r="AE158">
        <f t="shared" si="62"/>
        <v>0</v>
      </c>
      <c r="AF158" s="56">
        <f t="shared" si="51"/>
        <v>22</v>
      </c>
      <c r="AG158" s="59">
        <f t="shared" si="52"/>
        <v>5.0370370370370372</v>
      </c>
      <c r="AH158">
        <f t="shared" si="53"/>
        <v>0.22895622895622897</v>
      </c>
    </row>
    <row r="159" spans="1:34" ht="15" x14ac:dyDescent="0.2">
      <c r="A159">
        <v>411</v>
      </c>
      <c r="B159" s="57" t="s">
        <v>461</v>
      </c>
      <c r="C159" s="57"/>
      <c r="D159">
        <f t="shared" si="49"/>
        <v>136</v>
      </c>
      <c r="E159" s="1">
        <f t="shared" si="50"/>
        <v>20</v>
      </c>
      <c r="F159">
        <f t="shared" si="60"/>
        <v>12</v>
      </c>
      <c r="G159">
        <f t="shared" si="60"/>
        <v>1</v>
      </c>
      <c r="H159">
        <f t="shared" si="60"/>
        <v>4</v>
      </c>
      <c r="I159">
        <f t="shared" si="60"/>
        <v>3</v>
      </c>
      <c r="J159">
        <f t="shared" si="60"/>
        <v>10</v>
      </c>
      <c r="K159">
        <f t="shared" si="60"/>
        <v>1</v>
      </c>
      <c r="L159">
        <f t="shared" si="60"/>
        <v>2</v>
      </c>
      <c r="M159">
        <f t="shared" si="60"/>
        <v>4</v>
      </c>
      <c r="N159">
        <f t="shared" si="60"/>
        <v>3</v>
      </c>
      <c r="O159">
        <f t="shared" si="60"/>
        <v>0</v>
      </c>
      <c r="P159">
        <f t="shared" si="61"/>
        <v>1</v>
      </c>
      <c r="Q159">
        <f t="shared" si="61"/>
        <v>6</v>
      </c>
      <c r="R159">
        <f t="shared" si="61"/>
        <v>2</v>
      </c>
      <c r="S159">
        <f t="shared" si="61"/>
        <v>7</v>
      </c>
      <c r="T159">
        <f t="shared" si="61"/>
        <v>7</v>
      </c>
      <c r="U159">
        <f t="shared" si="61"/>
        <v>5</v>
      </c>
      <c r="V159">
        <f t="shared" si="61"/>
        <v>0</v>
      </c>
      <c r="W159">
        <f t="shared" si="61"/>
        <v>7</v>
      </c>
      <c r="X159">
        <f t="shared" si="61"/>
        <v>6</v>
      </c>
      <c r="Y159">
        <f t="shared" si="61"/>
        <v>12</v>
      </c>
      <c r="Z159">
        <f t="shared" si="62"/>
        <v>7</v>
      </c>
      <c r="AA159">
        <f t="shared" si="62"/>
        <v>2</v>
      </c>
      <c r="AB159">
        <f t="shared" si="62"/>
        <v>0</v>
      </c>
      <c r="AC159">
        <f t="shared" si="62"/>
        <v>1</v>
      </c>
      <c r="AD159">
        <f t="shared" si="62"/>
        <v>4</v>
      </c>
      <c r="AE159">
        <f t="shared" si="62"/>
        <v>0</v>
      </c>
      <c r="AF159" s="56">
        <f t="shared" si="51"/>
        <v>22</v>
      </c>
      <c r="AG159" s="59">
        <f t="shared" si="52"/>
        <v>6.8</v>
      </c>
      <c r="AH159">
        <f t="shared" si="53"/>
        <v>0.30909090909090908</v>
      </c>
    </row>
    <row r="160" spans="1:34" ht="15" x14ac:dyDescent="0.2">
      <c r="A160">
        <v>266</v>
      </c>
      <c r="B160" s="57" t="s">
        <v>328</v>
      </c>
      <c r="C160" s="57"/>
      <c r="D160">
        <f t="shared" si="49"/>
        <v>136</v>
      </c>
      <c r="E160" s="1">
        <f t="shared" si="50"/>
        <v>28</v>
      </c>
      <c r="F160">
        <f t="shared" si="60"/>
        <v>11</v>
      </c>
      <c r="G160">
        <f t="shared" si="60"/>
        <v>4</v>
      </c>
      <c r="H160">
        <f t="shared" si="60"/>
        <v>1</v>
      </c>
      <c r="I160">
        <f t="shared" si="60"/>
        <v>5</v>
      </c>
      <c r="J160">
        <f t="shared" si="60"/>
        <v>16</v>
      </c>
      <c r="K160">
        <f t="shared" si="60"/>
        <v>1</v>
      </c>
      <c r="L160">
        <f t="shared" si="60"/>
        <v>1</v>
      </c>
      <c r="M160">
        <f t="shared" si="60"/>
        <v>6</v>
      </c>
      <c r="N160">
        <f t="shared" si="60"/>
        <v>6</v>
      </c>
      <c r="O160">
        <f t="shared" si="60"/>
        <v>0</v>
      </c>
      <c r="P160">
        <f t="shared" si="61"/>
        <v>2</v>
      </c>
      <c r="Q160">
        <f t="shared" si="61"/>
        <v>9</v>
      </c>
      <c r="R160">
        <f t="shared" si="61"/>
        <v>2</v>
      </c>
      <c r="S160">
        <f t="shared" si="61"/>
        <v>9</v>
      </c>
      <c r="T160">
        <f t="shared" si="61"/>
        <v>3</v>
      </c>
      <c r="U160">
        <f t="shared" si="61"/>
        <v>0</v>
      </c>
      <c r="V160">
        <f t="shared" si="61"/>
        <v>1</v>
      </c>
      <c r="W160">
        <f t="shared" si="61"/>
        <v>4</v>
      </c>
      <c r="X160">
        <f t="shared" si="61"/>
        <v>2</v>
      </c>
      <c r="Y160">
        <f t="shared" si="61"/>
        <v>12</v>
      </c>
      <c r="Z160">
        <f t="shared" si="62"/>
        <v>5</v>
      </c>
      <c r="AA160">
        <f t="shared" si="62"/>
        <v>1</v>
      </c>
      <c r="AB160">
        <f t="shared" si="62"/>
        <v>5</v>
      </c>
      <c r="AC160">
        <f t="shared" si="62"/>
        <v>0</v>
      </c>
      <c r="AD160">
        <f t="shared" si="62"/>
        <v>2</v>
      </c>
      <c r="AE160">
        <f t="shared" si="62"/>
        <v>0</v>
      </c>
      <c r="AF160" s="56">
        <f t="shared" si="51"/>
        <v>22</v>
      </c>
      <c r="AG160" s="59">
        <f t="shared" si="52"/>
        <v>4.8571428571428568</v>
      </c>
      <c r="AH160">
        <f t="shared" si="53"/>
        <v>0.22077922077922077</v>
      </c>
    </row>
    <row r="161" spans="1:34" ht="15" x14ac:dyDescent="0.2">
      <c r="A161">
        <v>209</v>
      </c>
      <c r="B161" s="57" t="s">
        <v>273</v>
      </c>
      <c r="C161" s="57"/>
      <c r="D161">
        <f t="shared" si="49"/>
        <v>135</v>
      </c>
      <c r="E161" s="1">
        <f t="shared" si="50"/>
        <v>25</v>
      </c>
      <c r="F161">
        <f t="shared" si="60"/>
        <v>8</v>
      </c>
      <c r="G161">
        <f t="shared" si="60"/>
        <v>1</v>
      </c>
      <c r="H161">
        <f t="shared" si="60"/>
        <v>2</v>
      </c>
      <c r="I161">
        <f t="shared" si="60"/>
        <v>4</v>
      </c>
      <c r="J161">
        <f t="shared" si="60"/>
        <v>11</v>
      </c>
      <c r="K161">
        <f t="shared" si="60"/>
        <v>5</v>
      </c>
      <c r="L161">
        <f t="shared" si="60"/>
        <v>3</v>
      </c>
      <c r="M161">
        <f t="shared" si="60"/>
        <v>7</v>
      </c>
      <c r="N161">
        <f t="shared" si="60"/>
        <v>7</v>
      </c>
      <c r="O161">
        <f t="shared" si="60"/>
        <v>0</v>
      </c>
      <c r="P161">
        <f t="shared" si="61"/>
        <v>0</v>
      </c>
      <c r="Q161">
        <f t="shared" si="61"/>
        <v>3</v>
      </c>
      <c r="R161">
        <f t="shared" si="61"/>
        <v>5</v>
      </c>
      <c r="S161">
        <f t="shared" si="61"/>
        <v>5</v>
      </c>
      <c r="T161">
        <f t="shared" si="61"/>
        <v>9</v>
      </c>
      <c r="U161">
        <f t="shared" si="61"/>
        <v>4</v>
      </c>
      <c r="V161">
        <f t="shared" si="61"/>
        <v>0</v>
      </c>
      <c r="W161">
        <f t="shared" si="61"/>
        <v>7</v>
      </c>
      <c r="X161">
        <f t="shared" si="61"/>
        <v>7</v>
      </c>
      <c r="Y161">
        <f t="shared" si="61"/>
        <v>7</v>
      </c>
      <c r="Z161">
        <f t="shared" si="62"/>
        <v>4</v>
      </c>
      <c r="AA161">
        <f t="shared" si="62"/>
        <v>0</v>
      </c>
      <c r="AB161">
        <f t="shared" si="62"/>
        <v>0</v>
      </c>
      <c r="AC161">
        <f t="shared" si="62"/>
        <v>1</v>
      </c>
      <c r="AD161">
        <f t="shared" si="62"/>
        <v>2</v>
      </c>
      <c r="AE161">
        <f t="shared" si="62"/>
        <v>0</v>
      </c>
      <c r="AF161" s="56">
        <f t="shared" si="51"/>
        <v>20</v>
      </c>
      <c r="AG161" s="59">
        <f t="shared" si="52"/>
        <v>5.4</v>
      </c>
      <c r="AH161">
        <f t="shared" si="53"/>
        <v>0.27</v>
      </c>
    </row>
    <row r="162" spans="1:34" ht="15" x14ac:dyDescent="0.2">
      <c r="A162">
        <v>532</v>
      </c>
      <c r="B162" s="57" t="s">
        <v>561</v>
      </c>
      <c r="C162" s="57"/>
      <c r="D162">
        <f t="shared" si="49"/>
        <v>134</v>
      </c>
      <c r="E162" s="1">
        <f t="shared" si="50"/>
        <v>23</v>
      </c>
      <c r="F162">
        <f t="shared" ref="F162:O171" si="63">LEN($B162)-LEN(SUBSTITUTE($B162,F$1,""))</f>
        <v>9</v>
      </c>
      <c r="G162">
        <f t="shared" si="63"/>
        <v>3</v>
      </c>
      <c r="H162">
        <f t="shared" si="63"/>
        <v>2</v>
      </c>
      <c r="I162">
        <f t="shared" si="63"/>
        <v>6</v>
      </c>
      <c r="J162">
        <f t="shared" si="63"/>
        <v>13</v>
      </c>
      <c r="K162">
        <f t="shared" si="63"/>
        <v>1</v>
      </c>
      <c r="L162">
        <f t="shared" si="63"/>
        <v>1</v>
      </c>
      <c r="M162">
        <f t="shared" si="63"/>
        <v>7</v>
      </c>
      <c r="N162">
        <f t="shared" si="63"/>
        <v>7</v>
      </c>
      <c r="O162">
        <f t="shared" si="63"/>
        <v>0</v>
      </c>
      <c r="P162">
        <f t="shared" ref="P162:Y171" si="64">LEN($B162)-LEN(SUBSTITUTE($B162,P$1,""))</f>
        <v>1</v>
      </c>
      <c r="Q162">
        <f t="shared" si="64"/>
        <v>10</v>
      </c>
      <c r="R162">
        <f t="shared" si="64"/>
        <v>0</v>
      </c>
      <c r="S162">
        <f t="shared" si="64"/>
        <v>4</v>
      </c>
      <c r="T162">
        <f t="shared" si="64"/>
        <v>4</v>
      </c>
      <c r="U162">
        <f t="shared" si="64"/>
        <v>1</v>
      </c>
      <c r="V162">
        <f t="shared" si="64"/>
        <v>0</v>
      </c>
      <c r="W162">
        <f t="shared" si="64"/>
        <v>8</v>
      </c>
      <c r="X162">
        <f t="shared" si="64"/>
        <v>7</v>
      </c>
      <c r="Y162">
        <f t="shared" si="64"/>
        <v>14</v>
      </c>
      <c r="Z162">
        <f t="shared" ref="Z162:AE171" si="65">LEN($B162)-LEN(SUBSTITUTE($B162,Z$1,""))</f>
        <v>5</v>
      </c>
      <c r="AA162">
        <f t="shared" si="65"/>
        <v>0</v>
      </c>
      <c r="AB162">
        <f t="shared" si="65"/>
        <v>5</v>
      </c>
      <c r="AC162">
        <f t="shared" si="65"/>
        <v>0</v>
      </c>
      <c r="AD162">
        <f t="shared" si="65"/>
        <v>2</v>
      </c>
      <c r="AE162">
        <f t="shared" si="65"/>
        <v>0</v>
      </c>
      <c r="AF162" s="56">
        <f t="shared" si="51"/>
        <v>20</v>
      </c>
      <c r="AG162" s="59">
        <f t="shared" si="52"/>
        <v>5.8260869565217392</v>
      </c>
      <c r="AH162">
        <f t="shared" si="53"/>
        <v>0.29130434782608694</v>
      </c>
    </row>
    <row r="163" spans="1:34" ht="15" x14ac:dyDescent="0.2">
      <c r="A163">
        <v>490</v>
      </c>
      <c r="B163" s="57" t="s">
        <v>528</v>
      </c>
      <c r="C163" s="57"/>
      <c r="D163">
        <f t="shared" si="49"/>
        <v>134</v>
      </c>
      <c r="E163" s="1">
        <f t="shared" si="50"/>
        <v>22</v>
      </c>
      <c r="F163">
        <f t="shared" si="63"/>
        <v>7</v>
      </c>
      <c r="G163">
        <f t="shared" si="63"/>
        <v>1</v>
      </c>
      <c r="H163">
        <f t="shared" si="63"/>
        <v>4</v>
      </c>
      <c r="I163">
        <f t="shared" si="63"/>
        <v>4</v>
      </c>
      <c r="J163">
        <f t="shared" si="63"/>
        <v>9</v>
      </c>
      <c r="K163">
        <f t="shared" si="63"/>
        <v>1</v>
      </c>
      <c r="L163">
        <f t="shared" si="63"/>
        <v>1</v>
      </c>
      <c r="M163">
        <f t="shared" si="63"/>
        <v>4</v>
      </c>
      <c r="N163">
        <f t="shared" si="63"/>
        <v>7</v>
      </c>
      <c r="O163">
        <f t="shared" si="63"/>
        <v>1</v>
      </c>
      <c r="P163">
        <f t="shared" si="64"/>
        <v>1</v>
      </c>
      <c r="Q163">
        <f t="shared" si="64"/>
        <v>4</v>
      </c>
      <c r="R163">
        <f t="shared" si="64"/>
        <v>3</v>
      </c>
      <c r="S163">
        <f t="shared" si="64"/>
        <v>4</v>
      </c>
      <c r="T163">
        <f t="shared" si="64"/>
        <v>12</v>
      </c>
      <c r="U163">
        <f t="shared" si="64"/>
        <v>3</v>
      </c>
      <c r="V163">
        <f t="shared" si="64"/>
        <v>0</v>
      </c>
      <c r="W163">
        <f t="shared" si="64"/>
        <v>9</v>
      </c>
      <c r="X163">
        <f t="shared" si="64"/>
        <v>7</v>
      </c>
      <c r="Y163">
        <f t="shared" si="64"/>
        <v>11</v>
      </c>
      <c r="Z163">
        <f t="shared" si="65"/>
        <v>3</v>
      </c>
      <c r="AA163">
        <f t="shared" si="65"/>
        <v>0</v>
      </c>
      <c r="AB163">
        <f t="shared" si="65"/>
        <v>2</v>
      </c>
      <c r="AC163">
        <f t="shared" si="65"/>
        <v>0</v>
      </c>
      <c r="AD163">
        <f t="shared" si="65"/>
        <v>3</v>
      </c>
      <c r="AE163">
        <f t="shared" si="65"/>
        <v>0</v>
      </c>
      <c r="AF163" s="56">
        <f t="shared" si="51"/>
        <v>22</v>
      </c>
      <c r="AG163" s="59">
        <f t="shared" si="52"/>
        <v>6.0909090909090908</v>
      </c>
      <c r="AH163">
        <f t="shared" si="53"/>
        <v>0.27685950413223143</v>
      </c>
    </row>
    <row r="164" spans="1:34" ht="15" x14ac:dyDescent="0.2">
      <c r="A164">
        <v>392</v>
      </c>
      <c r="B164" s="57" t="s">
        <v>668</v>
      </c>
      <c r="C164" s="57"/>
      <c r="D164">
        <f t="shared" si="49"/>
        <v>134</v>
      </c>
      <c r="E164" s="1">
        <f t="shared" si="50"/>
        <v>24</v>
      </c>
      <c r="F164">
        <f t="shared" si="63"/>
        <v>6</v>
      </c>
      <c r="G164">
        <f t="shared" si="63"/>
        <v>1</v>
      </c>
      <c r="H164">
        <f t="shared" si="63"/>
        <v>4</v>
      </c>
      <c r="I164">
        <f t="shared" si="63"/>
        <v>5</v>
      </c>
      <c r="J164">
        <f t="shared" si="63"/>
        <v>10</v>
      </c>
      <c r="K164">
        <f t="shared" si="63"/>
        <v>3</v>
      </c>
      <c r="L164">
        <f t="shared" si="63"/>
        <v>5</v>
      </c>
      <c r="M164">
        <f t="shared" si="63"/>
        <v>4</v>
      </c>
      <c r="N164">
        <f t="shared" si="63"/>
        <v>10</v>
      </c>
      <c r="O164">
        <f t="shared" si="63"/>
        <v>0</v>
      </c>
      <c r="P164">
        <f t="shared" si="64"/>
        <v>3</v>
      </c>
      <c r="Q164">
        <f t="shared" si="64"/>
        <v>2</v>
      </c>
      <c r="R164">
        <f t="shared" si="64"/>
        <v>4</v>
      </c>
      <c r="S164">
        <f t="shared" si="64"/>
        <v>7</v>
      </c>
      <c r="T164">
        <f t="shared" si="64"/>
        <v>11</v>
      </c>
      <c r="U164">
        <f t="shared" si="64"/>
        <v>1</v>
      </c>
      <c r="V164">
        <f t="shared" si="64"/>
        <v>0</v>
      </c>
      <c r="W164">
        <f t="shared" si="64"/>
        <v>5</v>
      </c>
      <c r="X164">
        <f t="shared" si="64"/>
        <v>3</v>
      </c>
      <c r="Y164">
        <f t="shared" si="64"/>
        <v>10</v>
      </c>
      <c r="Z164">
        <f t="shared" si="65"/>
        <v>4</v>
      </c>
      <c r="AA164">
        <f t="shared" si="65"/>
        <v>1</v>
      </c>
      <c r="AB164">
        <f t="shared" si="65"/>
        <v>2</v>
      </c>
      <c r="AC164">
        <f t="shared" si="65"/>
        <v>1</v>
      </c>
      <c r="AD164">
        <f t="shared" si="65"/>
        <v>2</v>
      </c>
      <c r="AE164">
        <f t="shared" si="65"/>
        <v>0</v>
      </c>
      <c r="AF164" s="56">
        <f t="shared" si="51"/>
        <v>23</v>
      </c>
      <c r="AG164" s="59">
        <f t="shared" si="52"/>
        <v>5.583333333333333</v>
      </c>
      <c r="AH164">
        <f t="shared" si="53"/>
        <v>0.24275362318840579</v>
      </c>
    </row>
    <row r="165" spans="1:34" ht="15" x14ac:dyDescent="0.2">
      <c r="A165">
        <v>545</v>
      </c>
      <c r="B165" s="57" t="s">
        <v>669</v>
      </c>
      <c r="C165" s="57"/>
      <c r="D165">
        <f t="shared" si="49"/>
        <v>133</v>
      </c>
      <c r="E165" s="1">
        <f t="shared" si="50"/>
        <v>20</v>
      </c>
      <c r="F165">
        <f t="shared" si="63"/>
        <v>9</v>
      </c>
      <c r="G165">
        <f t="shared" si="63"/>
        <v>2</v>
      </c>
      <c r="H165">
        <f t="shared" si="63"/>
        <v>2</v>
      </c>
      <c r="I165">
        <f t="shared" si="63"/>
        <v>1</v>
      </c>
      <c r="J165">
        <f t="shared" si="63"/>
        <v>13</v>
      </c>
      <c r="K165">
        <f t="shared" si="63"/>
        <v>1</v>
      </c>
      <c r="L165">
        <f t="shared" si="63"/>
        <v>0</v>
      </c>
      <c r="M165">
        <f t="shared" si="63"/>
        <v>2</v>
      </c>
      <c r="N165">
        <f t="shared" si="63"/>
        <v>9</v>
      </c>
      <c r="O165">
        <f t="shared" si="63"/>
        <v>2</v>
      </c>
      <c r="P165">
        <f t="shared" si="64"/>
        <v>0</v>
      </c>
      <c r="Q165">
        <f t="shared" si="64"/>
        <v>10</v>
      </c>
      <c r="R165">
        <f t="shared" si="64"/>
        <v>1</v>
      </c>
      <c r="S165">
        <f t="shared" si="64"/>
        <v>4</v>
      </c>
      <c r="T165">
        <f t="shared" si="64"/>
        <v>6</v>
      </c>
      <c r="U165">
        <f t="shared" si="64"/>
        <v>3</v>
      </c>
      <c r="V165">
        <f t="shared" si="64"/>
        <v>1</v>
      </c>
      <c r="W165">
        <f t="shared" si="64"/>
        <v>9</v>
      </c>
      <c r="X165">
        <f t="shared" si="64"/>
        <v>12</v>
      </c>
      <c r="Y165">
        <f t="shared" si="64"/>
        <v>7</v>
      </c>
      <c r="Z165">
        <f t="shared" si="65"/>
        <v>10</v>
      </c>
      <c r="AA165">
        <f t="shared" si="65"/>
        <v>0</v>
      </c>
      <c r="AB165">
        <f t="shared" si="65"/>
        <v>0</v>
      </c>
      <c r="AC165">
        <f t="shared" si="65"/>
        <v>2</v>
      </c>
      <c r="AD165">
        <f t="shared" si="65"/>
        <v>0</v>
      </c>
      <c r="AE165">
        <f t="shared" si="65"/>
        <v>0</v>
      </c>
      <c r="AF165" s="56">
        <f t="shared" si="51"/>
        <v>20</v>
      </c>
      <c r="AG165" s="59">
        <f t="shared" si="52"/>
        <v>6.65</v>
      </c>
      <c r="AH165">
        <f t="shared" si="53"/>
        <v>0.33250000000000002</v>
      </c>
    </row>
    <row r="166" spans="1:34" ht="15" x14ac:dyDescent="0.2">
      <c r="A166">
        <v>4</v>
      </c>
      <c r="B166" s="57" t="s">
        <v>69</v>
      </c>
      <c r="C166" s="57"/>
      <c r="D166">
        <f t="shared" si="49"/>
        <v>132</v>
      </c>
      <c r="E166" s="1">
        <f t="shared" si="50"/>
        <v>28</v>
      </c>
      <c r="F166">
        <f t="shared" si="63"/>
        <v>10</v>
      </c>
      <c r="G166">
        <f t="shared" si="63"/>
        <v>4</v>
      </c>
      <c r="H166">
        <f t="shared" si="63"/>
        <v>1</v>
      </c>
      <c r="I166">
        <f t="shared" si="63"/>
        <v>2</v>
      </c>
      <c r="J166">
        <f t="shared" si="63"/>
        <v>9</v>
      </c>
      <c r="K166">
        <f t="shared" si="63"/>
        <v>1</v>
      </c>
      <c r="L166">
        <f t="shared" si="63"/>
        <v>2</v>
      </c>
      <c r="M166">
        <f t="shared" si="63"/>
        <v>6</v>
      </c>
      <c r="N166">
        <f t="shared" si="63"/>
        <v>11</v>
      </c>
      <c r="O166">
        <f t="shared" si="63"/>
        <v>0</v>
      </c>
      <c r="P166">
        <f t="shared" si="64"/>
        <v>3</v>
      </c>
      <c r="Q166">
        <f t="shared" si="64"/>
        <v>5</v>
      </c>
      <c r="R166">
        <f t="shared" si="64"/>
        <v>3</v>
      </c>
      <c r="S166">
        <f t="shared" si="64"/>
        <v>12</v>
      </c>
      <c r="T166">
        <f t="shared" si="64"/>
        <v>4</v>
      </c>
      <c r="U166">
        <f t="shared" si="64"/>
        <v>0</v>
      </c>
      <c r="V166">
        <f t="shared" si="64"/>
        <v>0</v>
      </c>
      <c r="W166">
        <f t="shared" si="64"/>
        <v>4</v>
      </c>
      <c r="X166">
        <f t="shared" si="64"/>
        <v>8</v>
      </c>
      <c r="Y166">
        <f t="shared" si="64"/>
        <v>8</v>
      </c>
      <c r="Z166">
        <f t="shared" si="65"/>
        <v>4</v>
      </c>
      <c r="AA166">
        <f t="shared" si="65"/>
        <v>0</v>
      </c>
      <c r="AB166">
        <f t="shared" si="65"/>
        <v>5</v>
      </c>
      <c r="AC166">
        <f t="shared" si="65"/>
        <v>0</v>
      </c>
      <c r="AD166">
        <f t="shared" si="65"/>
        <v>1</v>
      </c>
      <c r="AE166">
        <f t="shared" si="65"/>
        <v>0</v>
      </c>
      <c r="AF166" s="56">
        <f t="shared" si="51"/>
        <v>20</v>
      </c>
      <c r="AG166" s="59">
        <f t="shared" si="52"/>
        <v>4.7142857142857144</v>
      </c>
      <c r="AH166">
        <f t="shared" si="53"/>
        <v>0.23571428571428571</v>
      </c>
    </row>
    <row r="167" spans="1:34" ht="15" x14ac:dyDescent="0.2">
      <c r="A167">
        <v>593</v>
      </c>
      <c r="B167" s="57" t="s">
        <v>613</v>
      </c>
      <c r="C167" s="57"/>
      <c r="D167">
        <f t="shared" si="49"/>
        <v>132</v>
      </c>
      <c r="E167" s="1">
        <f t="shared" si="50"/>
        <v>23</v>
      </c>
      <c r="F167">
        <f t="shared" si="63"/>
        <v>8</v>
      </c>
      <c r="G167">
        <f t="shared" si="63"/>
        <v>1</v>
      </c>
      <c r="H167">
        <f t="shared" si="63"/>
        <v>3</v>
      </c>
      <c r="I167">
        <f t="shared" si="63"/>
        <v>2</v>
      </c>
      <c r="J167">
        <f t="shared" si="63"/>
        <v>12</v>
      </c>
      <c r="K167">
        <f t="shared" si="63"/>
        <v>1</v>
      </c>
      <c r="L167">
        <f t="shared" si="63"/>
        <v>3</v>
      </c>
      <c r="M167">
        <f t="shared" si="63"/>
        <v>5</v>
      </c>
      <c r="N167">
        <f t="shared" si="63"/>
        <v>6</v>
      </c>
      <c r="O167">
        <f t="shared" si="63"/>
        <v>0</v>
      </c>
      <c r="P167">
        <f t="shared" si="64"/>
        <v>1</v>
      </c>
      <c r="Q167">
        <f t="shared" si="64"/>
        <v>7</v>
      </c>
      <c r="R167">
        <f t="shared" si="64"/>
        <v>5</v>
      </c>
      <c r="S167">
        <f t="shared" si="64"/>
        <v>7</v>
      </c>
      <c r="T167">
        <f t="shared" si="64"/>
        <v>10</v>
      </c>
      <c r="U167">
        <f t="shared" si="64"/>
        <v>2</v>
      </c>
      <c r="V167">
        <f t="shared" si="64"/>
        <v>0</v>
      </c>
      <c r="W167">
        <f t="shared" si="64"/>
        <v>6</v>
      </c>
      <c r="X167">
        <f t="shared" si="64"/>
        <v>9</v>
      </c>
      <c r="Y167">
        <f t="shared" si="64"/>
        <v>12</v>
      </c>
      <c r="Z167">
        <f t="shared" si="65"/>
        <v>2</v>
      </c>
      <c r="AA167">
        <f t="shared" si="65"/>
        <v>0</v>
      </c>
      <c r="AB167">
        <f t="shared" si="65"/>
        <v>2</v>
      </c>
      <c r="AC167">
        <f t="shared" si="65"/>
        <v>0</v>
      </c>
      <c r="AD167">
        <f t="shared" si="65"/>
        <v>4</v>
      </c>
      <c r="AE167">
        <f t="shared" si="65"/>
        <v>0</v>
      </c>
      <c r="AF167" s="56">
        <f t="shared" si="51"/>
        <v>21</v>
      </c>
      <c r="AG167" s="59">
        <f t="shared" si="52"/>
        <v>5.7391304347826084</v>
      </c>
      <c r="AH167">
        <f t="shared" si="53"/>
        <v>0.27329192546583847</v>
      </c>
    </row>
    <row r="168" spans="1:34" ht="15" x14ac:dyDescent="0.2">
      <c r="A168">
        <v>494</v>
      </c>
      <c r="B168" s="57" t="s">
        <v>532</v>
      </c>
      <c r="C168" s="57"/>
      <c r="D168">
        <f t="shared" si="49"/>
        <v>132</v>
      </c>
      <c r="E168" s="1">
        <f t="shared" si="50"/>
        <v>27</v>
      </c>
      <c r="F168">
        <f t="shared" si="63"/>
        <v>15</v>
      </c>
      <c r="G168">
        <f t="shared" si="63"/>
        <v>2</v>
      </c>
      <c r="H168">
        <f t="shared" si="63"/>
        <v>4</v>
      </c>
      <c r="I168">
        <f t="shared" si="63"/>
        <v>1</v>
      </c>
      <c r="J168">
        <f t="shared" si="63"/>
        <v>11</v>
      </c>
      <c r="K168">
        <f t="shared" si="63"/>
        <v>0</v>
      </c>
      <c r="L168">
        <f t="shared" si="63"/>
        <v>3</v>
      </c>
      <c r="M168">
        <f t="shared" si="63"/>
        <v>2</v>
      </c>
      <c r="N168">
        <f t="shared" si="63"/>
        <v>10</v>
      </c>
      <c r="O168">
        <f t="shared" si="63"/>
        <v>1</v>
      </c>
      <c r="P168">
        <f t="shared" si="64"/>
        <v>3</v>
      </c>
      <c r="Q168">
        <f t="shared" si="64"/>
        <v>7</v>
      </c>
      <c r="R168">
        <f t="shared" si="64"/>
        <v>0</v>
      </c>
      <c r="S168">
        <f t="shared" si="64"/>
        <v>10</v>
      </c>
      <c r="T168">
        <f t="shared" si="64"/>
        <v>5</v>
      </c>
      <c r="U168">
        <f t="shared" si="64"/>
        <v>0</v>
      </c>
      <c r="V168">
        <f t="shared" si="64"/>
        <v>0</v>
      </c>
      <c r="W168">
        <f t="shared" si="64"/>
        <v>3</v>
      </c>
      <c r="X168">
        <f t="shared" si="64"/>
        <v>13</v>
      </c>
      <c r="Y168">
        <f t="shared" si="64"/>
        <v>6</v>
      </c>
      <c r="Z168">
        <f t="shared" si="65"/>
        <v>2</v>
      </c>
      <c r="AA168">
        <f t="shared" si="65"/>
        <v>1</v>
      </c>
      <c r="AB168">
        <f t="shared" si="65"/>
        <v>2</v>
      </c>
      <c r="AC168">
        <f t="shared" si="65"/>
        <v>1</v>
      </c>
      <c r="AD168">
        <f t="shared" si="65"/>
        <v>2</v>
      </c>
      <c r="AE168">
        <f t="shared" si="65"/>
        <v>0</v>
      </c>
      <c r="AF168" s="56">
        <f t="shared" si="51"/>
        <v>21</v>
      </c>
      <c r="AG168" s="59">
        <f t="shared" si="52"/>
        <v>4.8888888888888893</v>
      </c>
      <c r="AH168">
        <f t="shared" si="53"/>
        <v>0.23280423280423282</v>
      </c>
    </row>
    <row r="169" spans="1:34" ht="15" x14ac:dyDescent="0.2">
      <c r="A169">
        <v>459</v>
      </c>
      <c r="B169" s="57" t="s">
        <v>500</v>
      </c>
      <c r="C169" s="57"/>
      <c r="D169">
        <f t="shared" si="49"/>
        <v>132</v>
      </c>
      <c r="E169" s="1">
        <f t="shared" si="50"/>
        <v>23</v>
      </c>
      <c r="F169">
        <f t="shared" si="63"/>
        <v>8</v>
      </c>
      <c r="G169">
        <f t="shared" si="63"/>
        <v>2</v>
      </c>
      <c r="H169">
        <f t="shared" si="63"/>
        <v>2</v>
      </c>
      <c r="I169">
        <f t="shared" si="63"/>
        <v>3</v>
      </c>
      <c r="J169">
        <f t="shared" si="63"/>
        <v>11</v>
      </c>
      <c r="K169">
        <f t="shared" si="63"/>
        <v>5</v>
      </c>
      <c r="L169">
        <f t="shared" si="63"/>
        <v>1</v>
      </c>
      <c r="M169">
        <f t="shared" si="63"/>
        <v>4</v>
      </c>
      <c r="N169">
        <f t="shared" si="63"/>
        <v>9</v>
      </c>
      <c r="O169">
        <f t="shared" si="63"/>
        <v>0</v>
      </c>
      <c r="P169">
        <f t="shared" si="64"/>
        <v>1</v>
      </c>
      <c r="Q169">
        <f t="shared" si="64"/>
        <v>7</v>
      </c>
      <c r="R169">
        <f t="shared" si="64"/>
        <v>4</v>
      </c>
      <c r="S169">
        <f t="shared" si="64"/>
        <v>4</v>
      </c>
      <c r="T169">
        <f t="shared" si="64"/>
        <v>11</v>
      </c>
      <c r="U169">
        <f t="shared" si="64"/>
        <v>2</v>
      </c>
      <c r="V169">
        <f t="shared" si="64"/>
        <v>0</v>
      </c>
      <c r="W169">
        <f t="shared" si="64"/>
        <v>4</v>
      </c>
      <c r="X169">
        <f t="shared" si="64"/>
        <v>5</v>
      </c>
      <c r="Y169">
        <f t="shared" si="64"/>
        <v>11</v>
      </c>
      <c r="Z169">
        <f t="shared" si="65"/>
        <v>5</v>
      </c>
      <c r="AA169">
        <f t="shared" si="65"/>
        <v>1</v>
      </c>
      <c r="AB169">
        <f t="shared" si="65"/>
        <v>1</v>
      </c>
      <c r="AC169">
        <f t="shared" si="65"/>
        <v>0</v>
      </c>
      <c r="AD169">
        <f t="shared" si="65"/>
        <v>1</v>
      </c>
      <c r="AE169">
        <f t="shared" si="65"/>
        <v>1</v>
      </c>
      <c r="AF169" s="56">
        <f t="shared" si="51"/>
        <v>23</v>
      </c>
      <c r="AG169" s="59">
        <f t="shared" si="52"/>
        <v>5.7391304347826084</v>
      </c>
      <c r="AH169">
        <f t="shared" si="53"/>
        <v>0.2495274102079395</v>
      </c>
    </row>
    <row r="170" spans="1:34" ht="15" x14ac:dyDescent="0.2">
      <c r="A170">
        <v>522</v>
      </c>
      <c r="B170" s="57" t="s">
        <v>553</v>
      </c>
      <c r="C170" s="57"/>
      <c r="D170">
        <f t="shared" si="49"/>
        <v>131</v>
      </c>
      <c r="E170" s="1">
        <f t="shared" si="50"/>
        <v>25</v>
      </c>
      <c r="F170">
        <f t="shared" si="63"/>
        <v>6</v>
      </c>
      <c r="G170">
        <f t="shared" si="63"/>
        <v>2</v>
      </c>
      <c r="H170">
        <f t="shared" si="63"/>
        <v>3</v>
      </c>
      <c r="I170">
        <f t="shared" si="63"/>
        <v>1</v>
      </c>
      <c r="J170">
        <f t="shared" si="63"/>
        <v>12</v>
      </c>
      <c r="K170">
        <f t="shared" si="63"/>
        <v>2</v>
      </c>
      <c r="L170">
        <f t="shared" si="63"/>
        <v>1</v>
      </c>
      <c r="M170">
        <f t="shared" si="63"/>
        <v>6</v>
      </c>
      <c r="N170">
        <f t="shared" si="63"/>
        <v>10</v>
      </c>
      <c r="O170">
        <f t="shared" si="63"/>
        <v>0</v>
      </c>
      <c r="P170">
        <f t="shared" si="64"/>
        <v>1</v>
      </c>
      <c r="Q170">
        <f t="shared" si="64"/>
        <v>7</v>
      </c>
      <c r="R170">
        <f t="shared" si="64"/>
        <v>3</v>
      </c>
      <c r="S170">
        <f t="shared" si="64"/>
        <v>4</v>
      </c>
      <c r="T170">
        <f t="shared" si="64"/>
        <v>8</v>
      </c>
      <c r="U170">
        <f t="shared" si="64"/>
        <v>3</v>
      </c>
      <c r="V170">
        <f t="shared" si="64"/>
        <v>0</v>
      </c>
      <c r="W170">
        <f t="shared" si="64"/>
        <v>5</v>
      </c>
      <c r="X170">
        <f t="shared" si="64"/>
        <v>8</v>
      </c>
      <c r="Y170">
        <f t="shared" si="64"/>
        <v>13</v>
      </c>
      <c r="Z170">
        <f t="shared" si="65"/>
        <v>2</v>
      </c>
      <c r="AA170">
        <f t="shared" si="65"/>
        <v>2</v>
      </c>
      <c r="AB170">
        <f t="shared" si="65"/>
        <v>2</v>
      </c>
      <c r="AC170">
        <f t="shared" si="65"/>
        <v>0</v>
      </c>
      <c r="AD170">
        <f t="shared" si="65"/>
        <v>3</v>
      </c>
      <c r="AE170">
        <f t="shared" si="65"/>
        <v>0</v>
      </c>
      <c r="AF170" s="56">
        <f t="shared" si="51"/>
        <v>22</v>
      </c>
      <c r="AG170" s="59">
        <f t="shared" si="52"/>
        <v>5.24</v>
      </c>
      <c r="AH170">
        <f t="shared" si="53"/>
        <v>0.23818181818181819</v>
      </c>
    </row>
    <row r="171" spans="1:34" ht="15" x14ac:dyDescent="0.2">
      <c r="A171">
        <v>501</v>
      </c>
      <c r="B171" s="57" t="s">
        <v>537</v>
      </c>
      <c r="C171" s="57"/>
      <c r="D171">
        <f t="shared" si="49"/>
        <v>131</v>
      </c>
      <c r="E171" s="1">
        <f t="shared" si="50"/>
        <v>25</v>
      </c>
      <c r="F171">
        <f t="shared" si="63"/>
        <v>8</v>
      </c>
      <c r="G171">
        <f t="shared" si="63"/>
        <v>1</v>
      </c>
      <c r="H171">
        <f t="shared" si="63"/>
        <v>3</v>
      </c>
      <c r="I171">
        <f t="shared" si="63"/>
        <v>4</v>
      </c>
      <c r="J171">
        <f t="shared" si="63"/>
        <v>9</v>
      </c>
      <c r="K171">
        <f t="shared" si="63"/>
        <v>1</v>
      </c>
      <c r="L171">
        <f t="shared" si="63"/>
        <v>4</v>
      </c>
      <c r="M171">
        <f t="shared" si="63"/>
        <v>6</v>
      </c>
      <c r="N171">
        <f t="shared" si="63"/>
        <v>9</v>
      </c>
      <c r="O171">
        <f t="shared" si="63"/>
        <v>0</v>
      </c>
      <c r="P171">
        <f t="shared" si="64"/>
        <v>1</v>
      </c>
      <c r="Q171">
        <f t="shared" si="64"/>
        <v>6</v>
      </c>
      <c r="R171">
        <f t="shared" si="64"/>
        <v>2</v>
      </c>
      <c r="S171">
        <f t="shared" si="64"/>
        <v>8</v>
      </c>
      <c r="T171">
        <f t="shared" si="64"/>
        <v>10</v>
      </c>
      <c r="U171">
        <f t="shared" si="64"/>
        <v>3</v>
      </c>
      <c r="V171">
        <f t="shared" si="64"/>
        <v>0</v>
      </c>
      <c r="W171">
        <f t="shared" si="64"/>
        <v>3</v>
      </c>
      <c r="X171">
        <f t="shared" si="64"/>
        <v>5</v>
      </c>
      <c r="Y171">
        <f t="shared" si="64"/>
        <v>5</v>
      </c>
      <c r="Z171">
        <f t="shared" si="65"/>
        <v>4</v>
      </c>
      <c r="AA171">
        <f t="shared" si="65"/>
        <v>2</v>
      </c>
      <c r="AB171">
        <f t="shared" si="65"/>
        <v>6</v>
      </c>
      <c r="AC171">
        <f t="shared" si="65"/>
        <v>0</v>
      </c>
      <c r="AD171">
        <f t="shared" si="65"/>
        <v>5</v>
      </c>
      <c r="AE171">
        <f t="shared" si="65"/>
        <v>0</v>
      </c>
      <c r="AF171" s="56">
        <f t="shared" si="51"/>
        <v>22</v>
      </c>
      <c r="AG171" s="59">
        <f t="shared" si="52"/>
        <v>5.24</v>
      </c>
      <c r="AH171">
        <f t="shared" si="53"/>
        <v>0.23818181818181819</v>
      </c>
    </row>
    <row r="172" spans="1:34" ht="15" x14ac:dyDescent="0.2">
      <c r="A172">
        <v>452</v>
      </c>
      <c r="B172" s="57" t="s">
        <v>494</v>
      </c>
      <c r="C172" s="57"/>
      <c r="D172">
        <f t="shared" si="49"/>
        <v>131</v>
      </c>
      <c r="E172" s="1">
        <f t="shared" si="50"/>
        <v>26</v>
      </c>
      <c r="F172">
        <f t="shared" ref="F172:O181" si="66">LEN($B172)-LEN(SUBSTITUTE($B172,F$1,""))</f>
        <v>9</v>
      </c>
      <c r="G172">
        <f t="shared" si="66"/>
        <v>2</v>
      </c>
      <c r="H172">
        <f t="shared" si="66"/>
        <v>4</v>
      </c>
      <c r="I172">
        <f t="shared" si="66"/>
        <v>4</v>
      </c>
      <c r="J172">
        <f t="shared" si="66"/>
        <v>17</v>
      </c>
      <c r="K172">
        <f t="shared" si="66"/>
        <v>1</v>
      </c>
      <c r="L172">
        <f t="shared" si="66"/>
        <v>3</v>
      </c>
      <c r="M172">
        <f t="shared" si="66"/>
        <v>6</v>
      </c>
      <c r="N172">
        <f t="shared" si="66"/>
        <v>2</v>
      </c>
      <c r="O172">
        <f t="shared" si="66"/>
        <v>0</v>
      </c>
      <c r="P172">
        <f t="shared" ref="P172:Y181" si="67">LEN($B172)-LEN(SUBSTITUTE($B172,P$1,""))</f>
        <v>1</v>
      </c>
      <c r="Q172">
        <f t="shared" si="67"/>
        <v>2</v>
      </c>
      <c r="R172">
        <f t="shared" si="67"/>
        <v>1</v>
      </c>
      <c r="S172">
        <f t="shared" si="67"/>
        <v>4</v>
      </c>
      <c r="T172">
        <f t="shared" si="67"/>
        <v>6</v>
      </c>
      <c r="U172">
        <f t="shared" si="67"/>
        <v>4</v>
      </c>
      <c r="V172">
        <f t="shared" si="67"/>
        <v>0</v>
      </c>
      <c r="W172">
        <f t="shared" si="67"/>
        <v>5</v>
      </c>
      <c r="X172">
        <f t="shared" si="67"/>
        <v>8</v>
      </c>
      <c r="Y172">
        <f t="shared" si="67"/>
        <v>14</v>
      </c>
      <c r="Z172">
        <f t="shared" ref="Z172:AE181" si="68">LEN($B172)-LEN(SUBSTITUTE($B172,Z$1,""))</f>
        <v>3</v>
      </c>
      <c r="AA172">
        <f t="shared" si="68"/>
        <v>1</v>
      </c>
      <c r="AB172">
        <f t="shared" si="68"/>
        <v>1</v>
      </c>
      <c r="AC172">
        <f t="shared" si="68"/>
        <v>0</v>
      </c>
      <c r="AD172">
        <f t="shared" si="68"/>
        <v>2</v>
      </c>
      <c r="AE172">
        <f t="shared" si="68"/>
        <v>0</v>
      </c>
      <c r="AF172" s="56">
        <f t="shared" si="51"/>
        <v>22</v>
      </c>
      <c r="AG172" s="59">
        <f t="shared" si="52"/>
        <v>5.0384615384615383</v>
      </c>
      <c r="AH172">
        <f t="shared" si="53"/>
        <v>0.22902097902097901</v>
      </c>
    </row>
    <row r="173" spans="1:34" ht="15" x14ac:dyDescent="0.2">
      <c r="A173">
        <v>179</v>
      </c>
      <c r="B173" s="57" t="s">
        <v>243</v>
      </c>
      <c r="C173" s="57"/>
      <c r="D173">
        <f t="shared" si="49"/>
        <v>129</v>
      </c>
      <c r="E173" s="1">
        <f t="shared" si="50"/>
        <v>28</v>
      </c>
      <c r="F173">
        <f t="shared" si="66"/>
        <v>10</v>
      </c>
      <c r="G173">
        <f t="shared" si="66"/>
        <v>5</v>
      </c>
      <c r="H173">
        <f t="shared" si="66"/>
        <v>0</v>
      </c>
      <c r="I173">
        <f t="shared" si="66"/>
        <v>5</v>
      </c>
      <c r="J173">
        <f t="shared" si="66"/>
        <v>12</v>
      </c>
      <c r="K173">
        <f t="shared" si="66"/>
        <v>2</v>
      </c>
      <c r="L173">
        <f t="shared" si="66"/>
        <v>4</v>
      </c>
      <c r="M173">
        <f t="shared" si="66"/>
        <v>6</v>
      </c>
      <c r="N173">
        <f t="shared" si="66"/>
        <v>6</v>
      </c>
      <c r="O173">
        <f t="shared" si="66"/>
        <v>0</v>
      </c>
      <c r="P173">
        <f t="shared" si="67"/>
        <v>0</v>
      </c>
      <c r="Q173">
        <f t="shared" si="67"/>
        <v>3</v>
      </c>
      <c r="R173">
        <f t="shared" si="67"/>
        <v>2</v>
      </c>
      <c r="S173">
        <f t="shared" si="67"/>
        <v>6</v>
      </c>
      <c r="T173">
        <f t="shared" si="67"/>
        <v>11</v>
      </c>
      <c r="U173">
        <f t="shared" si="67"/>
        <v>0</v>
      </c>
      <c r="V173">
        <f t="shared" si="67"/>
        <v>0</v>
      </c>
      <c r="W173">
        <f t="shared" si="67"/>
        <v>5</v>
      </c>
      <c r="X173">
        <f t="shared" si="67"/>
        <v>5</v>
      </c>
      <c r="Y173">
        <f t="shared" si="67"/>
        <v>10</v>
      </c>
      <c r="Z173">
        <f t="shared" si="68"/>
        <v>1</v>
      </c>
      <c r="AA173">
        <f t="shared" si="68"/>
        <v>2</v>
      </c>
      <c r="AB173">
        <f t="shared" si="68"/>
        <v>3</v>
      </c>
      <c r="AC173">
        <f t="shared" si="68"/>
        <v>0</v>
      </c>
      <c r="AD173">
        <f t="shared" si="68"/>
        <v>2</v>
      </c>
      <c r="AE173">
        <f t="shared" si="68"/>
        <v>0</v>
      </c>
      <c r="AF173" s="56">
        <f t="shared" si="51"/>
        <v>19</v>
      </c>
      <c r="AG173" s="59">
        <f t="shared" si="52"/>
        <v>4.6071428571428568</v>
      </c>
      <c r="AH173">
        <f t="shared" si="53"/>
        <v>0.24248120300751877</v>
      </c>
    </row>
    <row r="174" spans="1:34" ht="15" x14ac:dyDescent="0.2">
      <c r="A174">
        <v>277</v>
      </c>
      <c r="B174" s="57" t="s">
        <v>339</v>
      </c>
      <c r="C174" s="57"/>
      <c r="D174">
        <f t="shared" si="49"/>
        <v>129</v>
      </c>
      <c r="E174" s="1">
        <f t="shared" si="50"/>
        <v>20</v>
      </c>
      <c r="F174">
        <f t="shared" si="66"/>
        <v>8</v>
      </c>
      <c r="G174">
        <f t="shared" si="66"/>
        <v>0</v>
      </c>
      <c r="H174">
        <f t="shared" si="66"/>
        <v>2</v>
      </c>
      <c r="I174">
        <f t="shared" si="66"/>
        <v>1</v>
      </c>
      <c r="J174">
        <f t="shared" si="66"/>
        <v>10</v>
      </c>
      <c r="K174">
        <f t="shared" si="66"/>
        <v>3</v>
      </c>
      <c r="L174">
        <f t="shared" si="66"/>
        <v>6</v>
      </c>
      <c r="M174">
        <f t="shared" si="66"/>
        <v>0</v>
      </c>
      <c r="N174">
        <f t="shared" si="66"/>
        <v>12</v>
      </c>
      <c r="O174">
        <f t="shared" si="66"/>
        <v>1</v>
      </c>
      <c r="P174">
        <f t="shared" si="67"/>
        <v>0</v>
      </c>
      <c r="Q174">
        <f t="shared" si="67"/>
        <v>4</v>
      </c>
      <c r="R174">
        <f t="shared" si="67"/>
        <v>7</v>
      </c>
      <c r="S174">
        <f t="shared" si="67"/>
        <v>6</v>
      </c>
      <c r="T174">
        <f t="shared" si="67"/>
        <v>8</v>
      </c>
      <c r="U174">
        <f t="shared" si="67"/>
        <v>5</v>
      </c>
      <c r="V174">
        <f t="shared" si="67"/>
        <v>0</v>
      </c>
      <c r="W174">
        <f t="shared" si="67"/>
        <v>8</v>
      </c>
      <c r="X174">
        <f t="shared" si="67"/>
        <v>9</v>
      </c>
      <c r="Y174">
        <f t="shared" si="67"/>
        <v>6</v>
      </c>
      <c r="Z174">
        <f t="shared" si="68"/>
        <v>2</v>
      </c>
      <c r="AA174">
        <f t="shared" si="68"/>
        <v>2</v>
      </c>
      <c r="AB174">
        <f t="shared" si="68"/>
        <v>0</v>
      </c>
      <c r="AC174">
        <f t="shared" si="68"/>
        <v>1</v>
      </c>
      <c r="AD174">
        <f t="shared" si="68"/>
        <v>1</v>
      </c>
      <c r="AE174">
        <f t="shared" si="68"/>
        <v>0</v>
      </c>
      <c r="AF174" s="56">
        <f t="shared" si="51"/>
        <v>20</v>
      </c>
      <c r="AG174" s="59">
        <f t="shared" si="52"/>
        <v>6.45</v>
      </c>
      <c r="AH174">
        <f t="shared" si="53"/>
        <v>0.32250000000000001</v>
      </c>
    </row>
    <row r="175" spans="1:34" ht="15" x14ac:dyDescent="0.2">
      <c r="A175">
        <v>506</v>
      </c>
      <c r="B175" s="57" t="s">
        <v>541</v>
      </c>
      <c r="C175" s="57"/>
      <c r="D175">
        <f t="shared" si="49"/>
        <v>129</v>
      </c>
      <c r="E175" s="1">
        <f t="shared" si="50"/>
        <v>22</v>
      </c>
      <c r="F175">
        <f t="shared" si="66"/>
        <v>7</v>
      </c>
      <c r="G175">
        <f t="shared" si="66"/>
        <v>0</v>
      </c>
      <c r="H175">
        <f t="shared" si="66"/>
        <v>2</v>
      </c>
      <c r="I175">
        <f t="shared" si="66"/>
        <v>4</v>
      </c>
      <c r="J175">
        <f t="shared" si="66"/>
        <v>11</v>
      </c>
      <c r="K175">
        <f t="shared" si="66"/>
        <v>1</v>
      </c>
      <c r="L175">
        <f t="shared" si="66"/>
        <v>1</v>
      </c>
      <c r="M175">
        <f t="shared" si="66"/>
        <v>4</v>
      </c>
      <c r="N175">
        <f t="shared" si="66"/>
        <v>11</v>
      </c>
      <c r="O175">
        <f t="shared" si="66"/>
        <v>0</v>
      </c>
      <c r="P175">
        <f t="shared" si="67"/>
        <v>1</v>
      </c>
      <c r="Q175">
        <f t="shared" si="67"/>
        <v>3</v>
      </c>
      <c r="R175">
        <f t="shared" si="67"/>
        <v>3</v>
      </c>
      <c r="S175">
        <f t="shared" si="67"/>
        <v>10</v>
      </c>
      <c r="T175">
        <f t="shared" si="67"/>
        <v>11</v>
      </c>
      <c r="U175">
        <f t="shared" si="67"/>
        <v>4</v>
      </c>
      <c r="V175">
        <f t="shared" si="67"/>
        <v>1</v>
      </c>
      <c r="W175">
        <f t="shared" si="67"/>
        <v>7</v>
      </c>
      <c r="X175">
        <f t="shared" si="67"/>
        <v>5</v>
      </c>
      <c r="Y175">
        <f t="shared" si="67"/>
        <v>7</v>
      </c>
      <c r="Z175">
        <f t="shared" si="68"/>
        <v>3</v>
      </c>
      <c r="AA175">
        <f t="shared" si="68"/>
        <v>2</v>
      </c>
      <c r="AB175">
        <f t="shared" si="68"/>
        <v>0</v>
      </c>
      <c r="AC175">
        <f t="shared" si="68"/>
        <v>0</v>
      </c>
      <c r="AD175">
        <f t="shared" si="68"/>
        <v>1</v>
      </c>
      <c r="AE175">
        <f t="shared" si="68"/>
        <v>0</v>
      </c>
      <c r="AF175" s="56">
        <f t="shared" si="51"/>
        <v>21</v>
      </c>
      <c r="AG175" s="59">
        <f t="shared" si="52"/>
        <v>5.8636363636363633</v>
      </c>
      <c r="AH175">
        <f t="shared" si="53"/>
        <v>0.2792207792207792</v>
      </c>
    </row>
    <row r="176" spans="1:34" ht="15" x14ac:dyDescent="0.2">
      <c r="A176">
        <v>296</v>
      </c>
      <c r="B176" s="57" t="s">
        <v>357</v>
      </c>
      <c r="C176" s="57"/>
      <c r="D176">
        <f t="shared" si="49"/>
        <v>129</v>
      </c>
      <c r="E176" s="1">
        <f t="shared" si="50"/>
        <v>22</v>
      </c>
      <c r="F176">
        <f t="shared" si="66"/>
        <v>4</v>
      </c>
      <c r="G176">
        <f t="shared" si="66"/>
        <v>0</v>
      </c>
      <c r="H176">
        <f t="shared" si="66"/>
        <v>3</v>
      </c>
      <c r="I176">
        <f t="shared" si="66"/>
        <v>4</v>
      </c>
      <c r="J176">
        <f t="shared" si="66"/>
        <v>13</v>
      </c>
      <c r="K176">
        <f t="shared" si="66"/>
        <v>1</v>
      </c>
      <c r="L176">
        <f t="shared" si="66"/>
        <v>2</v>
      </c>
      <c r="M176">
        <f t="shared" si="66"/>
        <v>1</v>
      </c>
      <c r="N176">
        <f t="shared" si="66"/>
        <v>9</v>
      </c>
      <c r="O176">
        <f t="shared" si="66"/>
        <v>0</v>
      </c>
      <c r="P176">
        <f t="shared" si="67"/>
        <v>2</v>
      </c>
      <c r="Q176">
        <f t="shared" si="67"/>
        <v>2</v>
      </c>
      <c r="R176">
        <f t="shared" si="67"/>
        <v>2</v>
      </c>
      <c r="S176">
        <f t="shared" si="67"/>
        <v>10</v>
      </c>
      <c r="T176">
        <f t="shared" si="67"/>
        <v>13</v>
      </c>
      <c r="U176">
        <f t="shared" si="67"/>
        <v>4</v>
      </c>
      <c r="V176">
        <f t="shared" si="67"/>
        <v>1</v>
      </c>
      <c r="W176">
        <f t="shared" si="67"/>
        <v>6</v>
      </c>
      <c r="X176">
        <f t="shared" si="67"/>
        <v>8</v>
      </c>
      <c r="Y176">
        <f t="shared" si="67"/>
        <v>8</v>
      </c>
      <c r="Z176">
        <f t="shared" si="68"/>
        <v>2</v>
      </c>
      <c r="AA176">
        <f t="shared" si="68"/>
        <v>0</v>
      </c>
      <c r="AB176">
        <f t="shared" si="68"/>
        <v>3</v>
      </c>
      <c r="AC176">
        <f t="shared" si="68"/>
        <v>1</v>
      </c>
      <c r="AD176">
        <f t="shared" si="68"/>
        <v>2</v>
      </c>
      <c r="AE176">
        <f t="shared" si="68"/>
        <v>0</v>
      </c>
      <c r="AF176" s="56">
        <f t="shared" si="51"/>
        <v>22</v>
      </c>
      <c r="AG176" s="59">
        <f t="shared" si="52"/>
        <v>5.8636363636363633</v>
      </c>
      <c r="AH176">
        <f t="shared" si="53"/>
        <v>0.26652892561983471</v>
      </c>
    </row>
    <row r="177" spans="1:34" ht="15" x14ac:dyDescent="0.2">
      <c r="A177">
        <v>293</v>
      </c>
      <c r="B177" s="57" t="s">
        <v>631</v>
      </c>
      <c r="C177" s="57"/>
      <c r="D177">
        <f t="shared" si="49"/>
        <v>128</v>
      </c>
      <c r="E177" s="1">
        <f t="shared" si="50"/>
        <v>21</v>
      </c>
      <c r="F177">
        <f t="shared" si="66"/>
        <v>7</v>
      </c>
      <c r="G177">
        <f t="shared" si="66"/>
        <v>1</v>
      </c>
      <c r="H177">
        <f t="shared" si="66"/>
        <v>5</v>
      </c>
      <c r="I177">
        <f t="shared" si="66"/>
        <v>6</v>
      </c>
      <c r="J177">
        <f t="shared" si="66"/>
        <v>17</v>
      </c>
      <c r="K177">
        <f t="shared" si="66"/>
        <v>2</v>
      </c>
      <c r="L177">
        <f t="shared" si="66"/>
        <v>2</v>
      </c>
      <c r="M177">
        <f t="shared" si="66"/>
        <v>3</v>
      </c>
      <c r="N177">
        <f t="shared" si="66"/>
        <v>5</v>
      </c>
      <c r="O177">
        <f t="shared" si="66"/>
        <v>0</v>
      </c>
      <c r="P177">
        <f t="shared" si="67"/>
        <v>0</v>
      </c>
      <c r="Q177">
        <f t="shared" si="67"/>
        <v>4</v>
      </c>
      <c r="R177">
        <f t="shared" si="67"/>
        <v>0</v>
      </c>
      <c r="S177">
        <f t="shared" si="67"/>
        <v>10</v>
      </c>
      <c r="T177">
        <f t="shared" si="67"/>
        <v>10</v>
      </c>
      <c r="U177">
        <f t="shared" si="67"/>
        <v>3</v>
      </c>
      <c r="V177">
        <f t="shared" si="67"/>
        <v>0</v>
      </c>
      <c r="W177">
        <f t="shared" si="67"/>
        <v>6</v>
      </c>
      <c r="X177">
        <f t="shared" si="67"/>
        <v>9</v>
      </c>
      <c r="Y177">
        <f t="shared" si="67"/>
        <v>7</v>
      </c>
      <c r="Z177">
        <f t="shared" si="68"/>
        <v>6</v>
      </c>
      <c r="AA177">
        <f t="shared" si="68"/>
        <v>2</v>
      </c>
      <c r="AB177">
        <f t="shared" si="68"/>
        <v>0</v>
      </c>
      <c r="AC177">
        <f t="shared" si="68"/>
        <v>1</v>
      </c>
      <c r="AD177">
        <f t="shared" si="68"/>
        <v>0</v>
      </c>
      <c r="AE177">
        <f t="shared" si="68"/>
        <v>0</v>
      </c>
      <c r="AF177" s="56">
        <f t="shared" si="51"/>
        <v>19</v>
      </c>
      <c r="AG177" s="59">
        <f t="shared" si="52"/>
        <v>6.0952380952380949</v>
      </c>
      <c r="AH177">
        <f t="shared" si="53"/>
        <v>0.32080200501253131</v>
      </c>
    </row>
    <row r="178" spans="1:34" ht="15" x14ac:dyDescent="0.2">
      <c r="A178">
        <v>514</v>
      </c>
      <c r="B178" s="57" t="s">
        <v>549</v>
      </c>
      <c r="C178" s="57"/>
      <c r="D178">
        <f t="shared" si="49"/>
        <v>128</v>
      </c>
      <c r="E178" s="1">
        <f t="shared" si="50"/>
        <v>20</v>
      </c>
      <c r="F178">
        <f t="shared" si="66"/>
        <v>7</v>
      </c>
      <c r="G178">
        <f t="shared" si="66"/>
        <v>1</v>
      </c>
      <c r="H178">
        <f t="shared" si="66"/>
        <v>1</v>
      </c>
      <c r="I178">
        <f t="shared" si="66"/>
        <v>3</v>
      </c>
      <c r="J178">
        <f t="shared" si="66"/>
        <v>17</v>
      </c>
      <c r="K178">
        <f t="shared" si="66"/>
        <v>2</v>
      </c>
      <c r="L178">
        <f t="shared" si="66"/>
        <v>3</v>
      </c>
      <c r="M178">
        <f t="shared" si="66"/>
        <v>2</v>
      </c>
      <c r="N178">
        <f t="shared" si="66"/>
        <v>4</v>
      </c>
      <c r="O178">
        <f t="shared" si="66"/>
        <v>0</v>
      </c>
      <c r="P178">
        <f t="shared" si="67"/>
        <v>4</v>
      </c>
      <c r="Q178">
        <f t="shared" si="67"/>
        <v>7</v>
      </c>
      <c r="R178">
        <f t="shared" si="67"/>
        <v>3</v>
      </c>
      <c r="S178">
        <f t="shared" si="67"/>
        <v>8</v>
      </c>
      <c r="T178">
        <f t="shared" si="67"/>
        <v>7</v>
      </c>
      <c r="U178">
        <f t="shared" si="67"/>
        <v>1</v>
      </c>
      <c r="V178">
        <f t="shared" si="67"/>
        <v>0</v>
      </c>
      <c r="W178">
        <f t="shared" si="67"/>
        <v>5</v>
      </c>
      <c r="X178">
        <f t="shared" si="67"/>
        <v>6</v>
      </c>
      <c r="Y178">
        <f t="shared" si="67"/>
        <v>3</v>
      </c>
      <c r="Z178">
        <f t="shared" si="68"/>
        <v>6</v>
      </c>
      <c r="AA178">
        <f t="shared" si="68"/>
        <v>2</v>
      </c>
      <c r="AB178">
        <f t="shared" si="68"/>
        <v>2</v>
      </c>
      <c r="AC178">
        <f t="shared" si="68"/>
        <v>0</v>
      </c>
      <c r="AD178">
        <f t="shared" si="68"/>
        <v>3</v>
      </c>
      <c r="AE178">
        <f t="shared" si="68"/>
        <v>0</v>
      </c>
      <c r="AF178" s="56">
        <f t="shared" si="51"/>
        <v>22</v>
      </c>
      <c r="AG178" s="59">
        <f t="shared" si="52"/>
        <v>6.4</v>
      </c>
      <c r="AH178">
        <f t="shared" si="53"/>
        <v>0.29090909090909095</v>
      </c>
    </row>
    <row r="179" spans="1:34" ht="15" x14ac:dyDescent="0.2">
      <c r="A179">
        <v>166</v>
      </c>
      <c r="B179" s="57" t="s">
        <v>230</v>
      </c>
      <c r="C179" s="57"/>
      <c r="D179">
        <f t="shared" si="49"/>
        <v>128</v>
      </c>
      <c r="E179" s="1">
        <f t="shared" si="50"/>
        <v>23</v>
      </c>
      <c r="F179">
        <f t="shared" si="66"/>
        <v>7</v>
      </c>
      <c r="G179">
        <f t="shared" si="66"/>
        <v>1</v>
      </c>
      <c r="H179">
        <f t="shared" si="66"/>
        <v>3</v>
      </c>
      <c r="I179">
        <f t="shared" si="66"/>
        <v>5</v>
      </c>
      <c r="J179">
        <f t="shared" si="66"/>
        <v>12</v>
      </c>
      <c r="K179">
        <f t="shared" si="66"/>
        <v>1</v>
      </c>
      <c r="L179">
        <f t="shared" si="66"/>
        <v>3</v>
      </c>
      <c r="M179">
        <f t="shared" si="66"/>
        <v>3</v>
      </c>
      <c r="N179">
        <f t="shared" si="66"/>
        <v>10</v>
      </c>
      <c r="O179">
        <f t="shared" si="66"/>
        <v>0</v>
      </c>
      <c r="P179">
        <f t="shared" si="67"/>
        <v>1</v>
      </c>
      <c r="Q179">
        <f t="shared" si="67"/>
        <v>2</v>
      </c>
      <c r="R179">
        <f t="shared" si="67"/>
        <v>4</v>
      </c>
      <c r="S179">
        <f t="shared" si="67"/>
        <v>8</v>
      </c>
      <c r="T179">
        <f t="shared" si="67"/>
        <v>16</v>
      </c>
      <c r="U179">
        <f t="shared" si="67"/>
        <v>0</v>
      </c>
      <c r="V179">
        <f t="shared" si="67"/>
        <v>0</v>
      </c>
      <c r="W179">
        <f t="shared" si="67"/>
        <v>7</v>
      </c>
      <c r="X179">
        <f t="shared" si="67"/>
        <v>4</v>
      </c>
      <c r="Y179">
        <f t="shared" si="67"/>
        <v>7</v>
      </c>
      <c r="Z179">
        <f t="shared" si="68"/>
        <v>2</v>
      </c>
      <c r="AA179">
        <f t="shared" si="68"/>
        <v>3</v>
      </c>
      <c r="AB179">
        <f t="shared" si="68"/>
        <v>1</v>
      </c>
      <c r="AC179">
        <f t="shared" si="68"/>
        <v>1</v>
      </c>
      <c r="AD179">
        <f t="shared" si="68"/>
        <v>2</v>
      </c>
      <c r="AE179">
        <f t="shared" si="68"/>
        <v>0</v>
      </c>
      <c r="AF179" s="56">
        <f t="shared" si="51"/>
        <v>22</v>
      </c>
      <c r="AG179" s="59">
        <f t="shared" si="52"/>
        <v>5.5652173913043477</v>
      </c>
      <c r="AH179">
        <f t="shared" si="53"/>
        <v>0.25296442687747034</v>
      </c>
    </row>
    <row r="180" spans="1:34" ht="15" x14ac:dyDescent="0.2">
      <c r="A180">
        <v>178</v>
      </c>
      <c r="B180" s="57" t="s">
        <v>242</v>
      </c>
      <c r="C180" s="57"/>
      <c r="D180">
        <f t="shared" si="49"/>
        <v>127</v>
      </c>
      <c r="E180" s="1">
        <f t="shared" si="50"/>
        <v>22</v>
      </c>
      <c r="F180">
        <f t="shared" si="66"/>
        <v>4</v>
      </c>
      <c r="G180">
        <f t="shared" si="66"/>
        <v>2</v>
      </c>
      <c r="H180">
        <f t="shared" si="66"/>
        <v>6</v>
      </c>
      <c r="I180">
        <f t="shared" si="66"/>
        <v>1</v>
      </c>
      <c r="J180">
        <f t="shared" si="66"/>
        <v>8</v>
      </c>
      <c r="K180">
        <f t="shared" si="66"/>
        <v>2</v>
      </c>
      <c r="L180">
        <f t="shared" si="66"/>
        <v>0</v>
      </c>
      <c r="M180">
        <f t="shared" si="66"/>
        <v>7</v>
      </c>
      <c r="N180">
        <f t="shared" si="66"/>
        <v>9</v>
      </c>
      <c r="O180">
        <f t="shared" si="66"/>
        <v>0</v>
      </c>
      <c r="P180">
        <f t="shared" si="67"/>
        <v>1</v>
      </c>
      <c r="Q180">
        <f t="shared" si="67"/>
        <v>10</v>
      </c>
      <c r="R180">
        <f t="shared" si="67"/>
        <v>5</v>
      </c>
      <c r="S180">
        <f t="shared" si="67"/>
        <v>8</v>
      </c>
      <c r="T180">
        <f t="shared" si="67"/>
        <v>8</v>
      </c>
      <c r="U180">
        <f t="shared" si="67"/>
        <v>2</v>
      </c>
      <c r="V180">
        <f t="shared" si="67"/>
        <v>0</v>
      </c>
      <c r="W180">
        <f t="shared" si="67"/>
        <v>3</v>
      </c>
      <c r="X180">
        <f t="shared" si="67"/>
        <v>6</v>
      </c>
      <c r="Y180">
        <f t="shared" si="67"/>
        <v>10</v>
      </c>
      <c r="Z180">
        <f t="shared" si="68"/>
        <v>6</v>
      </c>
      <c r="AA180">
        <f t="shared" si="68"/>
        <v>1</v>
      </c>
      <c r="AB180">
        <f t="shared" si="68"/>
        <v>3</v>
      </c>
      <c r="AC180">
        <f t="shared" si="68"/>
        <v>0</v>
      </c>
      <c r="AD180">
        <f t="shared" si="68"/>
        <v>1</v>
      </c>
      <c r="AE180">
        <f t="shared" si="68"/>
        <v>0</v>
      </c>
      <c r="AF180" s="56">
        <f t="shared" si="51"/>
        <v>21</v>
      </c>
      <c r="AG180" s="59">
        <f t="shared" si="52"/>
        <v>5.7727272727272725</v>
      </c>
      <c r="AH180">
        <f t="shared" si="53"/>
        <v>0.27489177489177485</v>
      </c>
    </row>
    <row r="181" spans="1:34" ht="15" x14ac:dyDescent="0.2">
      <c r="A181">
        <v>173</v>
      </c>
      <c r="B181" s="57" t="s">
        <v>237</v>
      </c>
      <c r="C181" s="57"/>
      <c r="D181">
        <f t="shared" si="49"/>
        <v>127</v>
      </c>
      <c r="E181" s="1">
        <f t="shared" si="50"/>
        <v>21</v>
      </c>
      <c r="F181">
        <f t="shared" si="66"/>
        <v>5</v>
      </c>
      <c r="G181">
        <f t="shared" si="66"/>
        <v>2</v>
      </c>
      <c r="H181">
        <f t="shared" si="66"/>
        <v>3</v>
      </c>
      <c r="I181">
        <f t="shared" si="66"/>
        <v>1</v>
      </c>
      <c r="J181">
        <f t="shared" si="66"/>
        <v>10</v>
      </c>
      <c r="K181">
        <f t="shared" si="66"/>
        <v>2</v>
      </c>
      <c r="L181">
        <f t="shared" si="66"/>
        <v>0</v>
      </c>
      <c r="M181">
        <f t="shared" si="66"/>
        <v>3</v>
      </c>
      <c r="N181">
        <f t="shared" si="66"/>
        <v>6</v>
      </c>
      <c r="O181">
        <f t="shared" si="66"/>
        <v>0</v>
      </c>
      <c r="P181">
        <f t="shared" si="67"/>
        <v>2</v>
      </c>
      <c r="Q181">
        <f t="shared" si="67"/>
        <v>7</v>
      </c>
      <c r="R181">
        <f t="shared" si="67"/>
        <v>1</v>
      </c>
      <c r="S181">
        <f t="shared" si="67"/>
        <v>6</v>
      </c>
      <c r="T181">
        <f t="shared" si="67"/>
        <v>9</v>
      </c>
      <c r="U181">
        <f t="shared" si="67"/>
        <v>3</v>
      </c>
      <c r="V181">
        <f t="shared" si="67"/>
        <v>0</v>
      </c>
      <c r="W181">
        <f t="shared" si="67"/>
        <v>6</v>
      </c>
      <c r="X181">
        <f t="shared" si="67"/>
        <v>11</v>
      </c>
      <c r="Y181">
        <f t="shared" si="67"/>
        <v>11</v>
      </c>
      <c r="Z181">
        <f t="shared" si="68"/>
        <v>7</v>
      </c>
      <c r="AA181">
        <f t="shared" si="68"/>
        <v>0</v>
      </c>
      <c r="AB181">
        <f t="shared" si="68"/>
        <v>1</v>
      </c>
      <c r="AC181">
        <f t="shared" si="68"/>
        <v>1</v>
      </c>
      <c r="AD181">
        <f t="shared" si="68"/>
        <v>6</v>
      </c>
      <c r="AE181">
        <f t="shared" si="68"/>
        <v>0</v>
      </c>
      <c r="AF181" s="56">
        <f t="shared" si="51"/>
        <v>21</v>
      </c>
      <c r="AG181" s="59">
        <f t="shared" si="52"/>
        <v>6.0476190476190474</v>
      </c>
      <c r="AH181">
        <f t="shared" si="53"/>
        <v>0.28798185941043081</v>
      </c>
    </row>
    <row r="182" spans="1:34" ht="15" x14ac:dyDescent="0.2">
      <c r="A182">
        <v>566</v>
      </c>
      <c r="B182" s="57" t="s">
        <v>588</v>
      </c>
      <c r="C182" s="57"/>
      <c r="D182">
        <f t="shared" si="49"/>
        <v>126</v>
      </c>
      <c r="E182" s="1">
        <f t="shared" si="50"/>
        <v>23</v>
      </c>
      <c r="F182">
        <f t="shared" ref="F182:O191" si="69">LEN($B182)-LEN(SUBSTITUTE($B182,F$1,""))</f>
        <v>5</v>
      </c>
      <c r="G182">
        <f t="shared" si="69"/>
        <v>1</v>
      </c>
      <c r="H182">
        <f t="shared" si="69"/>
        <v>1</v>
      </c>
      <c r="I182">
        <f t="shared" si="69"/>
        <v>6</v>
      </c>
      <c r="J182">
        <f t="shared" si="69"/>
        <v>16</v>
      </c>
      <c r="K182">
        <f t="shared" si="69"/>
        <v>1</v>
      </c>
      <c r="L182">
        <f t="shared" si="69"/>
        <v>4</v>
      </c>
      <c r="M182">
        <f t="shared" si="69"/>
        <v>6</v>
      </c>
      <c r="N182">
        <f t="shared" si="69"/>
        <v>6</v>
      </c>
      <c r="O182">
        <f t="shared" si="69"/>
        <v>0</v>
      </c>
      <c r="P182">
        <f t="shared" ref="P182:Y191" si="70">LEN($B182)-LEN(SUBSTITUTE($B182,P$1,""))</f>
        <v>0</v>
      </c>
      <c r="Q182">
        <f t="shared" si="70"/>
        <v>2</v>
      </c>
      <c r="R182">
        <f t="shared" si="70"/>
        <v>2</v>
      </c>
      <c r="S182">
        <f t="shared" si="70"/>
        <v>8</v>
      </c>
      <c r="T182">
        <f t="shared" si="70"/>
        <v>11</v>
      </c>
      <c r="U182">
        <f t="shared" si="70"/>
        <v>1</v>
      </c>
      <c r="V182">
        <f t="shared" si="70"/>
        <v>0</v>
      </c>
      <c r="W182">
        <f t="shared" si="70"/>
        <v>3</v>
      </c>
      <c r="X182">
        <f t="shared" si="70"/>
        <v>7</v>
      </c>
      <c r="Y182">
        <f t="shared" si="70"/>
        <v>11</v>
      </c>
      <c r="Z182">
        <f t="shared" ref="Z182:AE191" si="71">LEN($B182)-LEN(SUBSTITUTE($B182,Z$1,""))</f>
        <v>2</v>
      </c>
      <c r="AA182">
        <f t="shared" si="71"/>
        <v>1</v>
      </c>
      <c r="AB182">
        <f t="shared" si="71"/>
        <v>3</v>
      </c>
      <c r="AC182">
        <f t="shared" si="71"/>
        <v>0</v>
      </c>
      <c r="AD182">
        <f t="shared" si="71"/>
        <v>1</v>
      </c>
      <c r="AE182">
        <f t="shared" si="71"/>
        <v>0</v>
      </c>
      <c r="AF182" s="56">
        <f t="shared" si="51"/>
        <v>21</v>
      </c>
      <c r="AG182" s="59">
        <f t="shared" si="52"/>
        <v>5.4782608695652177</v>
      </c>
      <c r="AH182">
        <f t="shared" si="53"/>
        <v>0.2608695652173913</v>
      </c>
    </row>
    <row r="183" spans="1:34" ht="15" x14ac:dyDescent="0.2">
      <c r="A183">
        <v>150</v>
      </c>
      <c r="B183" s="57" t="s">
        <v>215</v>
      </c>
      <c r="C183" s="57"/>
      <c r="D183">
        <f t="shared" si="49"/>
        <v>126</v>
      </c>
      <c r="E183" s="1">
        <f t="shared" si="50"/>
        <v>24</v>
      </c>
      <c r="F183">
        <f t="shared" si="69"/>
        <v>7</v>
      </c>
      <c r="G183">
        <f t="shared" si="69"/>
        <v>4</v>
      </c>
      <c r="H183">
        <f t="shared" si="69"/>
        <v>3</v>
      </c>
      <c r="I183">
        <f t="shared" si="69"/>
        <v>2</v>
      </c>
      <c r="J183">
        <f t="shared" si="69"/>
        <v>9</v>
      </c>
      <c r="K183">
        <f t="shared" si="69"/>
        <v>5</v>
      </c>
      <c r="L183">
        <f t="shared" si="69"/>
        <v>0</v>
      </c>
      <c r="M183">
        <f t="shared" si="69"/>
        <v>3</v>
      </c>
      <c r="N183">
        <f t="shared" si="69"/>
        <v>6</v>
      </c>
      <c r="O183">
        <f t="shared" si="69"/>
        <v>2</v>
      </c>
      <c r="P183">
        <f t="shared" si="70"/>
        <v>1</v>
      </c>
      <c r="Q183">
        <f t="shared" si="70"/>
        <v>3</v>
      </c>
      <c r="R183">
        <f t="shared" si="70"/>
        <v>3</v>
      </c>
      <c r="S183">
        <f t="shared" si="70"/>
        <v>3</v>
      </c>
      <c r="T183">
        <f t="shared" si="70"/>
        <v>12</v>
      </c>
      <c r="U183">
        <f t="shared" si="70"/>
        <v>4</v>
      </c>
      <c r="V183">
        <f t="shared" si="70"/>
        <v>0</v>
      </c>
      <c r="W183">
        <f t="shared" si="70"/>
        <v>9</v>
      </c>
      <c r="X183">
        <f t="shared" si="70"/>
        <v>9</v>
      </c>
      <c r="Y183">
        <f t="shared" si="70"/>
        <v>9</v>
      </c>
      <c r="Z183">
        <f t="shared" si="71"/>
        <v>2</v>
      </c>
      <c r="AA183">
        <f t="shared" si="71"/>
        <v>3</v>
      </c>
      <c r="AB183">
        <f t="shared" si="71"/>
        <v>3</v>
      </c>
      <c r="AC183">
        <f t="shared" si="71"/>
        <v>0</v>
      </c>
      <c r="AD183">
        <f t="shared" si="71"/>
        <v>0</v>
      </c>
      <c r="AE183">
        <f t="shared" si="71"/>
        <v>0</v>
      </c>
      <c r="AF183" s="56">
        <f t="shared" si="51"/>
        <v>21</v>
      </c>
      <c r="AG183" s="59">
        <f t="shared" si="52"/>
        <v>5.25</v>
      </c>
      <c r="AH183">
        <f t="shared" si="53"/>
        <v>0.25</v>
      </c>
    </row>
    <row r="184" spans="1:34" ht="15" x14ac:dyDescent="0.2">
      <c r="A184">
        <v>464</v>
      </c>
      <c r="B184" s="57" t="s">
        <v>503</v>
      </c>
      <c r="C184" s="57"/>
      <c r="D184">
        <f t="shared" si="49"/>
        <v>126</v>
      </c>
      <c r="E184" s="1">
        <f t="shared" si="50"/>
        <v>24</v>
      </c>
      <c r="F184">
        <f t="shared" si="69"/>
        <v>6</v>
      </c>
      <c r="G184">
        <f t="shared" si="69"/>
        <v>3</v>
      </c>
      <c r="H184">
        <f t="shared" si="69"/>
        <v>4</v>
      </c>
      <c r="I184">
        <f t="shared" si="69"/>
        <v>2</v>
      </c>
      <c r="J184">
        <f t="shared" si="69"/>
        <v>6</v>
      </c>
      <c r="K184">
        <f t="shared" si="69"/>
        <v>1</v>
      </c>
      <c r="L184">
        <f t="shared" si="69"/>
        <v>4</v>
      </c>
      <c r="M184">
        <f t="shared" si="69"/>
        <v>6</v>
      </c>
      <c r="N184">
        <f t="shared" si="69"/>
        <v>14</v>
      </c>
      <c r="O184">
        <f t="shared" si="69"/>
        <v>0</v>
      </c>
      <c r="P184">
        <f t="shared" si="70"/>
        <v>0</v>
      </c>
      <c r="Q184">
        <f t="shared" si="70"/>
        <v>1</v>
      </c>
      <c r="R184">
        <f t="shared" si="70"/>
        <v>2</v>
      </c>
      <c r="S184">
        <f t="shared" si="70"/>
        <v>6</v>
      </c>
      <c r="T184">
        <f t="shared" si="70"/>
        <v>5</v>
      </c>
      <c r="U184">
        <f t="shared" si="70"/>
        <v>1</v>
      </c>
      <c r="V184">
        <f t="shared" si="70"/>
        <v>0</v>
      </c>
      <c r="W184">
        <f t="shared" si="70"/>
        <v>6</v>
      </c>
      <c r="X184">
        <f t="shared" si="70"/>
        <v>5</v>
      </c>
      <c r="Y184">
        <f t="shared" si="70"/>
        <v>13</v>
      </c>
      <c r="Z184">
        <f t="shared" si="71"/>
        <v>5</v>
      </c>
      <c r="AA184">
        <f t="shared" si="71"/>
        <v>1</v>
      </c>
      <c r="AB184">
        <f t="shared" si="71"/>
        <v>1</v>
      </c>
      <c r="AC184">
        <f t="shared" si="71"/>
        <v>0</v>
      </c>
      <c r="AD184">
        <f t="shared" si="71"/>
        <v>6</v>
      </c>
      <c r="AE184">
        <f t="shared" si="71"/>
        <v>1</v>
      </c>
      <c r="AF184" s="56">
        <f t="shared" si="51"/>
        <v>22</v>
      </c>
      <c r="AG184" s="59">
        <f t="shared" si="52"/>
        <v>5.25</v>
      </c>
      <c r="AH184">
        <f t="shared" si="53"/>
        <v>0.23863636363636365</v>
      </c>
    </row>
    <row r="185" spans="1:34" ht="15" x14ac:dyDescent="0.2">
      <c r="A185">
        <v>434</v>
      </c>
      <c r="B185" s="57" t="s">
        <v>479</v>
      </c>
      <c r="C185" s="57"/>
      <c r="D185">
        <f t="shared" si="49"/>
        <v>125</v>
      </c>
      <c r="E185" s="1">
        <f t="shared" si="50"/>
        <v>28</v>
      </c>
      <c r="F185">
        <f t="shared" si="69"/>
        <v>13</v>
      </c>
      <c r="G185">
        <f t="shared" si="69"/>
        <v>3</v>
      </c>
      <c r="H185">
        <f t="shared" si="69"/>
        <v>1</v>
      </c>
      <c r="I185">
        <f t="shared" si="69"/>
        <v>2</v>
      </c>
      <c r="J185">
        <f t="shared" si="69"/>
        <v>7</v>
      </c>
      <c r="K185">
        <f t="shared" si="69"/>
        <v>1</v>
      </c>
      <c r="L185">
        <f t="shared" si="69"/>
        <v>1</v>
      </c>
      <c r="M185">
        <f t="shared" si="69"/>
        <v>5</v>
      </c>
      <c r="N185">
        <f t="shared" si="69"/>
        <v>7</v>
      </c>
      <c r="O185">
        <f t="shared" si="69"/>
        <v>2</v>
      </c>
      <c r="P185">
        <f t="shared" si="70"/>
        <v>0</v>
      </c>
      <c r="Q185">
        <f t="shared" si="70"/>
        <v>3</v>
      </c>
      <c r="R185">
        <f t="shared" si="70"/>
        <v>5</v>
      </c>
      <c r="S185">
        <f t="shared" si="70"/>
        <v>7</v>
      </c>
      <c r="T185">
        <f t="shared" si="70"/>
        <v>6</v>
      </c>
      <c r="U185">
        <f t="shared" si="70"/>
        <v>1</v>
      </c>
      <c r="V185">
        <f t="shared" si="70"/>
        <v>0</v>
      </c>
      <c r="W185">
        <f t="shared" si="70"/>
        <v>2</v>
      </c>
      <c r="X185">
        <f t="shared" si="70"/>
        <v>8</v>
      </c>
      <c r="Y185">
        <f t="shared" si="70"/>
        <v>13</v>
      </c>
      <c r="Z185">
        <f t="shared" si="71"/>
        <v>1</v>
      </c>
      <c r="AA185">
        <f t="shared" si="71"/>
        <v>1</v>
      </c>
      <c r="AB185">
        <f t="shared" si="71"/>
        <v>2</v>
      </c>
      <c r="AC185">
        <f t="shared" si="71"/>
        <v>0</v>
      </c>
      <c r="AD185">
        <f t="shared" si="71"/>
        <v>2</v>
      </c>
      <c r="AE185">
        <f t="shared" si="71"/>
        <v>0</v>
      </c>
      <c r="AF185" s="56">
        <f t="shared" si="51"/>
        <v>22</v>
      </c>
      <c r="AG185" s="59">
        <f t="shared" si="52"/>
        <v>4.4642857142857144</v>
      </c>
      <c r="AH185">
        <f t="shared" si="53"/>
        <v>0.20292207792207792</v>
      </c>
    </row>
    <row r="186" spans="1:34" ht="15" x14ac:dyDescent="0.2">
      <c r="A186">
        <v>385</v>
      </c>
      <c r="B186" s="57" t="s">
        <v>440</v>
      </c>
      <c r="C186" s="57"/>
      <c r="D186">
        <f t="shared" si="49"/>
        <v>125</v>
      </c>
      <c r="E186" s="1">
        <f t="shared" si="50"/>
        <v>23</v>
      </c>
      <c r="F186">
        <f t="shared" si="69"/>
        <v>8</v>
      </c>
      <c r="G186">
        <f t="shared" si="69"/>
        <v>2</v>
      </c>
      <c r="H186">
        <f t="shared" si="69"/>
        <v>0</v>
      </c>
      <c r="I186">
        <f t="shared" si="69"/>
        <v>3</v>
      </c>
      <c r="J186">
        <f t="shared" si="69"/>
        <v>11</v>
      </c>
      <c r="K186">
        <f t="shared" si="69"/>
        <v>2</v>
      </c>
      <c r="L186">
        <f t="shared" si="69"/>
        <v>5</v>
      </c>
      <c r="M186">
        <f t="shared" si="69"/>
        <v>1</v>
      </c>
      <c r="N186">
        <f t="shared" si="69"/>
        <v>8</v>
      </c>
      <c r="O186">
        <f t="shared" si="69"/>
        <v>1</v>
      </c>
      <c r="P186">
        <f t="shared" si="70"/>
        <v>2</v>
      </c>
      <c r="Q186">
        <f t="shared" si="70"/>
        <v>3</v>
      </c>
      <c r="R186">
        <f t="shared" si="70"/>
        <v>1</v>
      </c>
      <c r="S186">
        <f t="shared" si="70"/>
        <v>8</v>
      </c>
      <c r="T186">
        <f t="shared" si="70"/>
        <v>7</v>
      </c>
      <c r="U186">
        <f t="shared" si="70"/>
        <v>3</v>
      </c>
      <c r="V186">
        <f t="shared" si="70"/>
        <v>0</v>
      </c>
      <c r="W186">
        <f t="shared" si="70"/>
        <v>6</v>
      </c>
      <c r="X186">
        <f t="shared" si="70"/>
        <v>6</v>
      </c>
      <c r="Y186">
        <f t="shared" si="70"/>
        <v>8</v>
      </c>
      <c r="Z186">
        <f t="shared" si="71"/>
        <v>4</v>
      </c>
      <c r="AA186">
        <f t="shared" si="71"/>
        <v>1</v>
      </c>
      <c r="AB186">
        <f t="shared" si="71"/>
        <v>2</v>
      </c>
      <c r="AC186">
        <f t="shared" si="71"/>
        <v>0</v>
      </c>
      <c r="AD186">
        <f t="shared" si="71"/>
        <v>5</v>
      </c>
      <c r="AE186">
        <f t="shared" si="71"/>
        <v>0</v>
      </c>
      <c r="AF186" s="56">
        <f t="shared" si="51"/>
        <v>22</v>
      </c>
      <c r="AG186" s="59">
        <f t="shared" si="52"/>
        <v>5.4347826086956523</v>
      </c>
      <c r="AH186">
        <f t="shared" si="53"/>
        <v>0.24703557312252966</v>
      </c>
    </row>
    <row r="187" spans="1:34" ht="15" x14ac:dyDescent="0.2">
      <c r="A187">
        <v>525</v>
      </c>
      <c r="B187" s="57" t="s">
        <v>555</v>
      </c>
      <c r="C187" s="57"/>
      <c r="D187">
        <f t="shared" si="49"/>
        <v>124</v>
      </c>
      <c r="E187" s="1">
        <f t="shared" si="50"/>
        <v>25</v>
      </c>
      <c r="F187">
        <f t="shared" si="69"/>
        <v>10</v>
      </c>
      <c r="G187">
        <f t="shared" si="69"/>
        <v>1</v>
      </c>
      <c r="H187">
        <f t="shared" si="69"/>
        <v>1</v>
      </c>
      <c r="I187">
        <f t="shared" si="69"/>
        <v>6</v>
      </c>
      <c r="J187">
        <f t="shared" si="69"/>
        <v>12</v>
      </c>
      <c r="K187">
        <f t="shared" si="69"/>
        <v>2</v>
      </c>
      <c r="L187">
        <f t="shared" si="69"/>
        <v>3</v>
      </c>
      <c r="M187">
        <f t="shared" si="69"/>
        <v>6</v>
      </c>
      <c r="N187">
        <f t="shared" si="69"/>
        <v>7</v>
      </c>
      <c r="O187">
        <f t="shared" si="69"/>
        <v>0</v>
      </c>
      <c r="P187">
        <f t="shared" si="70"/>
        <v>0</v>
      </c>
      <c r="Q187">
        <f t="shared" si="70"/>
        <v>7</v>
      </c>
      <c r="R187">
        <f t="shared" si="70"/>
        <v>3</v>
      </c>
      <c r="S187">
        <f t="shared" si="70"/>
        <v>4</v>
      </c>
      <c r="T187">
        <f t="shared" si="70"/>
        <v>8</v>
      </c>
      <c r="U187">
        <f t="shared" si="70"/>
        <v>0</v>
      </c>
      <c r="V187">
        <f t="shared" si="70"/>
        <v>0</v>
      </c>
      <c r="W187">
        <f t="shared" si="70"/>
        <v>6</v>
      </c>
      <c r="X187">
        <f t="shared" si="70"/>
        <v>4</v>
      </c>
      <c r="Y187">
        <f t="shared" si="70"/>
        <v>8</v>
      </c>
      <c r="Z187">
        <f t="shared" si="71"/>
        <v>1</v>
      </c>
      <c r="AA187">
        <f t="shared" si="71"/>
        <v>0</v>
      </c>
      <c r="AB187">
        <f t="shared" si="71"/>
        <v>5</v>
      </c>
      <c r="AC187">
        <f t="shared" si="71"/>
        <v>0</v>
      </c>
      <c r="AD187">
        <f t="shared" si="71"/>
        <v>2</v>
      </c>
      <c r="AE187">
        <f t="shared" si="71"/>
        <v>0</v>
      </c>
      <c r="AF187" s="56">
        <f t="shared" si="51"/>
        <v>19</v>
      </c>
      <c r="AG187" s="59">
        <f t="shared" si="52"/>
        <v>4.96</v>
      </c>
      <c r="AH187">
        <f t="shared" si="53"/>
        <v>0.26105263157894737</v>
      </c>
    </row>
    <row r="188" spans="1:34" ht="15" x14ac:dyDescent="0.2">
      <c r="A188">
        <v>447</v>
      </c>
      <c r="B188" s="57" t="s">
        <v>489</v>
      </c>
      <c r="C188" s="57"/>
      <c r="D188">
        <f t="shared" si="49"/>
        <v>124</v>
      </c>
      <c r="E188" s="1">
        <f t="shared" si="50"/>
        <v>25</v>
      </c>
      <c r="F188">
        <f t="shared" si="69"/>
        <v>9</v>
      </c>
      <c r="G188">
        <f t="shared" si="69"/>
        <v>0</v>
      </c>
      <c r="H188">
        <f t="shared" si="69"/>
        <v>3</v>
      </c>
      <c r="I188">
        <f t="shared" si="69"/>
        <v>1</v>
      </c>
      <c r="J188">
        <f t="shared" si="69"/>
        <v>7</v>
      </c>
      <c r="K188">
        <f t="shared" si="69"/>
        <v>3</v>
      </c>
      <c r="L188">
        <f t="shared" si="69"/>
        <v>5</v>
      </c>
      <c r="M188">
        <f t="shared" si="69"/>
        <v>5</v>
      </c>
      <c r="N188">
        <f t="shared" si="69"/>
        <v>8</v>
      </c>
      <c r="O188">
        <f t="shared" si="69"/>
        <v>0</v>
      </c>
      <c r="P188">
        <f t="shared" si="70"/>
        <v>0</v>
      </c>
      <c r="Q188">
        <f t="shared" si="70"/>
        <v>1</v>
      </c>
      <c r="R188">
        <f t="shared" si="70"/>
        <v>5</v>
      </c>
      <c r="S188">
        <f t="shared" si="70"/>
        <v>7</v>
      </c>
      <c r="T188">
        <f t="shared" si="70"/>
        <v>9</v>
      </c>
      <c r="U188">
        <f t="shared" si="70"/>
        <v>2</v>
      </c>
      <c r="V188">
        <f t="shared" si="70"/>
        <v>0</v>
      </c>
      <c r="W188">
        <f t="shared" si="70"/>
        <v>5</v>
      </c>
      <c r="X188">
        <f t="shared" si="70"/>
        <v>6</v>
      </c>
      <c r="Y188">
        <f t="shared" si="70"/>
        <v>9</v>
      </c>
      <c r="Z188">
        <f t="shared" si="71"/>
        <v>5</v>
      </c>
      <c r="AA188">
        <f t="shared" si="71"/>
        <v>1</v>
      </c>
      <c r="AB188">
        <f t="shared" si="71"/>
        <v>3</v>
      </c>
      <c r="AC188">
        <f t="shared" si="71"/>
        <v>0</v>
      </c>
      <c r="AD188">
        <f t="shared" si="71"/>
        <v>3</v>
      </c>
      <c r="AE188">
        <f t="shared" si="71"/>
        <v>0</v>
      </c>
      <c r="AF188" s="56">
        <f t="shared" si="51"/>
        <v>20</v>
      </c>
      <c r="AG188" s="59">
        <f t="shared" si="52"/>
        <v>4.96</v>
      </c>
      <c r="AH188">
        <f t="shared" si="53"/>
        <v>0.248</v>
      </c>
    </row>
    <row r="189" spans="1:34" ht="15" x14ac:dyDescent="0.2">
      <c r="A189">
        <v>548</v>
      </c>
      <c r="B189" s="57" t="s">
        <v>575</v>
      </c>
      <c r="C189" s="57"/>
      <c r="D189">
        <f t="shared" si="49"/>
        <v>124</v>
      </c>
      <c r="E189" s="1">
        <f t="shared" si="50"/>
        <v>20</v>
      </c>
      <c r="F189">
        <f t="shared" si="69"/>
        <v>8</v>
      </c>
      <c r="G189">
        <f t="shared" si="69"/>
        <v>1</v>
      </c>
      <c r="H189">
        <f t="shared" si="69"/>
        <v>1</v>
      </c>
      <c r="I189">
        <f t="shared" si="69"/>
        <v>7</v>
      </c>
      <c r="J189">
        <f t="shared" si="69"/>
        <v>12</v>
      </c>
      <c r="K189">
        <f t="shared" si="69"/>
        <v>2</v>
      </c>
      <c r="L189">
        <f t="shared" si="69"/>
        <v>2</v>
      </c>
      <c r="M189">
        <f t="shared" si="69"/>
        <v>2</v>
      </c>
      <c r="N189">
        <f t="shared" si="69"/>
        <v>10</v>
      </c>
      <c r="O189">
        <f t="shared" si="69"/>
        <v>0</v>
      </c>
      <c r="P189">
        <f t="shared" si="70"/>
        <v>1</v>
      </c>
      <c r="Q189">
        <f t="shared" si="70"/>
        <v>4</v>
      </c>
      <c r="R189">
        <f t="shared" si="70"/>
        <v>2</v>
      </c>
      <c r="S189">
        <f t="shared" si="70"/>
        <v>8</v>
      </c>
      <c r="T189">
        <f t="shared" si="70"/>
        <v>7</v>
      </c>
      <c r="U189">
        <f t="shared" si="70"/>
        <v>1</v>
      </c>
      <c r="V189">
        <f t="shared" si="70"/>
        <v>1</v>
      </c>
      <c r="W189">
        <f t="shared" si="70"/>
        <v>6</v>
      </c>
      <c r="X189">
        <f t="shared" si="70"/>
        <v>15</v>
      </c>
      <c r="Y189">
        <f t="shared" si="70"/>
        <v>6</v>
      </c>
      <c r="Z189">
        <f t="shared" si="71"/>
        <v>2</v>
      </c>
      <c r="AA189">
        <f t="shared" si="71"/>
        <v>0</v>
      </c>
      <c r="AB189">
        <f t="shared" si="71"/>
        <v>0</v>
      </c>
      <c r="AC189">
        <f t="shared" si="71"/>
        <v>1</v>
      </c>
      <c r="AD189">
        <f t="shared" si="71"/>
        <v>0</v>
      </c>
      <c r="AE189">
        <f t="shared" si="71"/>
        <v>0</v>
      </c>
      <c r="AF189" s="56">
        <f t="shared" si="51"/>
        <v>21</v>
      </c>
      <c r="AG189" s="59">
        <f t="shared" si="52"/>
        <v>6.2</v>
      </c>
      <c r="AH189">
        <f t="shared" si="53"/>
        <v>0.29523809523809524</v>
      </c>
    </row>
    <row r="190" spans="1:34" ht="15" x14ac:dyDescent="0.2">
      <c r="A190">
        <v>543</v>
      </c>
      <c r="B190" s="57" t="s">
        <v>670</v>
      </c>
      <c r="C190" s="57"/>
      <c r="D190">
        <f t="shared" si="49"/>
        <v>123</v>
      </c>
      <c r="E190" s="1">
        <f t="shared" si="50"/>
        <v>20</v>
      </c>
      <c r="F190">
        <f t="shared" si="69"/>
        <v>9</v>
      </c>
      <c r="G190">
        <f t="shared" si="69"/>
        <v>2</v>
      </c>
      <c r="H190">
        <f t="shared" si="69"/>
        <v>3</v>
      </c>
      <c r="I190">
        <f t="shared" si="69"/>
        <v>1</v>
      </c>
      <c r="J190">
        <f t="shared" si="69"/>
        <v>16</v>
      </c>
      <c r="K190">
        <f t="shared" si="69"/>
        <v>1</v>
      </c>
      <c r="L190">
        <f t="shared" si="69"/>
        <v>0</v>
      </c>
      <c r="M190">
        <f t="shared" si="69"/>
        <v>1</v>
      </c>
      <c r="N190">
        <f t="shared" si="69"/>
        <v>5</v>
      </c>
      <c r="O190">
        <f t="shared" si="69"/>
        <v>1</v>
      </c>
      <c r="P190">
        <f t="shared" si="70"/>
        <v>0</v>
      </c>
      <c r="Q190">
        <f t="shared" si="70"/>
        <v>6</v>
      </c>
      <c r="R190">
        <f t="shared" si="70"/>
        <v>1</v>
      </c>
      <c r="S190">
        <f t="shared" si="70"/>
        <v>8</v>
      </c>
      <c r="T190">
        <f t="shared" si="70"/>
        <v>3</v>
      </c>
      <c r="U190">
        <f t="shared" si="70"/>
        <v>2</v>
      </c>
      <c r="V190">
        <f t="shared" si="70"/>
        <v>2</v>
      </c>
      <c r="W190">
        <f t="shared" si="70"/>
        <v>7</v>
      </c>
      <c r="X190">
        <f t="shared" si="70"/>
        <v>9</v>
      </c>
      <c r="Y190">
        <f t="shared" si="70"/>
        <v>8</v>
      </c>
      <c r="Z190">
        <f t="shared" si="71"/>
        <v>8</v>
      </c>
      <c r="AA190">
        <f t="shared" si="71"/>
        <v>1</v>
      </c>
      <c r="AB190">
        <f t="shared" si="71"/>
        <v>0</v>
      </c>
      <c r="AC190">
        <f t="shared" si="71"/>
        <v>2</v>
      </c>
      <c r="AD190">
        <f t="shared" si="71"/>
        <v>0</v>
      </c>
      <c r="AE190">
        <f t="shared" si="71"/>
        <v>0</v>
      </c>
      <c r="AF190" s="56">
        <f t="shared" si="51"/>
        <v>21</v>
      </c>
      <c r="AG190" s="59">
        <f t="shared" si="52"/>
        <v>6.15</v>
      </c>
      <c r="AH190">
        <f t="shared" si="53"/>
        <v>0.29285714285714287</v>
      </c>
    </row>
    <row r="191" spans="1:34" ht="15" x14ac:dyDescent="0.2">
      <c r="A191">
        <v>500</v>
      </c>
      <c r="B191" s="57" t="s">
        <v>536</v>
      </c>
      <c r="C191" s="57"/>
      <c r="D191">
        <f t="shared" si="49"/>
        <v>123</v>
      </c>
      <c r="E191" s="1">
        <f t="shared" si="50"/>
        <v>22</v>
      </c>
      <c r="F191">
        <f t="shared" si="69"/>
        <v>2</v>
      </c>
      <c r="G191">
        <f t="shared" si="69"/>
        <v>3</v>
      </c>
      <c r="H191">
        <f t="shared" si="69"/>
        <v>2</v>
      </c>
      <c r="I191">
        <f t="shared" si="69"/>
        <v>3</v>
      </c>
      <c r="J191">
        <f t="shared" si="69"/>
        <v>11</v>
      </c>
      <c r="K191">
        <f t="shared" si="69"/>
        <v>3</v>
      </c>
      <c r="L191">
        <f t="shared" si="69"/>
        <v>9</v>
      </c>
      <c r="M191">
        <f t="shared" si="69"/>
        <v>4</v>
      </c>
      <c r="N191">
        <f t="shared" si="69"/>
        <v>8</v>
      </c>
      <c r="O191">
        <f t="shared" si="69"/>
        <v>1</v>
      </c>
      <c r="P191">
        <f t="shared" si="70"/>
        <v>1</v>
      </c>
      <c r="Q191">
        <f t="shared" si="70"/>
        <v>0</v>
      </c>
      <c r="R191">
        <f t="shared" si="70"/>
        <v>5</v>
      </c>
      <c r="S191">
        <f t="shared" si="70"/>
        <v>6</v>
      </c>
      <c r="T191">
        <f t="shared" si="70"/>
        <v>6</v>
      </c>
      <c r="U191">
        <f t="shared" si="70"/>
        <v>4</v>
      </c>
      <c r="V191">
        <f t="shared" si="70"/>
        <v>0</v>
      </c>
      <c r="W191">
        <f t="shared" si="70"/>
        <v>7</v>
      </c>
      <c r="X191">
        <f t="shared" si="70"/>
        <v>9</v>
      </c>
      <c r="Y191">
        <f t="shared" si="70"/>
        <v>8</v>
      </c>
      <c r="Z191">
        <f t="shared" si="71"/>
        <v>4</v>
      </c>
      <c r="AA191">
        <f t="shared" si="71"/>
        <v>1</v>
      </c>
      <c r="AB191">
        <f t="shared" si="71"/>
        <v>1</v>
      </c>
      <c r="AC191">
        <f t="shared" si="71"/>
        <v>0</v>
      </c>
      <c r="AD191">
        <f t="shared" si="71"/>
        <v>0</v>
      </c>
      <c r="AE191">
        <f t="shared" si="71"/>
        <v>0</v>
      </c>
      <c r="AF191" s="56">
        <f t="shared" si="51"/>
        <v>21</v>
      </c>
      <c r="AG191" s="59">
        <f t="shared" si="52"/>
        <v>5.5909090909090908</v>
      </c>
      <c r="AH191">
        <f t="shared" si="53"/>
        <v>0.26623376623376621</v>
      </c>
    </row>
    <row r="192" spans="1:34" ht="15" x14ac:dyDescent="0.2">
      <c r="A192">
        <v>165</v>
      </c>
      <c r="B192" s="57" t="s">
        <v>229</v>
      </c>
      <c r="C192" s="57"/>
      <c r="D192">
        <f t="shared" si="49"/>
        <v>123</v>
      </c>
      <c r="E192" s="1">
        <f t="shared" si="50"/>
        <v>26</v>
      </c>
      <c r="F192">
        <f t="shared" ref="F192:O201" si="72">LEN($B192)-LEN(SUBSTITUTE($B192,F$1,""))</f>
        <v>4</v>
      </c>
      <c r="G192">
        <f t="shared" si="72"/>
        <v>1</v>
      </c>
      <c r="H192">
        <f t="shared" si="72"/>
        <v>2</v>
      </c>
      <c r="I192">
        <f t="shared" si="72"/>
        <v>5</v>
      </c>
      <c r="J192">
        <f t="shared" si="72"/>
        <v>11</v>
      </c>
      <c r="K192">
        <f t="shared" si="72"/>
        <v>4</v>
      </c>
      <c r="L192">
        <f t="shared" si="72"/>
        <v>3</v>
      </c>
      <c r="M192">
        <f t="shared" si="72"/>
        <v>5</v>
      </c>
      <c r="N192">
        <f t="shared" si="72"/>
        <v>5</v>
      </c>
      <c r="O192">
        <f t="shared" si="72"/>
        <v>0</v>
      </c>
      <c r="P192">
        <f t="shared" ref="P192:Y201" si="73">LEN($B192)-LEN(SUBSTITUTE($B192,P$1,""))</f>
        <v>2</v>
      </c>
      <c r="Q192">
        <f t="shared" si="73"/>
        <v>4</v>
      </c>
      <c r="R192">
        <f t="shared" si="73"/>
        <v>2</v>
      </c>
      <c r="S192">
        <f t="shared" si="73"/>
        <v>7</v>
      </c>
      <c r="T192">
        <f t="shared" si="73"/>
        <v>14</v>
      </c>
      <c r="U192">
        <f t="shared" si="73"/>
        <v>0</v>
      </c>
      <c r="V192">
        <f t="shared" si="73"/>
        <v>0</v>
      </c>
      <c r="W192">
        <f t="shared" si="73"/>
        <v>7</v>
      </c>
      <c r="X192">
        <f t="shared" si="73"/>
        <v>5</v>
      </c>
      <c r="Y192">
        <f t="shared" si="73"/>
        <v>9</v>
      </c>
      <c r="Z192">
        <f t="shared" ref="Z192:AE201" si="74">LEN($B192)-LEN(SUBSTITUTE($B192,Z$1,""))</f>
        <v>3</v>
      </c>
      <c r="AA192">
        <f t="shared" si="74"/>
        <v>1</v>
      </c>
      <c r="AB192">
        <f t="shared" si="74"/>
        <v>1</v>
      </c>
      <c r="AC192">
        <f t="shared" si="74"/>
        <v>0</v>
      </c>
      <c r="AD192">
        <f t="shared" si="74"/>
        <v>1</v>
      </c>
      <c r="AE192">
        <f t="shared" si="74"/>
        <v>0</v>
      </c>
      <c r="AF192" s="56">
        <f t="shared" si="51"/>
        <v>21</v>
      </c>
      <c r="AG192" s="59">
        <f t="shared" si="52"/>
        <v>4.7307692307692308</v>
      </c>
      <c r="AH192">
        <f t="shared" si="53"/>
        <v>0.22527472527472528</v>
      </c>
    </row>
    <row r="193" spans="1:34" ht="15" x14ac:dyDescent="0.2">
      <c r="A193">
        <v>373</v>
      </c>
      <c r="B193" s="57" t="s">
        <v>671</v>
      </c>
      <c r="C193" s="57"/>
      <c r="D193">
        <f t="shared" si="49"/>
        <v>123</v>
      </c>
      <c r="E193" s="1">
        <f t="shared" si="50"/>
        <v>19</v>
      </c>
      <c r="F193">
        <f t="shared" si="72"/>
        <v>8</v>
      </c>
      <c r="G193">
        <f t="shared" si="72"/>
        <v>1</v>
      </c>
      <c r="H193">
        <f t="shared" si="72"/>
        <v>3</v>
      </c>
      <c r="I193">
        <f t="shared" si="72"/>
        <v>2</v>
      </c>
      <c r="J193">
        <f t="shared" si="72"/>
        <v>10</v>
      </c>
      <c r="K193">
        <f t="shared" si="72"/>
        <v>1</v>
      </c>
      <c r="L193">
        <f t="shared" si="72"/>
        <v>3</v>
      </c>
      <c r="M193">
        <f t="shared" si="72"/>
        <v>4</v>
      </c>
      <c r="N193">
        <f t="shared" si="72"/>
        <v>8</v>
      </c>
      <c r="O193">
        <f t="shared" si="72"/>
        <v>0</v>
      </c>
      <c r="P193">
        <f t="shared" si="73"/>
        <v>1</v>
      </c>
      <c r="Q193">
        <f t="shared" si="73"/>
        <v>5</v>
      </c>
      <c r="R193">
        <f t="shared" si="73"/>
        <v>5</v>
      </c>
      <c r="S193">
        <f t="shared" si="73"/>
        <v>7</v>
      </c>
      <c r="T193">
        <f t="shared" si="73"/>
        <v>7</v>
      </c>
      <c r="U193">
        <f t="shared" si="73"/>
        <v>3</v>
      </c>
      <c r="V193">
        <f t="shared" si="73"/>
        <v>0</v>
      </c>
      <c r="W193">
        <f t="shared" si="73"/>
        <v>9</v>
      </c>
      <c r="X193">
        <f t="shared" si="73"/>
        <v>5</v>
      </c>
      <c r="Y193">
        <f t="shared" si="73"/>
        <v>8</v>
      </c>
      <c r="Z193">
        <f t="shared" si="74"/>
        <v>1</v>
      </c>
      <c r="AA193">
        <f t="shared" si="74"/>
        <v>0</v>
      </c>
      <c r="AB193">
        <f t="shared" si="74"/>
        <v>4</v>
      </c>
      <c r="AC193">
        <f t="shared" si="74"/>
        <v>1</v>
      </c>
      <c r="AD193">
        <f t="shared" si="74"/>
        <v>1</v>
      </c>
      <c r="AE193">
        <f t="shared" si="74"/>
        <v>0</v>
      </c>
      <c r="AF193" s="56">
        <f t="shared" si="51"/>
        <v>22</v>
      </c>
      <c r="AG193" s="59">
        <f t="shared" si="52"/>
        <v>6.4736842105263159</v>
      </c>
      <c r="AH193">
        <f t="shared" si="53"/>
        <v>0.29425837320574161</v>
      </c>
    </row>
    <row r="194" spans="1:34" ht="15" x14ac:dyDescent="0.2">
      <c r="A194">
        <v>443</v>
      </c>
      <c r="B194" s="57" t="s">
        <v>486</v>
      </c>
      <c r="C194" s="57"/>
      <c r="D194">
        <f t="shared" ref="D194:D257" si="75">LEN(B194)</f>
        <v>123</v>
      </c>
      <c r="E194" s="1">
        <f t="shared" ref="E194:E257" si="76">IF(LEN(TRIM(B194))=0,0,LEN(TRIM(B194))-LEN(SUBSTITUTE(B194," ",""))+1)</f>
        <v>20</v>
      </c>
      <c r="F194">
        <f t="shared" si="72"/>
        <v>8</v>
      </c>
      <c r="G194">
        <f t="shared" si="72"/>
        <v>1</v>
      </c>
      <c r="H194">
        <f t="shared" si="72"/>
        <v>1</v>
      </c>
      <c r="I194">
        <f t="shared" si="72"/>
        <v>5</v>
      </c>
      <c r="J194">
        <f t="shared" si="72"/>
        <v>12</v>
      </c>
      <c r="K194">
        <f t="shared" si="72"/>
        <v>5</v>
      </c>
      <c r="L194">
        <f t="shared" si="72"/>
        <v>4</v>
      </c>
      <c r="M194">
        <f t="shared" si="72"/>
        <v>3</v>
      </c>
      <c r="N194">
        <f t="shared" si="72"/>
        <v>13</v>
      </c>
      <c r="O194">
        <f t="shared" si="72"/>
        <v>1</v>
      </c>
      <c r="P194">
        <f t="shared" si="73"/>
        <v>1</v>
      </c>
      <c r="Q194">
        <f t="shared" si="73"/>
        <v>2</v>
      </c>
      <c r="R194">
        <f t="shared" si="73"/>
        <v>2</v>
      </c>
      <c r="S194">
        <f t="shared" si="73"/>
        <v>15</v>
      </c>
      <c r="T194">
        <f t="shared" si="73"/>
        <v>5</v>
      </c>
      <c r="U194">
        <f t="shared" si="73"/>
        <v>1</v>
      </c>
      <c r="V194">
        <f t="shared" si="73"/>
        <v>0</v>
      </c>
      <c r="W194">
        <f t="shared" si="73"/>
        <v>5</v>
      </c>
      <c r="X194">
        <f t="shared" si="73"/>
        <v>5</v>
      </c>
      <c r="Y194">
        <f t="shared" si="73"/>
        <v>8</v>
      </c>
      <c r="Z194">
        <f t="shared" si="74"/>
        <v>1</v>
      </c>
      <c r="AA194">
        <f t="shared" si="74"/>
        <v>2</v>
      </c>
      <c r="AB194">
        <f t="shared" si="74"/>
        <v>0</v>
      </c>
      <c r="AC194">
        <f t="shared" si="74"/>
        <v>1</v>
      </c>
      <c r="AD194">
        <f t="shared" si="74"/>
        <v>1</v>
      </c>
      <c r="AE194">
        <f t="shared" si="74"/>
        <v>0</v>
      </c>
      <c r="AF194" s="56">
        <f t="shared" ref="AF194:AF257" si="77">26-COUNTIF(F194:AE194,0)</f>
        <v>23</v>
      </c>
      <c r="AG194" s="59">
        <f t="shared" ref="AG194:AG257" si="78">D194/E194</f>
        <v>6.15</v>
      </c>
      <c r="AH194">
        <f t="shared" ref="AH194:AH257" si="79">AG194/AF194</f>
        <v>0.2673913043478261</v>
      </c>
    </row>
    <row r="195" spans="1:34" ht="15" x14ac:dyDescent="0.2">
      <c r="A195">
        <v>451</v>
      </c>
      <c r="B195" s="57" t="s">
        <v>493</v>
      </c>
      <c r="C195" s="57"/>
      <c r="D195">
        <f t="shared" si="75"/>
        <v>122</v>
      </c>
      <c r="E195" s="1">
        <f t="shared" si="76"/>
        <v>26</v>
      </c>
      <c r="F195">
        <f t="shared" si="72"/>
        <v>11</v>
      </c>
      <c r="G195">
        <f t="shared" si="72"/>
        <v>3</v>
      </c>
      <c r="H195">
        <f t="shared" si="72"/>
        <v>1</v>
      </c>
      <c r="I195">
        <f t="shared" si="72"/>
        <v>4</v>
      </c>
      <c r="J195">
        <f t="shared" si="72"/>
        <v>4</v>
      </c>
      <c r="K195">
        <f t="shared" si="72"/>
        <v>3</v>
      </c>
      <c r="L195">
        <f t="shared" si="72"/>
        <v>0</v>
      </c>
      <c r="M195">
        <f t="shared" si="72"/>
        <v>1</v>
      </c>
      <c r="N195">
        <f t="shared" si="72"/>
        <v>9</v>
      </c>
      <c r="O195">
        <f t="shared" si="72"/>
        <v>0</v>
      </c>
      <c r="P195">
        <f t="shared" si="73"/>
        <v>1</v>
      </c>
      <c r="Q195">
        <f t="shared" si="73"/>
        <v>7</v>
      </c>
      <c r="R195">
        <f t="shared" si="73"/>
        <v>5</v>
      </c>
      <c r="S195">
        <f t="shared" si="73"/>
        <v>3</v>
      </c>
      <c r="T195">
        <f t="shared" si="73"/>
        <v>7</v>
      </c>
      <c r="U195">
        <f t="shared" si="73"/>
        <v>4</v>
      </c>
      <c r="V195">
        <f t="shared" si="73"/>
        <v>0</v>
      </c>
      <c r="W195">
        <f t="shared" si="73"/>
        <v>6</v>
      </c>
      <c r="X195">
        <f t="shared" si="73"/>
        <v>6</v>
      </c>
      <c r="Y195">
        <f t="shared" si="73"/>
        <v>8</v>
      </c>
      <c r="Z195">
        <f t="shared" si="74"/>
        <v>2</v>
      </c>
      <c r="AA195">
        <f t="shared" si="74"/>
        <v>0</v>
      </c>
      <c r="AB195">
        <f t="shared" si="74"/>
        <v>0</v>
      </c>
      <c r="AC195">
        <f t="shared" si="74"/>
        <v>0</v>
      </c>
      <c r="AD195">
        <f t="shared" si="74"/>
        <v>4</v>
      </c>
      <c r="AE195">
        <f t="shared" si="74"/>
        <v>1</v>
      </c>
      <c r="AF195" s="56">
        <f t="shared" si="77"/>
        <v>20</v>
      </c>
      <c r="AG195" s="59">
        <f t="shared" si="78"/>
        <v>4.6923076923076925</v>
      </c>
      <c r="AH195">
        <f t="shared" si="79"/>
        <v>0.23461538461538461</v>
      </c>
    </row>
    <row r="196" spans="1:34" ht="15" x14ac:dyDescent="0.2">
      <c r="A196">
        <v>398</v>
      </c>
      <c r="B196" s="57" t="s">
        <v>449</v>
      </c>
      <c r="C196" s="57"/>
      <c r="D196">
        <f t="shared" si="75"/>
        <v>122</v>
      </c>
      <c r="E196" s="1">
        <f t="shared" si="76"/>
        <v>21</v>
      </c>
      <c r="F196">
        <f t="shared" si="72"/>
        <v>6</v>
      </c>
      <c r="G196">
        <f t="shared" si="72"/>
        <v>1</v>
      </c>
      <c r="H196">
        <f t="shared" si="72"/>
        <v>3</v>
      </c>
      <c r="I196">
        <f t="shared" si="72"/>
        <v>0</v>
      </c>
      <c r="J196">
        <f t="shared" si="72"/>
        <v>10</v>
      </c>
      <c r="K196">
        <f t="shared" si="72"/>
        <v>2</v>
      </c>
      <c r="L196">
        <f t="shared" si="72"/>
        <v>5</v>
      </c>
      <c r="M196">
        <f t="shared" si="72"/>
        <v>9</v>
      </c>
      <c r="N196">
        <f t="shared" si="72"/>
        <v>4</v>
      </c>
      <c r="O196">
        <f t="shared" si="72"/>
        <v>1</v>
      </c>
      <c r="P196">
        <f t="shared" si="73"/>
        <v>0</v>
      </c>
      <c r="Q196">
        <f t="shared" si="73"/>
        <v>2</v>
      </c>
      <c r="R196">
        <f t="shared" si="73"/>
        <v>5</v>
      </c>
      <c r="S196">
        <f t="shared" si="73"/>
        <v>7</v>
      </c>
      <c r="T196">
        <f t="shared" si="73"/>
        <v>6</v>
      </c>
      <c r="U196">
        <f t="shared" si="73"/>
        <v>0</v>
      </c>
      <c r="V196">
        <f t="shared" si="73"/>
        <v>0</v>
      </c>
      <c r="W196">
        <f t="shared" si="73"/>
        <v>4</v>
      </c>
      <c r="X196">
        <f t="shared" si="73"/>
        <v>5</v>
      </c>
      <c r="Y196">
        <f t="shared" si="73"/>
        <v>12</v>
      </c>
      <c r="Z196">
        <f t="shared" si="74"/>
        <v>1</v>
      </c>
      <c r="AA196">
        <f t="shared" si="74"/>
        <v>2</v>
      </c>
      <c r="AB196">
        <f t="shared" si="74"/>
        <v>3</v>
      </c>
      <c r="AC196">
        <f t="shared" si="74"/>
        <v>0</v>
      </c>
      <c r="AD196">
        <f t="shared" si="74"/>
        <v>1</v>
      </c>
      <c r="AE196">
        <f t="shared" si="74"/>
        <v>0</v>
      </c>
      <c r="AF196" s="56">
        <f t="shared" si="77"/>
        <v>20</v>
      </c>
      <c r="AG196" s="59">
        <f t="shared" si="78"/>
        <v>5.8095238095238093</v>
      </c>
      <c r="AH196">
        <f t="shared" si="79"/>
        <v>0.29047619047619044</v>
      </c>
    </row>
    <row r="197" spans="1:34" ht="15" x14ac:dyDescent="0.2">
      <c r="A197">
        <v>585</v>
      </c>
      <c r="B197" s="57" t="s">
        <v>606</v>
      </c>
      <c r="C197" s="57"/>
      <c r="D197">
        <f t="shared" si="75"/>
        <v>122</v>
      </c>
      <c r="E197" s="1">
        <f t="shared" si="76"/>
        <v>18</v>
      </c>
      <c r="F197">
        <f t="shared" si="72"/>
        <v>8</v>
      </c>
      <c r="G197">
        <f t="shared" si="72"/>
        <v>0</v>
      </c>
      <c r="H197">
        <f t="shared" si="72"/>
        <v>4</v>
      </c>
      <c r="I197">
        <f t="shared" si="72"/>
        <v>3</v>
      </c>
      <c r="J197">
        <f t="shared" si="72"/>
        <v>12</v>
      </c>
      <c r="K197">
        <f t="shared" si="72"/>
        <v>2</v>
      </c>
      <c r="L197">
        <f t="shared" si="72"/>
        <v>1</v>
      </c>
      <c r="M197">
        <f t="shared" si="72"/>
        <v>0</v>
      </c>
      <c r="N197">
        <f t="shared" si="72"/>
        <v>5</v>
      </c>
      <c r="O197">
        <f t="shared" si="72"/>
        <v>1</v>
      </c>
      <c r="P197">
        <f t="shared" si="73"/>
        <v>1</v>
      </c>
      <c r="Q197">
        <f t="shared" si="73"/>
        <v>9</v>
      </c>
      <c r="R197">
        <f t="shared" si="73"/>
        <v>1</v>
      </c>
      <c r="S197">
        <f t="shared" si="73"/>
        <v>10</v>
      </c>
      <c r="T197">
        <f t="shared" si="73"/>
        <v>7</v>
      </c>
      <c r="U197">
        <f t="shared" si="73"/>
        <v>2</v>
      </c>
      <c r="V197">
        <f t="shared" si="73"/>
        <v>1</v>
      </c>
      <c r="W197">
        <f t="shared" si="73"/>
        <v>4</v>
      </c>
      <c r="X197">
        <f t="shared" si="73"/>
        <v>6</v>
      </c>
      <c r="Y197">
        <f t="shared" si="73"/>
        <v>5</v>
      </c>
      <c r="Z197">
        <f t="shared" si="74"/>
        <v>9</v>
      </c>
      <c r="AA197">
        <f t="shared" si="74"/>
        <v>2</v>
      </c>
      <c r="AB197">
        <f t="shared" si="74"/>
        <v>1</v>
      </c>
      <c r="AC197">
        <f t="shared" si="74"/>
        <v>0</v>
      </c>
      <c r="AD197">
        <f t="shared" si="74"/>
        <v>0</v>
      </c>
      <c r="AE197">
        <f t="shared" si="74"/>
        <v>0</v>
      </c>
      <c r="AF197" s="56">
        <f t="shared" si="77"/>
        <v>21</v>
      </c>
      <c r="AG197" s="59">
        <f t="shared" si="78"/>
        <v>6.7777777777777777</v>
      </c>
      <c r="AH197">
        <f t="shared" si="79"/>
        <v>0.32275132275132273</v>
      </c>
    </row>
    <row r="198" spans="1:34" ht="15" x14ac:dyDescent="0.2">
      <c r="A198">
        <v>351</v>
      </c>
      <c r="B198" s="57" t="s">
        <v>411</v>
      </c>
      <c r="C198" s="57"/>
      <c r="D198">
        <f t="shared" si="75"/>
        <v>122</v>
      </c>
      <c r="E198" s="1">
        <f t="shared" si="76"/>
        <v>21</v>
      </c>
      <c r="F198">
        <f t="shared" si="72"/>
        <v>10</v>
      </c>
      <c r="G198">
        <f t="shared" si="72"/>
        <v>2</v>
      </c>
      <c r="H198">
        <f t="shared" si="72"/>
        <v>3</v>
      </c>
      <c r="I198">
        <f t="shared" si="72"/>
        <v>1</v>
      </c>
      <c r="J198">
        <f t="shared" si="72"/>
        <v>10</v>
      </c>
      <c r="K198">
        <f t="shared" si="72"/>
        <v>4</v>
      </c>
      <c r="L198">
        <f t="shared" si="72"/>
        <v>1</v>
      </c>
      <c r="M198">
        <f t="shared" si="72"/>
        <v>4</v>
      </c>
      <c r="N198">
        <f t="shared" si="72"/>
        <v>7</v>
      </c>
      <c r="O198">
        <f t="shared" si="72"/>
        <v>1</v>
      </c>
      <c r="P198">
        <f t="shared" si="73"/>
        <v>0</v>
      </c>
      <c r="Q198">
        <f t="shared" si="73"/>
        <v>1</v>
      </c>
      <c r="R198">
        <f t="shared" si="73"/>
        <v>4</v>
      </c>
      <c r="S198">
        <f t="shared" si="73"/>
        <v>5</v>
      </c>
      <c r="T198">
        <f t="shared" si="73"/>
        <v>7</v>
      </c>
      <c r="U198">
        <f t="shared" si="73"/>
        <v>1</v>
      </c>
      <c r="V198">
        <f t="shared" si="73"/>
        <v>0</v>
      </c>
      <c r="W198">
        <f t="shared" si="73"/>
        <v>9</v>
      </c>
      <c r="X198">
        <f t="shared" si="73"/>
        <v>9</v>
      </c>
      <c r="Y198">
        <f t="shared" si="73"/>
        <v>10</v>
      </c>
      <c r="Z198">
        <f t="shared" si="74"/>
        <v>4</v>
      </c>
      <c r="AA198">
        <f t="shared" si="74"/>
        <v>1</v>
      </c>
      <c r="AB198">
        <f t="shared" si="74"/>
        <v>1</v>
      </c>
      <c r="AC198">
        <f t="shared" si="74"/>
        <v>0</v>
      </c>
      <c r="AD198">
        <f t="shared" si="74"/>
        <v>2</v>
      </c>
      <c r="AE198">
        <f t="shared" si="74"/>
        <v>0</v>
      </c>
      <c r="AF198" s="56">
        <f t="shared" si="77"/>
        <v>22</v>
      </c>
      <c r="AG198" s="59">
        <f t="shared" si="78"/>
        <v>5.8095238095238093</v>
      </c>
      <c r="AH198">
        <f t="shared" si="79"/>
        <v>0.26406926406926406</v>
      </c>
    </row>
    <row r="199" spans="1:34" ht="15" x14ac:dyDescent="0.2">
      <c r="A199">
        <v>265</v>
      </c>
      <c r="B199" s="57" t="s">
        <v>327</v>
      </c>
      <c r="C199" s="57"/>
      <c r="D199">
        <f t="shared" si="75"/>
        <v>121</v>
      </c>
      <c r="E199" s="1">
        <f t="shared" si="76"/>
        <v>23</v>
      </c>
      <c r="F199">
        <f t="shared" si="72"/>
        <v>9</v>
      </c>
      <c r="G199">
        <f t="shared" si="72"/>
        <v>0</v>
      </c>
      <c r="H199">
        <f t="shared" si="72"/>
        <v>2</v>
      </c>
      <c r="I199">
        <f t="shared" si="72"/>
        <v>5</v>
      </c>
      <c r="J199">
        <f t="shared" si="72"/>
        <v>10</v>
      </c>
      <c r="K199">
        <f t="shared" si="72"/>
        <v>2</v>
      </c>
      <c r="L199">
        <f t="shared" si="72"/>
        <v>4</v>
      </c>
      <c r="M199">
        <f t="shared" si="72"/>
        <v>2</v>
      </c>
      <c r="N199">
        <f t="shared" si="72"/>
        <v>8</v>
      </c>
      <c r="O199">
        <f t="shared" si="72"/>
        <v>0</v>
      </c>
      <c r="P199">
        <f t="shared" si="73"/>
        <v>1</v>
      </c>
      <c r="Q199">
        <f t="shared" si="73"/>
        <v>2</v>
      </c>
      <c r="R199">
        <f t="shared" si="73"/>
        <v>3</v>
      </c>
      <c r="S199">
        <f t="shared" si="73"/>
        <v>7</v>
      </c>
      <c r="T199">
        <f t="shared" si="73"/>
        <v>12</v>
      </c>
      <c r="U199">
        <f t="shared" si="73"/>
        <v>2</v>
      </c>
      <c r="V199">
        <f t="shared" si="73"/>
        <v>0</v>
      </c>
      <c r="W199">
        <f t="shared" si="73"/>
        <v>3</v>
      </c>
      <c r="X199">
        <f t="shared" si="73"/>
        <v>7</v>
      </c>
      <c r="Y199">
        <f t="shared" si="73"/>
        <v>7</v>
      </c>
      <c r="Z199">
        <f t="shared" si="74"/>
        <v>1</v>
      </c>
      <c r="AA199">
        <f t="shared" si="74"/>
        <v>0</v>
      </c>
      <c r="AB199">
        <f t="shared" si="74"/>
        <v>4</v>
      </c>
      <c r="AC199">
        <f t="shared" si="74"/>
        <v>0</v>
      </c>
      <c r="AD199">
        <f t="shared" si="74"/>
        <v>2</v>
      </c>
      <c r="AE199">
        <f t="shared" si="74"/>
        <v>0</v>
      </c>
      <c r="AF199" s="56">
        <f t="shared" si="77"/>
        <v>20</v>
      </c>
      <c r="AG199" s="59">
        <f t="shared" si="78"/>
        <v>5.2608695652173916</v>
      </c>
      <c r="AH199">
        <f t="shared" si="79"/>
        <v>0.2630434782608696</v>
      </c>
    </row>
    <row r="200" spans="1:34" ht="15" x14ac:dyDescent="0.2">
      <c r="A200">
        <v>246</v>
      </c>
      <c r="B200" s="57" t="s">
        <v>309</v>
      </c>
      <c r="C200" s="57"/>
      <c r="D200">
        <f t="shared" si="75"/>
        <v>121</v>
      </c>
      <c r="E200" s="1">
        <f t="shared" si="76"/>
        <v>21</v>
      </c>
      <c r="F200">
        <f t="shared" si="72"/>
        <v>7</v>
      </c>
      <c r="G200">
        <f t="shared" si="72"/>
        <v>1</v>
      </c>
      <c r="H200">
        <f t="shared" si="72"/>
        <v>3</v>
      </c>
      <c r="I200">
        <f t="shared" si="72"/>
        <v>2</v>
      </c>
      <c r="J200">
        <f t="shared" si="72"/>
        <v>8</v>
      </c>
      <c r="K200">
        <f t="shared" si="72"/>
        <v>2</v>
      </c>
      <c r="L200">
        <f t="shared" si="72"/>
        <v>3</v>
      </c>
      <c r="M200">
        <f t="shared" si="72"/>
        <v>6</v>
      </c>
      <c r="N200">
        <f t="shared" si="72"/>
        <v>8</v>
      </c>
      <c r="O200">
        <f t="shared" si="72"/>
        <v>0</v>
      </c>
      <c r="P200">
        <f t="shared" si="73"/>
        <v>1</v>
      </c>
      <c r="Q200">
        <f t="shared" si="73"/>
        <v>3</v>
      </c>
      <c r="R200">
        <f t="shared" si="73"/>
        <v>3</v>
      </c>
      <c r="S200">
        <f t="shared" si="73"/>
        <v>9</v>
      </c>
      <c r="T200">
        <f t="shared" si="73"/>
        <v>10</v>
      </c>
      <c r="U200">
        <f t="shared" si="73"/>
        <v>0</v>
      </c>
      <c r="V200">
        <f t="shared" si="73"/>
        <v>0</v>
      </c>
      <c r="W200">
        <f t="shared" si="73"/>
        <v>7</v>
      </c>
      <c r="X200">
        <f t="shared" si="73"/>
        <v>7</v>
      </c>
      <c r="Y200">
        <f t="shared" si="73"/>
        <v>9</v>
      </c>
      <c r="Z200">
        <f t="shared" si="74"/>
        <v>2</v>
      </c>
      <c r="AA200">
        <f t="shared" si="74"/>
        <v>0</v>
      </c>
      <c r="AB200">
        <f t="shared" si="74"/>
        <v>3</v>
      </c>
      <c r="AC200">
        <f t="shared" si="74"/>
        <v>0</v>
      </c>
      <c r="AD200">
        <f t="shared" si="74"/>
        <v>3</v>
      </c>
      <c r="AE200">
        <f t="shared" si="74"/>
        <v>0</v>
      </c>
      <c r="AF200" s="56">
        <f t="shared" si="77"/>
        <v>20</v>
      </c>
      <c r="AG200" s="59">
        <f t="shared" si="78"/>
        <v>5.7619047619047619</v>
      </c>
      <c r="AH200">
        <f t="shared" si="79"/>
        <v>0.28809523809523807</v>
      </c>
    </row>
    <row r="201" spans="1:34" ht="15" x14ac:dyDescent="0.2">
      <c r="A201">
        <v>531</v>
      </c>
      <c r="B201" s="57" t="s">
        <v>560</v>
      </c>
      <c r="C201" s="57"/>
      <c r="D201">
        <f t="shared" si="75"/>
        <v>121</v>
      </c>
      <c r="E201" s="1">
        <f t="shared" si="76"/>
        <v>23</v>
      </c>
      <c r="F201">
        <f t="shared" si="72"/>
        <v>8</v>
      </c>
      <c r="G201">
        <f t="shared" si="72"/>
        <v>3</v>
      </c>
      <c r="H201">
        <f t="shared" si="72"/>
        <v>1</v>
      </c>
      <c r="I201">
        <f t="shared" si="72"/>
        <v>2</v>
      </c>
      <c r="J201">
        <f t="shared" si="72"/>
        <v>7</v>
      </c>
      <c r="K201">
        <f t="shared" si="72"/>
        <v>0</v>
      </c>
      <c r="L201">
        <f t="shared" si="72"/>
        <v>1</v>
      </c>
      <c r="M201">
        <f t="shared" si="72"/>
        <v>3</v>
      </c>
      <c r="N201">
        <f t="shared" si="72"/>
        <v>5</v>
      </c>
      <c r="O201">
        <f t="shared" si="72"/>
        <v>0</v>
      </c>
      <c r="P201">
        <f t="shared" si="73"/>
        <v>2</v>
      </c>
      <c r="Q201">
        <f t="shared" si="73"/>
        <v>2</v>
      </c>
      <c r="R201">
        <f t="shared" si="73"/>
        <v>4</v>
      </c>
      <c r="S201">
        <f t="shared" si="73"/>
        <v>12</v>
      </c>
      <c r="T201">
        <f t="shared" si="73"/>
        <v>9</v>
      </c>
      <c r="U201">
        <f t="shared" si="73"/>
        <v>4</v>
      </c>
      <c r="V201">
        <f t="shared" si="73"/>
        <v>0</v>
      </c>
      <c r="W201">
        <f t="shared" si="73"/>
        <v>6</v>
      </c>
      <c r="X201">
        <f t="shared" si="73"/>
        <v>7</v>
      </c>
      <c r="Y201">
        <f t="shared" si="73"/>
        <v>9</v>
      </c>
      <c r="Z201">
        <f t="shared" si="74"/>
        <v>7</v>
      </c>
      <c r="AA201">
        <f t="shared" si="74"/>
        <v>1</v>
      </c>
      <c r="AB201">
        <f t="shared" si="74"/>
        <v>1</v>
      </c>
      <c r="AC201">
        <f t="shared" si="74"/>
        <v>0</v>
      </c>
      <c r="AD201">
        <f t="shared" si="74"/>
        <v>3</v>
      </c>
      <c r="AE201">
        <f t="shared" si="74"/>
        <v>0</v>
      </c>
      <c r="AF201" s="56">
        <f t="shared" si="77"/>
        <v>21</v>
      </c>
      <c r="AG201" s="59">
        <f t="shared" si="78"/>
        <v>5.2608695652173916</v>
      </c>
      <c r="AH201">
        <f t="shared" si="79"/>
        <v>0.25051759834368531</v>
      </c>
    </row>
    <row r="202" spans="1:34" ht="15" x14ac:dyDescent="0.2">
      <c r="A202">
        <v>389</v>
      </c>
      <c r="B202" s="57" t="s">
        <v>442</v>
      </c>
      <c r="C202" s="57"/>
      <c r="D202">
        <f t="shared" si="75"/>
        <v>121</v>
      </c>
      <c r="E202" s="1">
        <f t="shared" si="76"/>
        <v>26</v>
      </c>
      <c r="F202">
        <f t="shared" ref="F202:O211" si="80">LEN($B202)-LEN(SUBSTITUTE($B202,F$1,""))</f>
        <v>2</v>
      </c>
      <c r="G202">
        <f t="shared" si="80"/>
        <v>4</v>
      </c>
      <c r="H202">
        <f t="shared" si="80"/>
        <v>1</v>
      </c>
      <c r="I202">
        <f t="shared" si="80"/>
        <v>3</v>
      </c>
      <c r="J202">
        <f t="shared" si="80"/>
        <v>5</v>
      </c>
      <c r="K202">
        <f t="shared" si="80"/>
        <v>2</v>
      </c>
      <c r="L202">
        <f t="shared" si="80"/>
        <v>4</v>
      </c>
      <c r="M202">
        <f t="shared" si="80"/>
        <v>1</v>
      </c>
      <c r="N202">
        <f t="shared" si="80"/>
        <v>11</v>
      </c>
      <c r="O202">
        <f t="shared" si="80"/>
        <v>0</v>
      </c>
      <c r="P202">
        <f t="shared" ref="P202:Y211" si="81">LEN($B202)-LEN(SUBSTITUTE($B202,P$1,""))</f>
        <v>2</v>
      </c>
      <c r="Q202">
        <f t="shared" si="81"/>
        <v>8</v>
      </c>
      <c r="R202">
        <f t="shared" si="81"/>
        <v>4</v>
      </c>
      <c r="S202">
        <f t="shared" si="81"/>
        <v>5</v>
      </c>
      <c r="T202">
        <f t="shared" si="81"/>
        <v>13</v>
      </c>
      <c r="U202">
        <f t="shared" si="81"/>
        <v>1</v>
      </c>
      <c r="V202">
        <f t="shared" si="81"/>
        <v>0</v>
      </c>
      <c r="W202">
        <f t="shared" si="81"/>
        <v>2</v>
      </c>
      <c r="X202">
        <f t="shared" si="81"/>
        <v>1</v>
      </c>
      <c r="Y202">
        <f t="shared" si="81"/>
        <v>4</v>
      </c>
      <c r="Z202">
        <f t="shared" ref="Z202:AE211" si="82">LEN($B202)-LEN(SUBSTITUTE($B202,Z$1,""))</f>
        <v>6</v>
      </c>
      <c r="AA202">
        <f t="shared" si="82"/>
        <v>0</v>
      </c>
      <c r="AB202">
        <f t="shared" si="82"/>
        <v>2</v>
      </c>
      <c r="AC202">
        <f t="shared" si="82"/>
        <v>0</v>
      </c>
      <c r="AD202">
        <f t="shared" si="82"/>
        <v>6</v>
      </c>
      <c r="AE202">
        <f t="shared" si="82"/>
        <v>0</v>
      </c>
      <c r="AF202" s="56">
        <f t="shared" si="77"/>
        <v>21</v>
      </c>
      <c r="AG202" s="59">
        <f t="shared" si="78"/>
        <v>4.6538461538461542</v>
      </c>
      <c r="AH202">
        <f t="shared" si="79"/>
        <v>0.22161172161172163</v>
      </c>
    </row>
    <row r="203" spans="1:34" ht="15" x14ac:dyDescent="0.2">
      <c r="A203">
        <v>317</v>
      </c>
      <c r="B203" s="57" t="s">
        <v>377</v>
      </c>
      <c r="C203" s="57"/>
      <c r="D203">
        <f t="shared" si="75"/>
        <v>121</v>
      </c>
      <c r="E203" s="1">
        <f t="shared" si="76"/>
        <v>20</v>
      </c>
      <c r="F203">
        <f t="shared" si="80"/>
        <v>6</v>
      </c>
      <c r="G203">
        <f t="shared" si="80"/>
        <v>2</v>
      </c>
      <c r="H203">
        <f t="shared" si="80"/>
        <v>5</v>
      </c>
      <c r="I203">
        <f t="shared" si="80"/>
        <v>4</v>
      </c>
      <c r="J203">
        <f t="shared" si="80"/>
        <v>13</v>
      </c>
      <c r="K203">
        <f t="shared" si="80"/>
        <v>2</v>
      </c>
      <c r="L203">
        <f t="shared" si="80"/>
        <v>1</v>
      </c>
      <c r="M203">
        <f t="shared" si="80"/>
        <v>3</v>
      </c>
      <c r="N203">
        <f t="shared" si="80"/>
        <v>8</v>
      </c>
      <c r="O203">
        <f t="shared" si="80"/>
        <v>0</v>
      </c>
      <c r="P203">
        <f t="shared" si="81"/>
        <v>0</v>
      </c>
      <c r="Q203">
        <f t="shared" si="81"/>
        <v>8</v>
      </c>
      <c r="R203">
        <f t="shared" si="81"/>
        <v>3</v>
      </c>
      <c r="S203">
        <f t="shared" si="81"/>
        <v>6</v>
      </c>
      <c r="T203">
        <f t="shared" si="81"/>
        <v>8</v>
      </c>
      <c r="U203">
        <f t="shared" si="81"/>
        <v>2</v>
      </c>
      <c r="V203">
        <f t="shared" si="81"/>
        <v>0</v>
      </c>
      <c r="W203">
        <f t="shared" si="81"/>
        <v>5</v>
      </c>
      <c r="X203">
        <f t="shared" si="81"/>
        <v>5</v>
      </c>
      <c r="Y203">
        <f t="shared" si="81"/>
        <v>7</v>
      </c>
      <c r="Z203">
        <f t="shared" si="82"/>
        <v>3</v>
      </c>
      <c r="AA203">
        <f t="shared" si="82"/>
        <v>3</v>
      </c>
      <c r="AB203">
        <f t="shared" si="82"/>
        <v>1</v>
      </c>
      <c r="AC203">
        <f t="shared" si="82"/>
        <v>0</v>
      </c>
      <c r="AD203">
        <f t="shared" si="82"/>
        <v>3</v>
      </c>
      <c r="AE203">
        <f t="shared" si="82"/>
        <v>0</v>
      </c>
      <c r="AF203" s="56">
        <f t="shared" si="77"/>
        <v>21</v>
      </c>
      <c r="AG203" s="59">
        <f t="shared" si="78"/>
        <v>6.05</v>
      </c>
      <c r="AH203">
        <f t="shared" si="79"/>
        <v>0.28809523809523807</v>
      </c>
    </row>
    <row r="204" spans="1:34" ht="15" x14ac:dyDescent="0.2">
      <c r="A204">
        <v>598</v>
      </c>
      <c r="B204" s="57" t="s">
        <v>618</v>
      </c>
      <c r="C204" s="57"/>
      <c r="D204">
        <f t="shared" si="75"/>
        <v>120</v>
      </c>
      <c r="E204" s="1">
        <f t="shared" si="76"/>
        <v>18</v>
      </c>
      <c r="F204">
        <f t="shared" si="80"/>
        <v>11</v>
      </c>
      <c r="G204">
        <f t="shared" si="80"/>
        <v>1</v>
      </c>
      <c r="H204">
        <f t="shared" si="80"/>
        <v>5</v>
      </c>
      <c r="I204">
        <f t="shared" si="80"/>
        <v>5</v>
      </c>
      <c r="J204">
        <f t="shared" si="80"/>
        <v>15</v>
      </c>
      <c r="K204">
        <f t="shared" si="80"/>
        <v>2</v>
      </c>
      <c r="L204">
        <f t="shared" si="80"/>
        <v>3</v>
      </c>
      <c r="M204">
        <f t="shared" si="80"/>
        <v>4</v>
      </c>
      <c r="N204">
        <f t="shared" si="80"/>
        <v>3</v>
      </c>
      <c r="O204">
        <f t="shared" si="80"/>
        <v>0</v>
      </c>
      <c r="P204">
        <f t="shared" si="81"/>
        <v>0</v>
      </c>
      <c r="Q204">
        <f t="shared" si="81"/>
        <v>2</v>
      </c>
      <c r="R204">
        <f t="shared" si="81"/>
        <v>2</v>
      </c>
      <c r="S204">
        <f t="shared" si="81"/>
        <v>11</v>
      </c>
      <c r="T204">
        <f t="shared" si="81"/>
        <v>7</v>
      </c>
      <c r="U204">
        <f t="shared" si="81"/>
        <v>2</v>
      </c>
      <c r="V204">
        <f t="shared" si="81"/>
        <v>0</v>
      </c>
      <c r="W204">
        <f t="shared" si="81"/>
        <v>9</v>
      </c>
      <c r="X204">
        <f t="shared" si="81"/>
        <v>1</v>
      </c>
      <c r="Y204">
        <f t="shared" si="81"/>
        <v>9</v>
      </c>
      <c r="Z204">
        <f t="shared" si="82"/>
        <v>0</v>
      </c>
      <c r="AA204">
        <f t="shared" si="82"/>
        <v>0</v>
      </c>
      <c r="AB204">
        <f t="shared" si="82"/>
        <v>4</v>
      </c>
      <c r="AC204">
        <f t="shared" si="82"/>
        <v>0</v>
      </c>
      <c r="AD204">
        <f t="shared" si="82"/>
        <v>2</v>
      </c>
      <c r="AE204">
        <f t="shared" si="82"/>
        <v>0</v>
      </c>
      <c r="AF204" s="56">
        <f t="shared" si="77"/>
        <v>19</v>
      </c>
      <c r="AG204" s="59">
        <f t="shared" si="78"/>
        <v>6.666666666666667</v>
      </c>
      <c r="AH204">
        <f t="shared" si="79"/>
        <v>0.35087719298245618</v>
      </c>
    </row>
    <row r="205" spans="1:34" ht="15" x14ac:dyDescent="0.2">
      <c r="A205">
        <v>505</v>
      </c>
      <c r="B205" s="57" t="s">
        <v>540</v>
      </c>
      <c r="C205" s="57"/>
      <c r="D205">
        <f t="shared" si="75"/>
        <v>120</v>
      </c>
      <c r="E205" s="1">
        <f t="shared" si="76"/>
        <v>21</v>
      </c>
      <c r="F205">
        <f t="shared" si="80"/>
        <v>4</v>
      </c>
      <c r="G205">
        <f t="shared" si="80"/>
        <v>2</v>
      </c>
      <c r="H205">
        <f t="shared" si="80"/>
        <v>5</v>
      </c>
      <c r="I205">
        <f t="shared" si="80"/>
        <v>4</v>
      </c>
      <c r="J205">
        <f t="shared" si="80"/>
        <v>8</v>
      </c>
      <c r="K205">
        <f t="shared" si="80"/>
        <v>2</v>
      </c>
      <c r="L205">
        <f t="shared" si="80"/>
        <v>4</v>
      </c>
      <c r="M205">
        <f t="shared" si="80"/>
        <v>4</v>
      </c>
      <c r="N205">
        <f t="shared" si="80"/>
        <v>11</v>
      </c>
      <c r="O205">
        <f t="shared" si="80"/>
        <v>0</v>
      </c>
      <c r="P205">
        <f t="shared" si="81"/>
        <v>0</v>
      </c>
      <c r="Q205">
        <f t="shared" si="81"/>
        <v>0</v>
      </c>
      <c r="R205">
        <f t="shared" si="81"/>
        <v>6</v>
      </c>
      <c r="S205">
        <f t="shared" si="81"/>
        <v>8</v>
      </c>
      <c r="T205">
        <f t="shared" si="81"/>
        <v>9</v>
      </c>
      <c r="U205">
        <f t="shared" si="81"/>
        <v>2</v>
      </c>
      <c r="V205">
        <f t="shared" si="81"/>
        <v>0</v>
      </c>
      <c r="W205">
        <f t="shared" si="81"/>
        <v>3</v>
      </c>
      <c r="X205">
        <f t="shared" si="81"/>
        <v>5</v>
      </c>
      <c r="Y205">
        <f t="shared" si="81"/>
        <v>9</v>
      </c>
      <c r="Z205">
        <f t="shared" si="82"/>
        <v>2</v>
      </c>
      <c r="AA205">
        <f t="shared" si="82"/>
        <v>2</v>
      </c>
      <c r="AB205">
        <f t="shared" si="82"/>
        <v>1</v>
      </c>
      <c r="AC205">
        <f t="shared" si="82"/>
        <v>0</v>
      </c>
      <c r="AD205">
        <f t="shared" si="82"/>
        <v>1</v>
      </c>
      <c r="AE205">
        <f t="shared" si="82"/>
        <v>0</v>
      </c>
      <c r="AF205" s="56">
        <f t="shared" si="77"/>
        <v>20</v>
      </c>
      <c r="AG205" s="59">
        <f t="shared" si="78"/>
        <v>5.7142857142857144</v>
      </c>
      <c r="AH205">
        <f t="shared" si="79"/>
        <v>0.2857142857142857</v>
      </c>
    </row>
    <row r="206" spans="1:34" ht="15" x14ac:dyDescent="0.2">
      <c r="A206">
        <v>176</v>
      </c>
      <c r="B206" s="57" t="s">
        <v>240</v>
      </c>
      <c r="C206" s="57"/>
      <c r="D206">
        <f t="shared" si="75"/>
        <v>120</v>
      </c>
      <c r="E206" s="1">
        <f t="shared" si="76"/>
        <v>22</v>
      </c>
      <c r="F206">
        <f t="shared" si="80"/>
        <v>7</v>
      </c>
      <c r="G206">
        <f t="shared" si="80"/>
        <v>5</v>
      </c>
      <c r="H206">
        <f t="shared" si="80"/>
        <v>1</v>
      </c>
      <c r="I206">
        <f t="shared" si="80"/>
        <v>5</v>
      </c>
      <c r="J206">
        <f t="shared" si="80"/>
        <v>12</v>
      </c>
      <c r="K206">
        <f t="shared" si="80"/>
        <v>0</v>
      </c>
      <c r="L206">
        <f t="shared" si="80"/>
        <v>5</v>
      </c>
      <c r="M206">
        <f t="shared" si="80"/>
        <v>3</v>
      </c>
      <c r="N206">
        <f t="shared" si="80"/>
        <v>8</v>
      </c>
      <c r="O206">
        <f t="shared" si="80"/>
        <v>0</v>
      </c>
      <c r="P206">
        <f t="shared" si="81"/>
        <v>2</v>
      </c>
      <c r="Q206">
        <f t="shared" si="81"/>
        <v>5</v>
      </c>
      <c r="R206">
        <f t="shared" si="81"/>
        <v>1</v>
      </c>
      <c r="S206">
        <f t="shared" si="81"/>
        <v>10</v>
      </c>
      <c r="T206">
        <f t="shared" si="81"/>
        <v>7</v>
      </c>
      <c r="U206">
        <f t="shared" si="81"/>
        <v>0</v>
      </c>
      <c r="V206">
        <f t="shared" si="81"/>
        <v>0</v>
      </c>
      <c r="W206">
        <f t="shared" si="81"/>
        <v>5</v>
      </c>
      <c r="X206">
        <f t="shared" si="81"/>
        <v>3</v>
      </c>
      <c r="Y206">
        <f t="shared" si="81"/>
        <v>11</v>
      </c>
      <c r="Z206">
        <f t="shared" si="82"/>
        <v>0</v>
      </c>
      <c r="AA206">
        <f t="shared" si="82"/>
        <v>1</v>
      </c>
      <c r="AB206">
        <f t="shared" si="82"/>
        <v>1</v>
      </c>
      <c r="AC206">
        <f t="shared" si="82"/>
        <v>0</v>
      </c>
      <c r="AD206">
        <f t="shared" si="82"/>
        <v>3</v>
      </c>
      <c r="AE206">
        <f t="shared" si="82"/>
        <v>1</v>
      </c>
      <c r="AF206" s="56">
        <f t="shared" si="77"/>
        <v>20</v>
      </c>
      <c r="AG206" s="59">
        <f t="shared" si="78"/>
        <v>5.4545454545454541</v>
      </c>
      <c r="AH206">
        <f t="shared" si="79"/>
        <v>0.27272727272727271</v>
      </c>
    </row>
    <row r="207" spans="1:34" ht="15" x14ac:dyDescent="0.2">
      <c r="A207">
        <v>515</v>
      </c>
      <c r="B207" s="57" t="s">
        <v>550</v>
      </c>
      <c r="C207" s="57"/>
      <c r="D207">
        <f t="shared" si="75"/>
        <v>120</v>
      </c>
      <c r="E207" s="1">
        <f t="shared" si="76"/>
        <v>23</v>
      </c>
      <c r="F207">
        <f t="shared" si="80"/>
        <v>6</v>
      </c>
      <c r="G207">
        <f t="shared" si="80"/>
        <v>0</v>
      </c>
      <c r="H207">
        <f t="shared" si="80"/>
        <v>3</v>
      </c>
      <c r="I207">
        <f t="shared" si="80"/>
        <v>3</v>
      </c>
      <c r="J207">
        <f t="shared" si="80"/>
        <v>16</v>
      </c>
      <c r="K207">
        <f t="shared" si="80"/>
        <v>3</v>
      </c>
      <c r="L207">
        <f t="shared" si="80"/>
        <v>1</v>
      </c>
      <c r="M207">
        <f t="shared" si="80"/>
        <v>6</v>
      </c>
      <c r="N207">
        <f t="shared" si="80"/>
        <v>5</v>
      </c>
      <c r="O207">
        <f t="shared" si="80"/>
        <v>0</v>
      </c>
      <c r="P207">
        <f t="shared" si="81"/>
        <v>0</v>
      </c>
      <c r="Q207">
        <f t="shared" si="81"/>
        <v>5</v>
      </c>
      <c r="R207">
        <f t="shared" si="81"/>
        <v>2</v>
      </c>
      <c r="S207">
        <f t="shared" si="81"/>
        <v>4</v>
      </c>
      <c r="T207">
        <f t="shared" si="81"/>
        <v>9</v>
      </c>
      <c r="U207">
        <f t="shared" si="81"/>
        <v>3</v>
      </c>
      <c r="V207">
        <f t="shared" si="81"/>
        <v>0</v>
      </c>
      <c r="W207">
        <f t="shared" si="81"/>
        <v>4</v>
      </c>
      <c r="X207">
        <f t="shared" si="81"/>
        <v>8</v>
      </c>
      <c r="Y207">
        <f t="shared" si="81"/>
        <v>5</v>
      </c>
      <c r="Z207">
        <f t="shared" si="82"/>
        <v>3</v>
      </c>
      <c r="AA207">
        <f t="shared" si="82"/>
        <v>1</v>
      </c>
      <c r="AB207">
        <f t="shared" si="82"/>
        <v>4</v>
      </c>
      <c r="AC207">
        <f t="shared" si="82"/>
        <v>0</v>
      </c>
      <c r="AD207">
        <f t="shared" si="82"/>
        <v>3</v>
      </c>
      <c r="AE207">
        <f t="shared" si="82"/>
        <v>1</v>
      </c>
      <c r="AF207" s="56">
        <f t="shared" si="77"/>
        <v>21</v>
      </c>
      <c r="AG207" s="59">
        <f t="shared" si="78"/>
        <v>5.2173913043478262</v>
      </c>
      <c r="AH207">
        <f t="shared" si="79"/>
        <v>0.2484472049689441</v>
      </c>
    </row>
    <row r="208" spans="1:34" ht="15" x14ac:dyDescent="0.2">
      <c r="A208">
        <v>417</v>
      </c>
      <c r="B208" s="57" t="s">
        <v>465</v>
      </c>
      <c r="C208" s="57"/>
      <c r="D208">
        <f t="shared" si="75"/>
        <v>120</v>
      </c>
      <c r="E208" s="1">
        <f t="shared" si="76"/>
        <v>18</v>
      </c>
      <c r="F208">
        <f t="shared" si="80"/>
        <v>7</v>
      </c>
      <c r="G208">
        <f t="shared" si="80"/>
        <v>3</v>
      </c>
      <c r="H208">
        <f t="shared" si="80"/>
        <v>2</v>
      </c>
      <c r="I208">
        <f t="shared" si="80"/>
        <v>7</v>
      </c>
      <c r="J208">
        <f t="shared" si="80"/>
        <v>8</v>
      </c>
      <c r="K208">
        <f t="shared" si="80"/>
        <v>4</v>
      </c>
      <c r="L208">
        <f t="shared" si="80"/>
        <v>3</v>
      </c>
      <c r="M208">
        <f t="shared" si="80"/>
        <v>3</v>
      </c>
      <c r="N208">
        <f t="shared" si="80"/>
        <v>6</v>
      </c>
      <c r="O208">
        <f t="shared" si="80"/>
        <v>0</v>
      </c>
      <c r="P208">
        <f t="shared" si="81"/>
        <v>0</v>
      </c>
      <c r="Q208">
        <f t="shared" si="81"/>
        <v>3</v>
      </c>
      <c r="R208">
        <f t="shared" si="81"/>
        <v>1</v>
      </c>
      <c r="S208">
        <f t="shared" si="81"/>
        <v>10</v>
      </c>
      <c r="T208">
        <f t="shared" si="81"/>
        <v>9</v>
      </c>
      <c r="U208">
        <f t="shared" si="81"/>
        <v>1</v>
      </c>
      <c r="V208">
        <f t="shared" si="81"/>
        <v>0</v>
      </c>
      <c r="W208">
        <f t="shared" si="81"/>
        <v>7</v>
      </c>
      <c r="X208">
        <f t="shared" si="81"/>
        <v>4</v>
      </c>
      <c r="Y208">
        <f t="shared" si="81"/>
        <v>11</v>
      </c>
      <c r="Z208">
        <f t="shared" si="82"/>
        <v>6</v>
      </c>
      <c r="AA208">
        <f t="shared" si="82"/>
        <v>0</v>
      </c>
      <c r="AB208">
        <f t="shared" si="82"/>
        <v>1</v>
      </c>
      <c r="AC208">
        <f t="shared" si="82"/>
        <v>1</v>
      </c>
      <c r="AD208">
        <f t="shared" si="82"/>
        <v>3</v>
      </c>
      <c r="AE208">
        <f t="shared" si="82"/>
        <v>0</v>
      </c>
      <c r="AF208" s="56">
        <f t="shared" si="77"/>
        <v>21</v>
      </c>
      <c r="AG208" s="59">
        <f t="shared" si="78"/>
        <v>6.666666666666667</v>
      </c>
      <c r="AH208">
        <f t="shared" si="79"/>
        <v>0.3174603174603175</v>
      </c>
    </row>
    <row r="209" spans="1:34" ht="15" x14ac:dyDescent="0.2">
      <c r="A209">
        <v>319</v>
      </c>
      <c r="B209" s="57" t="s">
        <v>379</v>
      </c>
      <c r="C209" s="57"/>
      <c r="D209">
        <f t="shared" si="75"/>
        <v>120</v>
      </c>
      <c r="E209" s="1">
        <f t="shared" si="76"/>
        <v>23</v>
      </c>
      <c r="F209">
        <f t="shared" si="80"/>
        <v>4</v>
      </c>
      <c r="G209">
        <f t="shared" si="80"/>
        <v>1</v>
      </c>
      <c r="H209">
        <f t="shared" si="80"/>
        <v>3</v>
      </c>
      <c r="I209">
        <f t="shared" si="80"/>
        <v>7</v>
      </c>
      <c r="J209">
        <f t="shared" si="80"/>
        <v>12</v>
      </c>
      <c r="K209">
        <f t="shared" si="80"/>
        <v>2</v>
      </c>
      <c r="L209">
        <f t="shared" si="80"/>
        <v>2</v>
      </c>
      <c r="M209">
        <f t="shared" si="80"/>
        <v>3</v>
      </c>
      <c r="N209">
        <f t="shared" si="80"/>
        <v>6</v>
      </c>
      <c r="O209">
        <f t="shared" si="80"/>
        <v>1</v>
      </c>
      <c r="P209">
        <f t="shared" si="81"/>
        <v>1</v>
      </c>
      <c r="Q209">
        <f t="shared" si="81"/>
        <v>4</v>
      </c>
      <c r="R209">
        <f t="shared" si="81"/>
        <v>1</v>
      </c>
      <c r="S209">
        <f t="shared" si="81"/>
        <v>6</v>
      </c>
      <c r="T209">
        <f t="shared" si="81"/>
        <v>7</v>
      </c>
      <c r="U209">
        <f t="shared" si="81"/>
        <v>2</v>
      </c>
      <c r="V209">
        <f t="shared" si="81"/>
        <v>0</v>
      </c>
      <c r="W209">
        <f t="shared" si="81"/>
        <v>5</v>
      </c>
      <c r="X209">
        <f t="shared" si="81"/>
        <v>10</v>
      </c>
      <c r="Y209">
        <f t="shared" si="81"/>
        <v>7</v>
      </c>
      <c r="Z209">
        <f t="shared" si="82"/>
        <v>4</v>
      </c>
      <c r="AA209">
        <f t="shared" si="82"/>
        <v>0</v>
      </c>
      <c r="AB209">
        <f t="shared" si="82"/>
        <v>3</v>
      </c>
      <c r="AC209">
        <f t="shared" si="82"/>
        <v>0</v>
      </c>
      <c r="AD209">
        <f t="shared" si="82"/>
        <v>0</v>
      </c>
      <c r="AE209">
        <f t="shared" si="82"/>
        <v>0</v>
      </c>
      <c r="AF209" s="56">
        <f t="shared" si="77"/>
        <v>21</v>
      </c>
      <c r="AG209" s="59">
        <f t="shared" si="78"/>
        <v>5.2173913043478262</v>
      </c>
      <c r="AH209">
        <f t="shared" si="79"/>
        <v>0.2484472049689441</v>
      </c>
    </row>
    <row r="210" spans="1:34" ht="15" x14ac:dyDescent="0.2">
      <c r="A210">
        <v>278</v>
      </c>
      <c r="B210" s="57" t="s">
        <v>340</v>
      </c>
      <c r="C210" s="57"/>
      <c r="D210">
        <f t="shared" si="75"/>
        <v>120</v>
      </c>
      <c r="E210" s="1">
        <f t="shared" si="76"/>
        <v>21</v>
      </c>
      <c r="F210">
        <f t="shared" si="80"/>
        <v>9</v>
      </c>
      <c r="G210">
        <f t="shared" si="80"/>
        <v>1</v>
      </c>
      <c r="H210">
        <f t="shared" si="80"/>
        <v>2</v>
      </c>
      <c r="I210">
        <f t="shared" si="80"/>
        <v>1</v>
      </c>
      <c r="J210">
        <f t="shared" si="80"/>
        <v>13</v>
      </c>
      <c r="K210">
        <f t="shared" si="80"/>
        <v>1</v>
      </c>
      <c r="L210">
        <f t="shared" si="80"/>
        <v>6</v>
      </c>
      <c r="M210">
        <f t="shared" si="80"/>
        <v>1</v>
      </c>
      <c r="N210">
        <f t="shared" si="80"/>
        <v>13</v>
      </c>
      <c r="O210">
        <f t="shared" si="80"/>
        <v>1</v>
      </c>
      <c r="P210">
        <f t="shared" si="81"/>
        <v>1</v>
      </c>
      <c r="Q210">
        <f t="shared" si="81"/>
        <v>6</v>
      </c>
      <c r="R210">
        <f t="shared" si="81"/>
        <v>4</v>
      </c>
      <c r="S210">
        <f t="shared" si="81"/>
        <v>10</v>
      </c>
      <c r="T210">
        <f t="shared" si="81"/>
        <v>5</v>
      </c>
      <c r="U210">
        <f t="shared" si="81"/>
        <v>4</v>
      </c>
      <c r="V210">
        <f t="shared" si="81"/>
        <v>0</v>
      </c>
      <c r="W210">
        <f t="shared" si="81"/>
        <v>6</v>
      </c>
      <c r="X210">
        <f t="shared" si="81"/>
        <v>4</v>
      </c>
      <c r="Y210">
        <f t="shared" si="81"/>
        <v>4</v>
      </c>
      <c r="Z210">
        <f t="shared" si="82"/>
        <v>1</v>
      </c>
      <c r="AA210">
        <f t="shared" si="82"/>
        <v>1</v>
      </c>
      <c r="AB210">
        <f t="shared" si="82"/>
        <v>0</v>
      </c>
      <c r="AC210">
        <f t="shared" si="82"/>
        <v>0</v>
      </c>
      <c r="AD210">
        <f t="shared" si="82"/>
        <v>1</v>
      </c>
      <c r="AE210">
        <f t="shared" si="82"/>
        <v>0</v>
      </c>
      <c r="AF210" s="56">
        <f t="shared" si="77"/>
        <v>22</v>
      </c>
      <c r="AG210" s="59">
        <f t="shared" si="78"/>
        <v>5.7142857142857144</v>
      </c>
      <c r="AH210">
        <f t="shared" si="79"/>
        <v>0.25974025974025977</v>
      </c>
    </row>
    <row r="211" spans="1:34" ht="15" x14ac:dyDescent="0.2">
      <c r="A211">
        <v>314</v>
      </c>
      <c r="B211" s="57" t="s">
        <v>374</v>
      </c>
      <c r="C211" s="57"/>
      <c r="D211">
        <f t="shared" si="75"/>
        <v>119</v>
      </c>
      <c r="E211" s="1">
        <f t="shared" si="76"/>
        <v>24</v>
      </c>
      <c r="F211">
        <f t="shared" si="80"/>
        <v>6</v>
      </c>
      <c r="G211">
        <f t="shared" si="80"/>
        <v>0</v>
      </c>
      <c r="H211">
        <f t="shared" si="80"/>
        <v>1</v>
      </c>
      <c r="I211">
        <f t="shared" si="80"/>
        <v>5</v>
      </c>
      <c r="J211">
        <f t="shared" si="80"/>
        <v>12</v>
      </c>
      <c r="K211">
        <f t="shared" si="80"/>
        <v>0</v>
      </c>
      <c r="L211">
        <f t="shared" si="80"/>
        <v>3</v>
      </c>
      <c r="M211">
        <f t="shared" si="80"/>
        <v>9</v>
      </c>
      <c r="N211">
        <f t="shared" si="80"/>
        <v>6</v>
      </c>
      <c r="O211">
        <f t="shared" si="80"/>
        <v>0</v>
      </c>
      <c r="P211">
        <f t="shared" si="81"/>
        <v>0</v>
      </c>
      <c r="Q211">
        <f t="shared" si="81"/>
        <v>1</v>
      </c>
      <c r="R211">
        <f t="shared" si="81"/>
        <v>1</v>
      </c>
      <c r="S211">
        <f t="shared" si="81"/>
        <v>9</v>
      </c>
      <c r="T211">
        <f t="shared" si="81"/>
        <v>7</v>
      </c>
      <c r="U211">
        <f t="shared" si="81"/>
        <v>0</v>
      </c>
      <c r="V211">
        <f t="shared" si="81"/>
        <v>0</v>
      </c>
      <c r="W211">
        <f t="shared" si="81"/>
        <v>4</v>
      </c>
      <c r="X211">
        <f t="shared" si="81"/>
        <v>9</v>
      </c>
      <c r="Y211">
        <f t="shared" si="81"/>
        <v>9</v>
      </c>
      <c r="Z211">
        <f t="shared" si="82"/>
        <v>5</v>
      </c>
      <c r="AA211">
        <f t="shared" si="82"/>
        <v>1</v>
      </c>
      <c r="AB211">
        <f t="shared" si="82"/>
        <v>1</v>
      </c>
      <c r="AC211">
        <f t="shared" si="82"/>
        <v>0</v>
      </c>
      <c r="AD211">
        <f t="shared" si="82"/>
        <v>0</v>
      </c>
      <c r="AE211">
        <f t="shared" si="82"/>
        <v>0</v>
      </c>
      <c r="AF211" s="56">
        <f t="shared" si="77"/>
        <v>17</v>
      </c>
      <c r="AG211" s="59">
        <f t="shared" si="78"/>
        <v>4.958333333333333</v>
      </c>
      <c r="AH211">
        <f t="shared" si="79"/>
        <v>0.29166666666666663</v>
      </c>
    </row>
    <row r="212" spans="1:34" ht="15" x14ac:dyDescent="0.2">
      <c r="A212">
        <v>546</v>
      </c>
      <c r="B212" s="57" t="s">
        <v>573</v>
      </c>
      <c r="C212" s="57"/>
      <c r="D212">
        <f t="shared" si="75"/>
        <v>119</v>
      </c>
      <c r="E212" s="1">
        <f t="shared" si="76"/>
        <v>24</v>
      </c>
      <c r="F212">
        <f t="shared" ref="F212:O221" si="83">LEN($B212)-LEN(SUBSTITUTE($B212,F$1,""))</f>
        <v>8</v>
      </c>
      <c r="G212">
        <f t="shared" si="83"/>
        <v>0</v>
      </c>
      <c r="H212">
        <f t="shared" si="83"/>
        <v>7</v>
      </c>
      <c r="I212">
        <f t="shared" si="83"/>
        <v>7</v>
      </c>
      <c r="J212">
        <f t="shared" si="83"/>
        <v>4</v>
      </c>
      <c r="K212">
        <f t="shared" si="83"/>
        <v>5</v>
      </c>
      <c r="L212">
        <f t="shared" si="83"/>
        <v>1</v>
      </c>
      <c r="M212">
        <f t="shared" si="83"/>
        <v>0</v>
      </c>
      <c r="N212">
        <f t="shared" si="83"/>
        <v>12</v>
      </c>
      <c r="O212">
        <f t="shared" si="83"/>
        <v>0</v>
      </c>
      <c r="P212">
        <f t="shared" ref="P212:Y221" si="84">LEN($B212)-LEN(SUBSTITUTE($B212,P$1,""))</f>
        <v>11</v>
      </c>
      <c r="Q212">
        <f t="shared" si="84"/>
        <v>6</v>
      </c>
      <c r="R212">
        <f t="shared" si="84"/>
        <v>0</v>
      </c>
      <c r="S212">
        <f t="shared" si="84"/>
        <v>4</v>
      </c>
      <c r="T212">
        <f t="shared" si="84"/>
        <v>5</v>
      </c>
      <c r="U212">
        <f t="shared" si="84"/>
        <v>1</v>
      </c>
      <c r="V212">
        <f t="shared" si="84"/>
        <v>1</v>
      </c>
      <c r="W212">
        <f t="shared" si="84"/>
        <v>0</v>
      </c>
      <c r="X212">
        <f t="shared" si="84"/>
        <v>4</v>
      </c>
      <c r="Y212">
        <f t="shared" si="84"/>
        <v>4</v>
      </c>
      <c r="Z212">
        <f t="shared" ref="Z212:AE221" si="85">LEN($B212)-LEN(SUBSTITUTE($B212,Z$1,""))</f>
        <v>6</v>
      </c>
      <c r="AA212">
        <f t="shared" si="85"/>
        <v>0</v>
      </c>
      <c r="AB212">
        <f t="shared" si="85"/>
        <v>1</v>
      </c>
      <c r="AC212">
        <f t="shared" si="85"/>
        <v>0</v>
      </c>
      <c r="AD212">
        <f t="shared" si="85"/>
        <v>1</v>
      </c>
      <c r="AE212">
        <f t="shared" si="85"/>
        <v>0</v>
      </c>
      <c r="AF212" s="56">
        <f t="shared" si="77"/>
        <v>18</v>
      </c>
      <c r="AG212" s="59">
        <f t="shared" si="78"/>
        <v>4.958333333333333</v>
      </c>
      <c r="AH212">
        <f t="shared" si="79"/>
        <v>0.27546296296296297</v>
      </c>
    </row>
    <row r="213" spans="1:34" ht="15" x14ac:dyDescent="0.2">
      <c r="A213">
        <v>579</v>
      </c>
      <c r="B213" s="57" t="s">
        <v>600</v>
      </c>
      <c r="C213" s="57"/>
      <c r="D213">
        <f t="shared" si="75"/>
        <v>119</v>
      </c>
      <c r="E213" s="1">
        <f t="shared" si="76"/>
        <v>21</v>
      </c>
      <c r="F213">
        <f t="shared" si="83"/>
        <v>6</v>
      </c>
      <c r="G213">
        <f t="shared" si="83"/>
        <v>2</v>
      </c>
      <c r="H213">
        <f t="shared" si="83"/>
        <v>0</v>
      </c>
      <c r="I213">
        <f t="shared" si="83"/>
        <v>3</v>
      </c>
      <c r="J213">
        <f t="shared" si="83"/>
        <v>11</v>
      </c>
      <c r="K213">
        <f t="shared" si="83"/>
        <v>2</v>
      </c>
      <c r="L213">
        <f t="shared" si="83"/>
        <v>1</v>
      </c>
      <c r="M213">
        <f t="shared" si="83"/>
        <v>4</v>
      </c>
      <c r="N213">
        <f t="shared" si="83"/>
        <v>10</v>
      </c>
      <c r="O213">
        <f t="shared" si="83"/>
        <v>0</v>
      </c>
      <c r="P213">
        <f t="shared" si="84"/>
        <v>0</v>
      </c>
      <c r="Q213">
        <f t="shared" si="84"/>
        <v>2</v>
      </c>
      <c r="R213">
        <f t="shared" si="84"/>
        <v>3</v>
      </c>
      <c r="S213">
        <f t="shared" si="84"/>
        <v>11</v>
      </c>
      <c r="T213">
        <f t="shared" si="84"/>
        <v>6</v>
      </c>
      <c r="U213">
        <f t="shared" si="84"/>
        <v>1</v>
      </c>
      <c r="V213">
        <f t="shared" si="84"/>
        <v>0</v>
      </c>
      <c r="W213">
        <f t="shared" si="84"/>
        <v>6</v>
      </c>
      <c r="X213">
        <f t="shared" si="84"/>
        <v>6</v>
      </c>
      <c r="Y213">
        <f t="shared" si="84"/>
        <v>11</v>
      </c>
      <c r="Z213">
        <f t="shared" si="85"/>
        <v>5</v>
      </c>
      <c r="AA213">
        <f t="shared" si="85"/>
        <v>1</v>
      </c>
      <c r="AB213">
        <f t="shared" si="85"/>
        <v>1</v>
      </c>
      <c r="AC213">
        <f t="shared" si="85"/>
        <v>0</v>
      </c>
      <c r="AD213">
        <f t="shared" si="85"/>
        <v>2</v>
      </c>
      <c r="AE213">
        <f t="shared" si="85"/>
        <v>0</v>
      </c>
      <c r="AF213" s="56">
        <f t="shared" si="77"/>
        <v>20</v>
      </c>
      <c r="AG213" s="59">
        <f t="shared" si="78"/>
        <v>5.666666666666667</v>
      </c>
      <c r="AH213">
        <f t="shared" si="79"/>
        <v>0.28333333333333333</v>
      </c>
    </row>
    <row r="214" spans="1:34" ht="15" x14ac:dyDescent="0.2">
      <c r="A214">
        <v>380</v>
      </c>
      <c r="B214" s="57" t="s">
        <v>435</v>
      </c>
      <c r="C214" s="57"/>
      <c r="D214">
        <f t="shared" si="75"/>
        <v>119</v>
      </c>
      <c r="E214" s="1">
        <f t="shared" si="76"/>
        <v>22</v>
      </c>
      <c r="F214">
        <f t="shared" si="83"/>
        <v>6</v>
      </c>
      <c r="G214">
        <f t="shared" si="83"/>
        <v>1</v>
      </c>
      <c r="H214">
        <f t="shared" si="83"/>
        <v>2</v>
      </c>
      <c r="I214">
        <f t="shared" si="83"/>
        <v>5</v>
      </c>
      <c r="J214">
        <f t="shared" si="83"/>
        <v>8</v>
      </c>
      <c r="K214">
        <f t="shared" si="83"/>
        <v>2</v>
      </c>
      <c r="L214">
        <f t="shared" si="83"/>
        <v>5</v>
      </c>
      <c r="M214">
        <f t="shared" si="83"/>
        <v>6</v>
      </c>
      <c r="N214">
        <f t="shared" si="83"/>
        <v>5</v>
      </c>
      <c r="O214">
        <f t="shared" si="83"/>
        <v>2</v>
      </c>
      <c r="P214">
        <f t="shared" si="84"/>
        <v>1</v>
      </c>
      <c r="Q214">
        <f t="shared" si="84"/>
        <v>3</v>
      </c>
      <c r="R214">
        <f t="shared" si="84"/>
        <v>0</v>
      </c>
      <c r="S214">
        <f t="shared" si="84"/>
        <v>9</v>
      </c>
      <c r="T214">
        <f t="shared" si="84"/>
        <v>12</v>
      </c>
      <c r="U214">
        <f t="shared" si="84"/>
        <v>0</v>
      </c>
      <c r="V214">
        <f t="shared" si="84"/>
        <v>0</v>
      </c>
      <c r="W214">
        <f t="shared" si="84"/>
        <v>5</v>
      </c>
      <c r="X214">
        <f t="shared" si="84"/>
        <v>4</v>
      </c>
      <c r="Y214">
        <f t="shared" si="84"/>
        <v>10</v>
      </c>
      <c r="Z214">
        <f t="shared" si="85"/>
        <v>5</v>
      </c>
      <c r="AA214">
        <f t="shared" si="85"/>
        <v>1</v>
      </c>
      <c r="AB214">
        <f t="shared" si="85"/>
        <v>1</v>
      </c>
      <c r="AC214">
        <f t="shared" si="85"/>
        <v>0</v>
      </c>
      <c r="AD214">
        <f t="shared" si="85"/>
        <v>1</v>
      </c>
      <c r="AE214">
        <f t="shared" si="85"/>
        <v>0</v>
      </c>
      <c r="AF214" s="56">
        <f t="shared" si="77"/>
        <v>21</v>
      </c>
      <c r="AG214" s="59">
        <f t="shared" si="78"/>
        <v>5.4090909090909092</v>
      </c>
      <c r="AH214">
        <f t="shared" si="79"/>
        <v>0.25757575757575757</v>
      </c>
    </row>
    <row r="215" spans="1:34" ht="15" x14ac:dyDescent="0.2">
      <c r="A215">
        <v>147</v>
      </c>
      <c r="B215" s="57" t="s">
        <v>212</v>
      </c>
      <c r="C215" s="57"/>
      <c r="D215">
        <f t="shared" si="75"/>
        <v>118</v>
      </c>
      <c r="E215" s="1">
        <f t="shared" si="76"/>
        <v>20</v>
      </c>
      <c r="F215">
        <f t="shared" si="83"/>
        <v>5</v>
      </c>
      <c r="G215">
        <f t="shared" si="83"/>
        <v>2</v>
      </c>
      <c r="H215">
        <f t="shared" si="83"/>
        <v>1</v>
      </c>
      <c r="I215">
        <f t="shared" si="83"/>
        <v>3</v>
      </c>
      <c r="J215">
        <f t="shared" si="83"/>
        <v>16</v>
      </c>
      <c r="K215">
        <f t="shared" si="83"/>
        <v>0</v>
      </c>
      <c r="L215">
        <f t="shared" si="83"/>
        <v>5</v>
      </c>
      <c r="M215">
        <f t="shared" si="83"/>
        <v>7</v>
      </c>
      <c r="N215">
        <f t="shared" si="83"/>
        <v>3</v>
      </c>
      <c r="O215">
        <f t="shared" si="83"/>
        <v>0</v>
      </c>
      <c r="P215">
        <f t="shared" si="84"/>
        <v>1</v>
      </c>
      <c r="Q215">
        <f t="shared" si="84"/>
        <v>4</v>
      </c>
      <c r="R215">
        <f t="shared" si="84"/>
        <v>1</v>
      </c>
      <c r="S215">
        <f t="shared" si="84"/>
        <v>2</v>
      </c>
      <c r="T215">
        <f t="shared" si="84"/>
        <v>9</v>
      </c>
      <c r="U215">
        <f t="shared" si="84"/>
        <v>5</v>
      </c>
      <c r="V215">
        <f t="shared" si="84"/>
        <v>0</v>
      </c>
      <c r="W215">
        <f t="shared" si="84"/>
        <v>4</v>
      </c>
      <c r="X215">
        <f t="shared" si="84"/>
        <v>7</v>
      </c>
      <c r="Y215">
        <f t="shared" si="84"/>
        <v>11</v>
      </c>
      <c r="Z215">
        <f t="shared" si="85"/>
        <v>3</v>
      </c>
      <c r="AA215">
        <f t="shared" si="85"/>
        <v>2</v>
      </c>
      <c r="AB215">
        <f t="shared" si="85"/>
        <v>3</v>
      </c>
      <c r="AC215">
        <f t="shared" si="85"/>
        <v>0</v>
      </c>
      <c r="AD215">
        <f t="shared" si="85"/>
        <v>1</v>
      </c>
      <c r="AE215">
        <f t="shared" si="85"/>
        <v>0</v>
      </c>
      <c r="AF215" s="56">
        <f t="shared" si="77"/>
        <v>21</v>
      </c>
      <c r="AG215" s="59">
        <f t="shared" si="78"/>
        <v>5.9</v>
      </c>
      <c r="AH215">
        <f t="shared" si="79"/>
        <v>0.28095238095238095</v>
      </c>
    </row>
    <row r="216" spans="1:34" ht="15" x14ac:dyDescent="0.2">
      <c r="A216">
        <v>428</v>
      </c>
      <c r="B216" s="57" t="s">
        <v>473</v>
      </c>
      <c r="C216" s="57"/>
      <c r="D216">
        <f t="shared" si="75"/>
        <v>117</v>
      </c>
      <c r="E216" s="1">
        <f t="shared" si="76"/>
        <v>20</v>
      </c>
      <c r="F216">
        <f t="shared" si="83"/>
        <v>6</v>
      </c>
      <c r="G216">
        <f t="shared" si="83"/>
        <v>2</v>
      </c>
      <c r="H216">
        <f t="shared" si="83"/>
        <v>5</v>
      </c>
      <c r="I216">
        <f t="shared" si="83"/>
        <v>4</v>
      </c>
      <c r="J216">
        <f t="shared" si="83"/>
        <v>9</v>
      </c>
      <c r="K216">
        <f t="shared" si="83"/>
        <v>4</v>
      </c>
      <c r="L216">
        <f t="shared" si="83"/>
        <v>0</v>
      </c>
      <c r="M216">
        <f t="shared" si="83"/>
        <v>3</v>
      </c>
      <c r="N216">
        <f t="shared" si="83"/>
        <v>9</v>
      </c>
      <c r="O216">
        <f t="shared" si="83"/>
        <v>0</v>
      </c>
      <c r="P216">
        <f t="shared" si="84"/>
        <v>1</v>
      </c>
      <c r="Q216">
        <f t="shared" si="84"/>
        <v>7</v>
      </c>
      <c r="R216">
        <f t="shared" si="84"/>
        <v>1</v>
      </c>
      <c r="S216">
        <f t="shared" si="84"/>
        <v>3</v>
      </c>
      <c r="T216">
        <f t="shared" si="84"/>
        <v>9</v>
      </c>
      <c r="U216">
        <f t="shared" si="84"/>
        <v>1</v>
      </c>
      <c r="V216">
        <f t="shared" si="84"/>
        <v>0</v>
      </c>
      <c r="W216">
        <f t="shared" si="84"/>
        <v>3</v>
      </c>
      <c r="X216">
        <f t="shared" si="84"/>
        <v>8</v>
      </c>
      <c r="Y216">
        <f t="shared" si="84"/>
        <v>9</v>
      </c>
      <c r="Z216">
        <f t="shared" si="85"/>
        <v>5</v>
      </c>
      <c r="AA216">
        <f t="shared" si="85"/>
        <v>2</v>
      </c>
      <c r="AB216">
        <f t="shared" si="85"/>
        <v>1</v>
      </c>
      <c r="AC216">
        <f t="shared" si="85"/>
        <v>0</v>
      </c>
      <c r="AD216">
        <f t="shared" si="85"/>
        <v>0</v>
      </c>
      <c r="AE216">
        <f t="shared" si="85"/>
        <v>0</v>
      </c>
      <c r="AF216" s="56">
        <f t="shared" si="77"/>
        <v>20</v>
      </c>
      <c r="AG216" s="59">
        <f t="shared" si="78"/>
        <v>5.85</v>
      </c>
      <c r="AH216">
        <f t="shared" si="79"/>
        <v>0.29249999999999998</v>
      </c>
    </row>
    <row r="217" spans="1:34" ht="15" x14ac:dyDescent="0.2">
      <c r="A217">
        <v>305</v>
      </c>
      <c r="B217" s="57" t="s">
        <v>365</v>
      </c>
      <c r="C217" s="57"/>
      <c r="D217">
        <f t="shared" si="75"/>
        <v>117</v>
      </c>
      <c r="E217" s="1">
        <f t="shared" si="76"/>
        <v>19</v>
      </c>
      <c r="F217">
        <f t="shared" si="83"/>
        <v>8</v>
      </c>
      <c r="G217">
        <f t="shared" si="83"/>
        <v>3</v>
      </c>
      <c r="H217">
        <f t="shared" si="83"/>
        <v>0</v>
      </c>
      <c r="I217">
        <f t="shared" si="83"/>
        <v>4</v>
      </c>
      <c r="J217">
        <f t="shared" si="83"/>
        <v>12</v>
      </c>
      <c r="K217">
        <f t="shared" si="83"/>
        <v>0</v>
      </c>
      <c r="L217">
        <f t="shared" si="83"/>
        <v>2</v>
      </c>
      <c r="M217">
        <f t="shared" si="83"/>
        <v>2</v>
      </c>
      <c r="N217">
        <f t="shared" si="83"/>
        <v>8</v>
      </c>
      <c r="O217">
        <f t="shared" si="83"/>
        <v>0</v>
      </c>
      <c r="P217">
        <f t="shared" si="84"/>
        <v>2</v>
      </c>
      <c r="Q217">
        <f t="shared" si="84"/>
        <v>5</v>
      </c>
      <c r="R217">
        <f t="shared" si="84"/>
        <v>5</v>
      </c>
      <c r="S217">
        <f t="shared" si="84"/>
        <v>8</v>
      </c>
      <c r="T217">
        <f t="shared" si="84"/>
        <v>7</v>
      </c>
      <c r="U217">
        <f t="shared" si="84"/>
        <v>3</v>
      </c>
      <c r="V217">
        <f t="shared" si="84"/>
        <v>0</v>
      </c>
      <c r="W217">
        <f t="shared" si="84"/>
        <v>5</v>
      </c>
      <c r="X217">
        <f t="shared" si="84"/>
        <v>5</v>
      </c>
      <c r="Y217">
        <f t="shared" si="84"/>
        <v>5</v>
      </c>
      <c r="Z217">
        <f t="shared" si="85"/>
        <v>3</v>
      </c>
      <c r="AA217">
        <f t="shared" si="85"/>
        <v>1</v>
      </c>
      <c r="AB217">
        <f t="shared" si="85"/>
        <v>1</v>
      </c>
      <c r="AC217">
        <f t="shared" si="85"/>
        <v>0</v>
      </c>
      <c r="AD217">
        <f t="shared" si="85"/>
        <v>4</v>
      </c>
      <c r="AE217">
        <f t="shared" si="85"/>
        <v>0</v>
      </c>
      <c r="AF217" s="56">
        <f t="shared" si="77"/>
        <v>20</v>
      </c>
      <c r="AG217" s="59">
        <f t="shared" si="78"/>
        <v>6.1578947368421053</v>
      </c>
      <c r="AH217">
        <f t="shared" si="79"/>
        <v>0.30789473684210528</v>
      </c>
    </row>
    <row r="218" spans="1:34" ht="15" x14ac:dyDescent="0.2">
      <c r="A218">
        <v>236</v>
      </c>
      <c r="B218" s="57" t="s">
        <v>299</v>
      </c>
      <c r="C218" s="57"/>
      <c r="D218">
        <f t="shared" si="75"/>
        <v>117</v>
      </c>
      <c r="E218" s="1">
        <f t="shared" si="76"/>
        <v>20</v>
      </c>
      <c r="F218">
        <f t="shared" si="83"/>
        <v>8</v>
      </c>
      <c r="G218">
        <f t="shared" si="83"/>
        <v>1</v>
      </c>
      <c r="H218">
        <f t="shared" si="83"/>
        <v>0</v>
      </c>
      <c r="I218">
        <f t="shared" si="83"/>
        <v>4</v>
      </c>
      <c r="J218">
        <f t="shared" si="83"/>
        <v>9</v>
      </c>
      <c r="K218">
        <f t="shared" si="83"/>
        <v>0</v>
      </c>
      <c r="L218">
        <f t="shared" si="83"/>
        <v>1</v>
      </c>
      <c r="M218">
        <f t="shared" si="83"/>
        <v>7</v>
      </c>
      <c r="N218">
        <f t="shared" si="83"/>
        <v>7</v>
      </c>
      <c r="O218">
        <f t="shared" si="83"/>
        <v>0</v>
      </c>
      <c r="P218">
        <f t="shared" si="84"/>
        <v>2</v>
      </c>
      <c r="Q218">
        <f t="shared" si="84"/>
        <v>8</v>
      </c>
      <c r="R218">
        <f t="shared" si="84"/>
        <v>2</v>
      </c>
      <c r="S218">
        <f t="shared" si="84"/>
        <v>7</v>
      </c>
      <c r="T218">
        <f t="shared" si="84"/>
        <v>7</v>
      </c>
      <c r="U218">
        <f t="shared" si="84"/>
        <v>1</v>
      </c>
      <c r="V218">
        <f t="shared" si="84"/>
        <v>0</v>
      </c>
      <c r="W218">
        <f t="shared" si="84"/>
        <v>6</v>
      </c>
      <c r="X218">
        <f t="shared" si="84"/>
        <v>4</v>
      </c>
      <c r="Y218">
        <f t="shared" si="84"/>
        <v>9</v>
      </c>
      <c r="Z218">
        <f t="shared" si="85"/>
        <v>4</v>
      </c>
      <c r="AA218">
        <f t="shared" si="85"/>
        <v>2</v>
      </c>
      <c r="AB218">
        <f t="shared" si="85"/>
        <v>2</v>
      </c>
      <c r="AC218">
        <f t="shared" si="85"/>
        <v>0</v>
      </c>
      <c r="AD218">
        <f t="shared" si="85"/>
        <v>4</v>
      </c>
      <c r="AE218">
        <f t="shared" si="85"/>
        <v>0</v>
      </c>
      <c r="AF218" s="56">
        <f t="shared" si="77"/>
        <v>20</v>
      </c>
      <c r="AG218" s="59">
        <f t="shared" si="78"/>
        <v>5.85</v>
      </c>
      <c r="AH218">
        <f t="shared" si="79"/>
        <v>0.29249999999999998</v>
      </c>
    </row>
    <row r="219" spans="1:34" ht="15" x14ac:dyDescent="0.2">
      <c r="A219">
        <v>203</v>
      </c>
      <c r="B219" s="57" t="s">
        <v>267</v>
      </c>
      <c r="C219" s="57"/>
      <c r="D219">
        <f t="shared" si="75"/>
        <v>116</v>
      </c>
      <c r="E219" s="1">
        <f t="shared" si="76"/>
        <v>21</v>
      </c>
      <c r="F219">
        <f t="shared" si="83"/>
        <v>13</v>
      </c>
      <c r="G219">
        <f t="shared" si="83"/>
        <v>2</v>
      </c>
      <c r="H219">
        <f t="shared" si="83"/>
        <v>2</v>
      </c>
      <c r="I219">
        <f t="shared" si="83"/>
        <v>7</v>
      </c>
      <c r="J219">
        <f t="shared" si="83"/>
        <v>8</v>
      </c>
      <c r="K219">
        <f t="shared" si="83"/>
        <v>3</v>
      </c>
      <c r="L219">
        <f t="shared" si="83"/>
        <v>0</v>
      </c>
      <c r="M219">
        <f t="shared" si="83"/>
        <v>3</v>
      </c>
      <c r="N219">
        <f t="shared" si="83"/>
        <v>4</v>
      </c>
      <c r="O219">
        <f t="shared" si="83"/>
        <v>0</v>
      </c>
      <c r="P219">
        <f t="shared" si="84"/>
        <v>0</v>
      </c>
      <c r="Q219">
        <f t="shared" si="84"/>
        <v>4</v>
      </c>
      <c r="R219">
        <f t="shared" si="84"/>
        <v>0</v>
      </c>
      <c r="S219">
        <f t="shared" si="84"/>
        <v>6</v>
      </c>
      <c r="T219">
        <f t="shared" si="84"/>
        <v>5</v>
      </c>
      <c r="U219">
        <f t="shared" si="84"/>
        <v>3</v>
      </c>
      <c r="V219">
        <f t="shared" si="84"/>
        <v>0</v>
      </c>
      <c r="W219">
        <f t="shared" si="84"/>
        <v>4</v>
      </c>
      <c r="X219">
        <f t="shared" si="84"/>
        <v>7</v>
      </c>
      <c r="Y219">
        <f t="shared" si="84"/>
        <v>11</v>
      </c>
      <c r="Z219">
        <f t="shared" si="85"/>
        <v>3</v>
      </c>
      <c r="AA219">
        <f t="shared" si="85"/>
        <v>0</v>
      </c>
      <c r="AB219">
        <f t="shared" si="85"/>
        <v>4</v>
      </c>
      <c r="AC219">
        <f t="shared" si="85"/>
        <v>0</v>
      </c>
      <c r="AD219">
        <f t="shared" si="85"/>
        <v>3</v>
      </c>
      <c r="AE219">
        <f t="shared" si="85"/>
        <v>0</v>
      </c>
      <c r="AF219" s="56">
        <f t="shared" si="77"/>
        <v>18</v>
      </c>
      <c r="AG219" s="59">
        <f t="shared" si="78"/>
        <v>5.5238095238095237</v>
      </c>
      <c r="AH219">
        <f t="shared" si="79"/>
        <v>0.30687830687830686</v>
      </c>
    </row>
    <row r="220" spans="1:34" ht="15" x14ac:dyDescent="0.2">
      <c r="A220">
        <v>230</v>
      </c>
      <c r="B220" s="57" t="s">
        <v>293</v>
      </c>
      <c r="C220" s="57"/>
      <c r="D220">
        <f t="shared" si="75"/>
        <v>116</v>
      </c>
      <c r="E220" s="1">
        <f t="shared" si="76"/>
        <v>21</v>
      </c>
      <c r="F220">
        <f t="shared" si="83"/>
        <v>5</v>
      </c>
      <c r="G220">
        <f t="shared" si="83"/>
        <v>3</v>
      </c>
      <c r="H220">
        <f t="shared" si="83"/>
        <v>2</v>
      </c>
      <c r="I220">
        <f t="shared" si="83"/>
        <v>5</v>
      </c>
      <c r="J220">
        <f t="shared" si="83"/>
        <v>12</v>
      </c>
      <c r="K220">
        <f t="shared" si="83"/>
        <v>2</v>
      </c>
      <c r="L220">
        <f t="shared" si="83"/>
        <v>1</v>
      </c>
      <c r="M220">
        <f t="shared" si="83"/>
        <v>6</v>
      </c>
      <c r="N220">
        <f t="shared" si="83"/>
        <v>5</v>
      </c>
      <c r="O220">
        <f t="shared" si="83"/>
        <v>0</v>
      </c>
      <c r="P220">
        <f t="shared" si="84"/>
        <v>1</v>
      </c>
      <c r="Q220">
        <f t="shared" si="84"/>
        <v>8</v>
      </c>
      <c r="R220">
        <f t="shared" si="84"/>
        <v>0</v>
      </c>
      <c r="S220">
        <f t="shared" si="84"/>
        <v>4</v>
      </c>
      <c r="T220">
        <f t="shared" si="84"/>
        <v>5</v>
      </c>
      <c r="U220">
        <f t="shared" si="84"/>
        <v>1</v>
      </c>
      <c r="V220">
        <f t="shared" si="84"/>
        <v>0</v>
      </c>
      <c r="W220">
        <f t="shared" si="84"/>
        <v>8</v>
      </c>
      <c r="X220">
        <f t="shared" si="84"/>
        <v>5</v>
      </c>
      <c r="Y220">
        <f t="shared" si="84"/>
        <v>13</v>
      </c>
      <c r="Z220">
        <f t="shared" si="85"/>
        <v>6</v>
      </c>
      <c r="AA220">
        <f t="shared" si="85"/>
        <v>0</v>
      </c>
      <c r="AB220">
        <f t="shared" si="85"/>
        <v>2</v>
      </c>
      <c r="AC220">
        <f t="shared" si="85"/>
        <v>0</v>
      </c>
      <c r="AD220">
        <f t="shared" si="85"/>
        <v>0</v>
      </c>
      <c r="AE220">
        <f t="shared" si="85"/>
        <v>0</v>
      </c>
      <c r="AF220" s="56">
        <f t="shared" si="77"/>
        <v>19</v>
      </c>
      <c r="AG220" s="59">
        <f t="shared" si="78"/>
        <v>5.5238095238095237</v>
      </c>
      <c r="AH220">
        <f t="shared" si="79"/>
        <v>0.2907268170426065</v>
      </c>
    </row>
    <row r="221" spans="1:34" ht="15" x14ac:dyDescent="0.2">
      <c r="A221">
        <v>550</v>
      </c>
      <c r="B221" s="57" t="s">
        <v>576</v>
      </c>
      <c r="C221" s="57"/>
      <c r="D221">
        <f t="shared" si="75"/>
        <v>116</v>
      </c>
      <c r="E221" s="1">
        <f t="shared" si="76"/>
        <v>21</v>
      </c>
      <c r="F221">
        <f t="shared" si="83"/>
        <v>10</v>
      </c>
      <c r="G221">
        <f t="shared" si="83"/>
        <v>2</v>
      </c>
      <c r="H221">
        <f t="shared" si="83"/>
        <v>1</v>
      </c>
      <c r="I221">
        <f t="shared" si="83"/>
        <v>1</v>
      </c>
      <c r="J221">
        <f t="shared" si="83"/>
        <v>10</v>
      </c>
      <c r="K221">
        <f t="shared" si="83"/>
        <v>0</v>
      </c>
      <c r="L221">
        <f t="shared" si="83"/>
        <v>3</v>
      </c>
      <c r="M221">
        <f t="shared" si="83"/>
        <v>5</v>
      </c>
      <c r="N221">
        <f t="shared" si="83"/>
        <v>6</v>
      </c>
      <c r="O221">
        <f t="shared" si="83"/>
        <v>0</v>
      </c>
      <c r="P221">
        <f t="shared" si="84"/>
        <v>1</v>
      </c>
      <c r="Q221">
        <f t="shared" si="84"/>
        <v>10</v>
      </c>
      <c r="R221">
        <f t="shared" si="84"/>
        <v>1</v>
      </c>
      <c r="S221">
        <f t="shared" si="84"/>
        <v>7</v>
      </c>
      <c r="T221">
        <f t="shared" si="84"/>
        <v>5</v>
      </c>
      <c r="U221">
        <f t="shared" si="84"/>
        <v>1</v>
      </c>
      <c r="V221">
        <f t="shared" si="84"/>
        <v>0</v>
      </c>
      <c r="W221">
        <f t="shared" si="84"/>
        <v>6</v>
      </c>
      <c r="X221">
        <f t="shared" si="84"/>
        <v>6</v>
      </c>
      <c r="Y221">
        <f t="shared" si="84"/>
        <v>12</v>
      </c>
      <c r="Z221">
        <f t="shared" si="85"/>
        <v>2</v>
      </c>
      <c r="AA221">
        <f t="shared" si="85"/>
        <v>0</v>
      </c>
      <c r="AB221">
        <f t="shared" si="85"/>
        <v>3</v>
      </c>
      <c r="AC221">
        <f t="shared" si="85"/>
        <v>0</v>
      </c>
      <c r="AD221">
        <f t="shared" si="85"/>
        <v>2</v>
      </c>
      <c r="AE221">
        <f t="shared" si="85"/>
        <v>0</v>
      </c>
      <c r="AF221" s="56">
        <f t="shared" si="77"/>
        <v>20</v>
      </c>
      <c r="AG221" s="59">
        <f t="shared" si="78"/>
        <v>5.5238095238095237</v>
      </c>
      <c r="AH221">
        <f t="shared" si="79"/>
        <v>0.27619047619047621</v>
      </c>
    </row>
    <row r="222" spans="1:34" ht="15" x14ac:dyDescent="0.2">
      <c r="A222">
        <v>326</v>
      </c>
      <c r="B222" s="57" t="s">
        <v>386</v>
      </c>
      <c r="C222" s="57"/>
      <c r="D222">
        <f t="shared" si="75"/>
        <v>116</v>
      </c>
      <c r="E222" s="1">
        <f t="shared" si="76"/>
        <v>20</v>
      </c>
      <c r="F222">
        <f t="shared" ref="F222:O231" si="86">LEN($B222)-LEN(SUBSTITUTE($B222,F$1,""))</f>
        <v>10</v>
      </c>
      <c r="G222">
        <f t="shared" si="86"/>
        <v>1</v>
      </c>
      <c r="H222">
        <f t="shared" si="86"/>
        <v>2</v>
      </c>
      <c r="I222">
        <f t="shared" si="86"/>
        <v>2</v>
      </c>
      <c r="J222">
        <f t="shared" si="86"/>
        <v>12</v>
      </c>
      <c r="K222">
        <f t="shared" si="86"/>
        <v>3</v>
      </c>
      <c r="L222">
        <f t="shared" si="86"/>
        <v>0</v>
      </c>
      <c r="M222">
        <f t="shared" si="86"/>
        <v>3</v>
      </c>
      <c r="N222">
        <f t="shared" si="86"/>
        <v>3</v>
      </c>
      <c r="O222">
        <f t="shared" si="86"/>
        <v>0</v>
      </c>
      <c r="P222">
        <f t="shared" ref="P222:Y231" si="87">LEN($B222)-LEN(SUBSTITUTE($B222,P$1,""))</f>
        <v>1</v>
      </c>
      <c r="Q222">
        <f t="shared" si="87"/>
        <v>1</v>
      </c>
      <c r="R222">
        <f t="shared" si="87"/>
        <v>4</v>
      </c>
      <c r="S222">
        <f t="shared" si="87"/>
        <v>6</v>
      </c>
      <c r="T222">
        <f t="shared" si="87"/>
        <v>9</v>
      </c>
      <c r="U222">
        <f t="shared" si="87"/>
        <v>2</v>
      </c>
      <c r="V222">
        <f t="shared" si="87"/>
        <v>0</v>
      </c>
      <c r="W222">
        <f t="shared" si="87"/>
        <v>3</v>
      </c>
      <c r="X222">
        <f t="shared" si="87"/>
        <v>7</v>
      </c>
      <c r="Y222">
        <f t="shared" si="87"/>
        <v>11</v>
      </c>
      <c r="Z222">
        <f t="shared" ref="Z222:AE231" si="88">LEN($B222)-LEN(SUBSTITUTE($B222,Z$1,""))</f>
        <v>0</v>
      </c>
      <c r="AA222">
        <f t="shared" si="88"/>
        <v>2</v>
      </c>
      <c r="AB222">
        <f t="shared" si="88"/>
        <v>4</v>
      </c>
      <c r="AC222">
        <f t="shared" si="88"/>
        <v>0</v>
      </c>
      <c r="AD222">
        <f t="shared" si="88"/>
        <v>1</v>
      </c>
      <c r="AE222">
        <f t="shared" si="88"/>
        <v>0</v>
      </c>
      <c r="AF222" s="56">
        <f t="shared" si="77"/>
        <v>20</v>
      </c>
      <c r="AG222" s="59">
        <f t="shared" si="78"/>
        <v>5.8</v>
      </c>
      <c r="AH222">
        <f t="shared" si="79"/>
        <v>0.28999999999999998</v>
      </c>
    </row>
    <row r="223" spans="1:34" ht="15" x14ac:dyDescent="0.2">
      <c r="A223">
        <v>491</v>
      </c>
      <c r="B223" s="57" t="s">
        <v>529</v>
      </c>
      <c r="C223" s="57"/>
      <c r="D223">
        <f t="shared" si="75"/>
        <v>116</v>
      </c>
      <c r="E223" s="1">
        <f t="shared" si="76"/>
        <v>20</v>
      </c>
      <c r="F223">
        <f t="shared" si="86"/>
        <v>6</v>
      </c>
      <c r="G223">
        <f t="shared" si="86"/>
        <v>2</v>
      </c>
      <c r="H223">
        <f t="shared" si="86"/>
        <v>4</v>
      </c>
      <c r="I223">
        <f t="shared" si="86"/>
        <v>5</v>
      </c>
      <c r="J223">
        <f t="shared" si="86"/>
        <v>14</v>
      </c>
      <c r="K223">
        <f t="shared" si="86"/>
        <v>4</v>
      </c>
      <c r="L223">
        <f t="shared" si="86"/>
        <v>2</v>
      </c>
      <c r="M223">
        <f t="shared" si="86"/>
        <v>5</v>
      </c>
      <c r="N223">
        <f t="shared" si="86"/>
        <v>7</v>
      </c>
      <c r="O223">
        <f t="shared" si="86"/>
        <v>1</v>
      </c>
      <c r="P223">
        <f t="shared" si="87"/>
        <v>1</v>
      </c>
      <c r="Q223">
        <f t="shared" si="87"/>
        <v>4</v>
      </c>
      <c r="R223">
        <f t="shared" si="87"/>
        <v>2</v>
      </c>
      <c r="S223">
        <f t="shared" si="87"/>
        <v>4</v>
      </c>
      <c r="T223">
        <f t="shared" si="87"/>
        <v>6</v>
      </c>
      <c r="U223">
        <f t="shared" si="87"/>
        <v>2</v>
      </c>
      <c r="V223">
        <f t="shared" si="87"/>
        <v>0</v>
      </c>
      <c r="W223">
        <f t="shared" si="87"/>
        <v>7</v>
      </c>
      <c r="X223">
        <f t="shared" si="87"/>
        <v>7</v>
      </c>
      <c r="Y223">
        <f t="shared" si="87"/>
        <v>6</v>
      </c>
      <c r="Z223">
        <f t="shared" si="88"/>
        <v>2</v>
      </c>
      <c r="AA223">
        <f t="shared" si="88"/>
        <v>0</v>
      </c>
      <c r="AB223">
        <f t="shared" si="88"/>
        <v>1</v>
      </c>
      <c r="AC223">
        <f t="shared" si="88"/>
        <v>0</v>
      </c>
      <c r="AD223">
        <f t="shared" si="88"/>
        <v>0</v>
      </c>
      <c r="AE223">
        <f t="shared" si="88"/>
        <v>0</v>
      </c>
      <c r="AF223" s="56">
        <f t="shared" si="77"/>
        <v>21</v>
      </c>
      <c r="AG223" s="59">
        <f t="shared" si="78"/>
        <v>5.8</v>
      </c>
      <c r="AH223">
        <f t="shared" si="79"/>
        <v>0.27619047619047621</v>
      </c>
    </row>
    <row r="224" spans="1:34" ht="15" x14ac:dyDescent="0.2">
      <c r="A224">
        <v>486</v>
      </c>
      <c r="B224" s="57" t="s">
        <v>524</v>
      </c>
      <c r="C224" s="57"/>
      <c r="D224">
        <f t="shared" si="75"/>
        <v>116</v>
      </c>
      <c r="E224" s="1">
        <f t="shared" si="76"/>
        <v>18</v>
      </c>
      <c r="F224">
        <f t="shared" si="86"/>
        <v>6</v>
      </c>
      <c r="G224">
        <f t="shared" si="86"/>
        <v>4</v>
      </c>
      <c r="H224">
        <f t="shared" si="86"/>
        <v>2</v>
      </c>
      <c r="I224">
        <f t="shared" si="86"/>
        <v>2</v>
      </c>
      <c r="J224">
        <f t="shared" si="86"/>
        <v>9</v>
      </c>
      <c r="K224">
        <f t="shared" si="86"/>
        <v>2</v>
      </c>
      <c r="L224">
        <f t="shared" si="86"/>
        <v>9</v>
      </c>
      <c r="M224">
        <f t="shared" si="86"/>
        <v>1</v>
      </c>
      <c r="N224">
        <f t="shared" si="86"/>
        <v>11</v>
      </c>
      <c r="O224">
        <f t="shared" si="86"/>
        <v>0</v>
      </c>
      <c r="P224">
        <f t="shared" si="87"/>
        <v>1</v>
      </c>
      <c r="Q224">
        <f t="shared" si="87"/>
        <v>5</v>
      </c>
      <c r="R224">
        <f t="shared" si="87"/>
        <v>4</v>
      </c>
      <c r="S224">
        <f t="shared" si="87"/>
        <v>5</v>
      </c>
      <c r="T224">
        <f t="shared" si="87"/>
        <v>5</v>
      </c>
      <c r="U224">
        <f t="shared" si="87"/>
        <v>3</v>
      </c>
      <c r="V224">
        <f t="shared" si="87"/>
        <v>0</v>
      </c>
      <c r="W224">
        <f t="shared" si="87"/>
        <v>10</v>
      </c>
      <c r="X224">
        <f t="shared" si="87"/>
        <v>9</v>
      </c>
      <c r="Y224">
        <f t="shared" si="87"/>
        <v>3</v>
      </c>
      <c r="Z224">
        <f t="shared" si="88"/>
        <v>3</v>
      </c>
      <c r="AA224">
        <f t="shared" si="88"/>
        <v>0</v>
      </c>
      <c r="AB224">
        <f t="shared" si="88"/>
        <v>1</v>
      </c>
      <c r="AC224">
        <f t="shared" si="88"/>
        <v>0</v>
      </c>
      <c r="AD224">
        <f t="shared" si="88"/>
        <v>2</v>
      </c>
      <c r="AE224">
        <f t="shared" si="88"/>
        <v>0</v>
      </c>
      <c r="AF224" s="56">
        <f t="shared" si="77"/>
        <v>21</v>
      </c>
      <c r="AG224" s="59">
        <f t="shared" si="78"/>
        <v>6.4444444444444446</v>
      </c>
      <c r="AH224">
        <f t="shared" si="79"/>
        <v>0.30687830687830686</v>
      </c>
    </row>
    <row r="225" spans="1:34" ht="15" x14ac:dyDescent="0.2">
      <c r="A225">
        <v>404</v>
      </c>
      <c r="B225" s="57" t="s">
        <v>455</v>
      </c>
      <c r="C225" s="57"/>
      <c r="D225">
        <f t="shared" si="75"/>
        <v>116</v>
      </c>
      <c r="E225" s="1">
        <f t="shared" si="76"/>
        <v>23</v>
      </c>
      <c r="F225">
        <f t="shared" si="86"/>
        <v>4</v>
      </c>
      <c r="G225">
        <f t="shared" si="86"/>
        <v>1</v>
      </c>
      <c r="H225">
        <f t="shared" si="86"/>
        <v>3</v>
      </c>
      <c r="I225">
        <f t="shared" si="86"/>
        <v>7</v>
      </c>
      <c r="J225">
        <f t="shared" si="86"/>
        <v>12</v>
      </c>
      <c r="K225">
        <f t="shared" si="86"/>
        <v>2</v>
      </c>
      <c r="L225">
        <f t="shared" si="86"/>
        <v>2</v>
      </c>
      <c r="M225">
        <f t="shared" si="86"/>
        <v>3</v>
      </c>
      <c r="N225">
        <f t="shared" si="86"/>
        <v>6</v>
      </c>
      <c r="O225">
        <f t="shared" si="86"/>
        <v>1</v>
      </c>
      <c r="P225">
        <f t="shared" si="87"/>
        <v>1</v>
      </c>
      <c r="Q225">
        <f t="shared" si="87"/>
        <v>4</v>
      </c>
      <c r="R225">
        <f t="shared" si="87"/>
        <v>1</v>
      </c>
      <c r="S225">
        <f t="shared" si="87"/>
        <v>6</v>
      </c>
      <c r="T225">
        <f t="shared" si="87"/>
        <v>7</v>
      </c>
      <c r="U225">
        <f t="shared" si="87"/>
        <v>2</v>
      </c>
      <c r="V225">
        <f t="shared" si="87"/>
        <v>0</v>
      </c>
      <c r="W225">
        <f t="shared" si="87"/>
        <v>5</v>
      </c>
      <c r="X225">
        <f t="shared" si="87"/>
        <v>10</v>
      </c>
      <c r="Y225">
        <f t="shared" si="87"/>
        <v>7</v>
      </c>
      <c r="Z225">
        <f t="shared" si="88"/>
        <v>4</v>
      </c>
      <c r="AA225">
        <f t="shared" si="88"/>
        <v>0</v>
      </c>
      <c r="AB225">
        <f t="shared" si="88"/>
        <v>3</v>
      </c>
      <c r="AC225">
        <f t="shared" si="88"/>
        <v>0</v>
      </c>
      <c r="AD225">
        <f t="shared" si="88"/>
        <v>0</v>
      </c>
      <c r="AE225">
        <f t="shared" si="88"/>
        <v>0</v>
      </c>
      <c r="AF225" s="56">
        <f t="shared" si="77"/>
        <v>21</v>
      </c>
      <c r="AG225" s="59">
        <f t="shared" si="78"/>
        <v>5.0434782608695654</v>
      </c>
      <c r="AH225">
        <f t="shared" si="79"/>
        <v>0.2401656314699793</v>
      </c>
    </row>
    <row r="226" spans="1:34" ht="15" x14ac:dyDescent="0.2">
      <c r="A226">
        <v>353</v>
      </c>
      <c r="B226" s="57" t="s">
        <v>413</v>
      </c>
      <c r="C226" s="57"/>
      <c r="D226">
        <f t="shared" si="75"/>
        <v>116</v>
      </c>
      <c r="E226" s="1">
        <f t="shared" si="76"/>
        <v>24</v>
      </c>
      <c r="F226">
        <f t="shared" si="86"/>
        <v>7</v>
      </c>
      <c r="G226">
        <f t="shared" si="86"/>
        <v>1</v>
      </c>
      <c r="H226">
        <f t="shared" si="86"/>
        <v>3</v>
      </c>
      <c r="I226">
        <f t="shared" si="86"/>
        <v>0</v>
      </c>
      <c r="J226">
        <f t="shared" si="86"/>
        <v>9</v>
      </c>
      <c r="K226">
        <f t="shared" si="86"/>
        <v>4</v>
      </c>
      <c r="L226">
        <f t="shared" si="86"/>
        <v>3</v>
      </c>
      <c r="M226">
        <f t="shared" si="86"/>
        <v>1</v>
      </c>
      <c r="N226">
        <f t="shared" si="86"/>
        <v>9</v>
      </c>
      <c r="O226">
        <f t="shared" si="86"/>
        <v>0</v>
      </c>
      <c r="P226">
        <f t="shared" si="87"/>
        <v>0</v>
      </c>
      <c r="Q226">
        <f t="shared" si="87"/>
        <v>2</v>
      </c>
      <c r="R226">
        <f t="shared" si="87"/>
        <v>3</v>
      </c>
      <c r="S226">
        <f t="shared" si="87"/>
        <v>7</v>
      </c>
      <c r="T226">
        <f t="shared" si="87"/>
        <v>4</v>
      </c>
      <c r="U226">
        <f t="shared" si="87"/>
        <v>2</v>
      </c>
      <c r="V226">
        <f t="shared" si="87"/>
        <v>0</v>
      </c>
      <c r="W226">
        <f t="shared" si="87"/>
        <v>4</v>
      </c>
      <c r="X226">
        <f t="shared" si="87"/>
        <v>4</v>
      </c>
      <c r="Y226">
        <f t="shared" si="87"/>
        <v>6</v>
      </c>
      <c r="Z226">
        <f t="shared" si="88"/>
        <v>2</v>
      </c>
      <c r="AA226">
        <f t="shared" si="88"/>
        <v>2</v>
      </c>
      <c r="AB226">
        <f t="shared" si="88"/>
        <v>1</v>
      </c>
      <c r="AC226">
        <f t="shared" si="88"/>
        <v>3</v>
      </c>
      <c r="AD226">
        <f t="shared" si="88"/>
        <v>1</v>
      </c>
      <c r="AE226">
        <f t="shared" si="88"/>
        <v>0</v>
      </c>
      <c r="AF226" s="56">
        <f t="shared" si="77"/>
        <v>21</v>
      </c>
      <c r="AG226" s="59">
        <f t="shared" si="78"/>
        <v>4.833333333333333</v>
      </c>
      <c r="AH226">
        <f t="shared" si="79"/>
        <v>0.23015873015873015</v>
      </c>
    </row>
    <row r="227" spans="1:34" ht="15" x14ac:dyDescent="0.2">
      <c r="A227">
        <v>418</v>
      </c>
      <c r="B227" s="57" t="s">
        <v>466</v>
      </c>
      <c r="C227" s="57"/>
      <c r="D227">
        <f t="shared" si="75"/>
        <v>115</v>
      </c>
      <c r="E227" s="1">
        <f t="shared" si="76"/>
        <v>17</v>
      </c>
      <c r="F227">
        <f t="shared" si="86"/>
        <v>5</v>
      </c>
      <c r="G227">
        <f t="shared" si="86"/>
        <v>4</v>
      </c>
      <c r="H227">
        <f t="shared" si="86"/>
        <v>1</v>
      </c>
      <c r="I227">
        <f t="shared" si="86"/>
        <v>1</v>
      </c>
      <c r="J227">
        <f t="shared" si="86"/>
        <v>16</v>
      </c>
      <c r="K227">
        <f t="shared" si="86"/>
        <v>0</v>
      </c>
      <c r="L227">
        <f t="shared" si="86"/>
        <v>0</v>
      </c>
      <c r="M227">
        <f t="shared" si="86"/>
        <v>9</v>
      </c>
      <c r="N227">
        <f t="shared" si="86"/>
        <v>6</v>
      </c>
      <c r="O227">
        <f t="shared" si="86"/>
        <v>0</v>
      </c>
      <c r="P227">
        <f t="shared" si="87"/>
        <v>1</v>
      </c>
      <c r="Q227">
        <f t="shared" si="87"/>
        <v>5</v>
      </c>
      <c r="R227">
        <f t="shared" si="87"/>
        <v>6</v>
      </c>
      <c r="S227">
        <f t="shared" si="87"/>
        <v>3</v>
      </c>
      <c r="T227">
        <f t="shared" si="87"/>
        <v>6</v>
      </c>
      <c r="U227">
        <f t="shared" si="87"/>
        <v>2</v>
      </c>
      <c r="V227">
        <f t="shared" si="87"/>
        <v>0</v>
      </c>
      <c r="W227">
        <f t="shared" si="87"/>
        <v>6</v>
      </c>
      <c r="X227">
        <f t="shared" si="87"/>
        <v>6</v>
      </c>
      <c r="Y227">
        <f t="shared" si="87"/>
        <v>7</v>
      </c>
      <c r="Z227">
        <f t="shared" si="88"/>
        <v>3</v>
      </c>
      <c r="AA227">
        <f t="shared" si="88"/>
        <v>3</v>
      </c>
      <c r="AB227">
        <f t="shared" si="88"/>
        <v>3</v>
      </c>
      <c r="AC227">
        <f t="shared" si="88"/>
        <v>0</v>
      </c>
      <c r="AD227">
        <f t="shared" si="88"/>
        <v>1</v>
      </c>
      <c r="AE227">
        <f t="shared" si="88"/>
        <v>0</v>
      </c>
      <c r="AF227" s="56">
        <f t="shared" si="77"/>
        <v>20</v>
      </c>
      <c r="AG227" s="59">
        <f t="shared" si="78"/>
        <v>6.7647058823529411</v>
      </c>
      <c r="AH227">
        <f t="shared" si="79"/>
        <v>0.33823529411764708</v>
      </c>
    </row>
    <row r="228" spans="1:34" ht="15" x14ac:dyDescent="0.2">
      <c r="A228">
        <v>112</v>
      </c>
      <c r="B228" s="57" t="s">
        <v>177</v>
      </c>
      <c r="C228" s="57"/>
      <c r="D228">
        <f t="shared" si="75"/>
        <v>115</v>
      </c>
      <c r="E228" s="1">
        <f t="shared" si="76"/>
        <v>22</v>
      </c>
      <c r="F228">
        <f t="shared" si="86"/>
        <v>10</v>
      </c>
      <c r="G228">
        <f t="shared" si="86"/>
        <v>1</v>
      </c>
      <c r="H228">
        <f t="shared" si="86"/>
        <v>1</v>
      </c>
      <c r="I228">
        <f t="shared" si="86"/>
        <v>6</v>
      </c>
      <c r="J228">
        <f t="shared" si="86"/>
        <v>10</v>
      </c>
      <c r="K228">
        <f t="shared" si="86"/>
        <v>1</v>
      </c>
      <c r="L228">
        <f t="shared" si="86"/>
        <v>4</v>
      </c>
      <c r="M228">
        <f t="shared" si="86"/>
        <v>8</v>
      </c>
      <c r="N228">
        <f t="shared" si="86"/>
        <v>8</v>
      </c>
      <c r="O228">
        <f t="shared" si="86"/>
        <v>0</v>
      </c>
      <c r="P228">
        <f t="shared" si="87"/>
        <v>0</v>
      </c>
      <c r="Q228">
        <f t="shared" si="87"/>
        <v>2</v>
      </c>
      <c r="R228">
        <f t="shared" si="87"/>
        <v>3</v>
      </c>
      <c r="S228">
        <f t="shared" si="87"/>
        <v>5</v>
      </c>
      <c r="T228">
        <f t="shared" si="87"/>
        <v>4</v>
      </c>
      <c r="U228">
        <f t="shared" si="87"/>
        <v>1</v>
      </c>
      <c r="V228">
        <f t="shared" si="87"/>
        <v>0</v>
      </c>
      <c r="W228">
        <f t="shared" si="87"/>
        <v>4</v>
      </c>
      <c r="X228">
        <f t="shared" si="87"/>
        <v>10</v>
      </c>
      <c r="Y228">
        <f t="shared" si="87"/>
        <v>6</v>
      </c>
      <c r="Z228">
        <f t="shared" si="88"/>
        <v>2</v>
      </c>
      <c r="AA228">
        <f t="shared" si="88"/>
        <v>0</v>
      </c>
      <c r="AB228">
        <f t="shared" si="88"/>
        <v>3</v>
      </c>
      <c r="AC228">
        <f t="shared" si="88"/>
        <v>0</v>
      </c>
      <c r="AD228">
        <f t="shared" si="88"/>
        <v>2</v>
      </c>
      <c r="AE228">
        <f t="shared" si="88"/>
        <v>0</v>
      </c>
      <c r="AF228" s="56">
        <f t="shared" si="77"/>
        <v>20</v>
      </c>
      <c r="AG228" s="59">
        <f t="shared" si="78"/>
        <v>5.2272727272727275</v>
      </c>
      <c r="AH228">
        <f t="shared" si="79"/>
        <v>0.26136363636363635</v>
      </c>
    </row>
    <row r="229" spans="1:34" ht="15" x14ac:dyDescent="0.2">
      <c r="A229">
        <v>509</v>
      </c>
      <c r="B229" s="57" t="s">
        <v>544</v>
      </c>
      <c r="C229" s="57"/>
      <c r="D229">
        <f t="shared" si="75"/>
        <v>115</v>
      </c>
      <c r="E229" s="1">
        <f t="shared" si="76"/>
        <v>21</v>
      </c>
      <c r="F229">
        <f t="shared" si="86"/>
        <v>4</v>
      </c>
      <c r="G229">
        <f t="shared" si="86"/>
        <v>1</v>
      </c>
      <c r="H229">
        <f t="shared" si="86"/>
        <v>3</v>
      </c>
      <c r="I229">
        <f t="shared" si="86"/>
        <v>1</v>
      </c>
      <c r="J229">
        <f t="shared" si="86"/>
        <v>13</v>
      </c>
      <c r="K229">
        <f t="shared" si="86"/>
        <v>1</v>
      </c>
      <c r="L229">
        <f t="shared" si="86"/>
        <v>0</v>
      </c>
      <c r="M229">
        <f t="shared" si="86"/>
        <v>2</v>
      </c>
      <c r="N229">
        <f t="shared" si="86"/>
        <v>7</v>
      </c>
      <c r="O229">
        <f t="shared" si="86"/>
        <v>0</v>
      </c>
      <c r="P229">
        <f t="shared" si="87"/>
        <v>1</v>
      </c>
      <c r="Q229">
        <f t="shared" si="87"/>
        <v>8</v>
      </c>
      <c r="R229">
        <f t="shared" si="87"/>
        <v>4</v>
      </c>
      <c r="S229">
        <f t="shared" si="87"/>
        <v>4</v>
      </c>
      <c r="T229">
        <f t="shared" si="87"/>
        <v>7</v>
      </c>
      <c r="U229">
        <f t="shared" si="87"/>
        <v>6</v>
      </c>
      <c r="V229">
        <f t="shared" si="87"/>
        <v>0</v>
      </c>
      <c r="W229">
        <f t="shared" si="87"/>
        <v>4</v>
      </c>
      <c r="X229">
        <f t="shared" si="87"/>
        <v>5</v>
      </c>
      <c r="Y229">
        <f t="shared" si="87"/>
        <v>7</v>
      </c>
      <c r="Z229">
        <f t="shared" si="88"/>
        <v>3</v>
      </c>
      <c r="AA229">
        <f t="shared" si="88"/>
        <v>1</v>
      </c>
      <c r="AB229">
        <f t="shared" si="88"/>
        <v>4</v>
      </c>
      <c r="AC229">
        <f t="shared" si="88"/>
        <v>0</v>
      </c>
      <c r="AD229">
        <f t="shared" si="88"/>
        <v>3</v>
      </c>
      <c r="AE229">
        <f t="shared" si="88"/>
        <v>0</v>
      </c>
      <c r="AF229" s="56">
        <f t="shared" si="77"/>
        <v>21</v>
      </c>
      <c r="AG229" s="59">
        <f t="shared" si="78"/>
        <v>5.4761904761904763</v>
      </c>
      <c r="AH229">
        <f t="shared" si="79"/>
        <v>0.26077097505668934</v>
      </c>
    </row>
    <row r="230" spans="1:34" ht="15" x14ac:dyDescent="0.2">
      <c r="A230">
        <v>498</v>
      </c>
      <c r="B230" s="57" t="s">
        <v>534</v>
      </c>
      <c r="C230" s="57"/>
      <c r="D230">
        <f t="shared" si="75"/>
        <v>115</v>
      </c>
      <c r="E230" s="1">
        <f t="shared" si="76"/>
        <v>19</v>
      </c>
      <c r="F230">
        <f t="shared" si="86"/>
        <v>7</v>
      </c>
      <c r="G230">
        <f t="shared" si="86"/>
        <v>3</v>
      </c>
      <c r="H230">
        <f t="shared" si="86"/>
        <v>2</v>
      </c>
      <c r="I230">
        <f t="shared" si="86"/>
        <v>3</v>
      </c>
      <c r="J230">
        <f t="shared" si="86"/>
        <v>9</v>
      </c>
      <c r="K230">
        <f t="shared" si="86"/>
        <v>1</v>
      </c>
      <c r="L230">
        <f t="shared" si="86"/>
        <v>6</v>
      </c>
      <c r="M230">
        <f t="shared" si="86"/>
        <v>3</v>
      </c>
      <c r="N230">
        <f t="shared" si="86"/>
        <v>7</v>
      </c>
      <c r="O230">
        <f t="shared" si="86"/>
        <v>0</v>
      </c>
      <c r="P230">
        <f t="shared" si="87"/>
        <v>1</v>
      </c>
      <c r="Q230">
        <f t="shared" si="87"/>
        <v>2</v>
      </c>
      <c r="R230">
        <f t="shared" si="87"/>
        <v>2</v>
      </c>
      <c r="S230">
        <f t="shared" si="87"/>
        <v>5</v>
      </c>
      <c r="T230">
        <f t="shared" si="87"/>
        <v>9</v>
      </c>
      <c r="U230">
        <f t="shared" si="87"/>
        <v>1</v>
      </c>
      <c r="V230">
        <f t="shared" si="87"/>
        <v>0</v>
      </c>
      <c r="W230">
        <f t="shared" si="87"/>
        <v>8</v>
      </c>
      <c r="X230">
        <f t="shared" si="87"/>
        <v>10</v>
      </c>
      <c r="Y230">
        <f t="shared" si="87"/>
        <v>5</v>
      </c>
      <c r="Z230">
        <f t="shared" si="88"/>
        <v>5</v>
      </c>
      <c r="AA230">
        <f t="shared" si="88"/>
        <v>3</v>
      </c>
      <c r="AB230">
        <f t="shared" si="88"/>
        <v>1</v>
      </c>
      <c r="AC230">
        <f t="shared" si="88"/>
        <v>0</v>
      </c>
      <c r="AD230">
        <f t="shared" si="88"/>
        <v>1</v>
      </c>
      <c r="AE230">
        <f t="shared" si="88"/>
        <v>0</v>
      </c>
      <c r="AF230" s="56">
        <f t="shared" si="77"/>
        <v>22</v>
      </c>
      <c r="AG230" s="59">
        <f t="shared" si="78"/>
        <v>6.0526315789473681</v>
      </c>
      <c r="AH230">
        <f t="shared" si="79"/>
        <v>0.27511961722488038</v>
      </c>
    </row>
    <row r="231" spans="1:34" ht="15" x14ac:dyDescent="0.2">
      <c r="A231">
        <v>81</v>
      </c>
      <c r="B231" s="57" t="s">
        <v>146</v>
      </c>
      <c r="C231" s="57"/>
      <c r="D231">
        <f t="shared" si="75"/>
        <v>114</v>
      </c>
      <c r="E231" s="1">
        <f t="shared" si="76"/>
        <v>20</v>
      </c>
      <c r="F231">
        <f t="shared" si="86"/>
        <v>8</v>
      </c>
      <c r="G231">
        <f t="shared" si="86"/>
        <v>0</v>
      </c>
      <c r="H231">
        <f t="shared" si="86"/>
        <v>0</v>
      </c>
      <c r="I231">
        <f t="shared" si="86"/>
        <v>3</v>
      </c>
      <c r="J231">
        <f t="shared" si="86"/>
        <v>6</v>
      </c>
      <c r="K231">
        <f t="shared" si="86"/>
        <v>2</v>
      </c>
      <c r="L231">
        <f t="shared" si="86"/>
        <v>0</v>
      </c>
      <c r="M231">
        <f t="shared" si="86"/>
        <v>4</v>
      </c>
      <c r="N231">
        <f t="shared" si="86"/>
        <v>6</v>
      </c>
      <c r="O231">
        <f t="shared" si="86"/>
        <v>0</v>
      </c>
      <c r="P231">
        <f t="shared" si="87"/>
        <v>1</v>
      </c>
      <c r="Q231">
        <f t="shared" si="87"/>
        <v>4</v>
      </c>
      <c r="R231">
        <f t="shared" si="87"/>
        <v>4</v>
      </c>
      <c r="S231">
        <f t="shared" si="87"/>
        <v>10</v>
      </c>
      <c r="T231">
        <f t="shared" si="87"/>
        <v>11</v>
      </c>
      <c r="U231">
        <f t="shared" si="87"/>
        <v>0</v>
      </c>
      <c r="V231">
        <f t="shared" si="87"/>
        <v>0</v>
      </c>
      <c r="W231">
        <f t="shared" si="87"/>
        <v>6</v>
      </c>
      <c r="X231">
        <f t="shared" si="87"/>
        <v>6</v>
      </c>
      <c r="Y231">
        <f t="shared" si="87"/>
        <v>9</v>
      </c>
      <c r="Z231">
        <f t="shared" si="88"/>
        <v>2</v>
      </c>
      <c r="AA231">
        <f t="shared" si="88"/>
        <v>1</v>
      </c>
      <c r="AB231">
        <f t="shared" si="88"/>
        <v>4</v>
      </c>
      <c r="AC231">
        <f t="shared" si="88"/>
        <v>0</v>
      </c>
      <c r="AD231">
        <f t="shared" si="88"/>
        <v>4</v>
      </c>
      <c r="AE231">
        <f t="shared" si="88"/>
        <v>1</v>
      </c>
      <c r="AF231" s="56">
        <f t="shared" si="77"/>
        <v>19</v>
      </c>
      <c r="AG231" s="59">
        <f t="shared" si="78"/>
        <v>5.7</v>
      </c>
      <c r="AH231">
        <f t="shared" si="79"/>
        <v>0.3</v>
      </c>
    </row>
    <row r="232" spans="1:34" ht="15" x14ac:dyDescent="0.2">
      <c r="A232">
        <v>589</v>
      </c>
      <c r="B232" s="57" t="s">
        <v>610</v>
      </c>
      <c r="C232" s="57"/>
      <c r="D232">
        <f t="shared" si="75"/>
        <v>114</v>
      </c>
      <c r="E232" s="1">
        <f t="shared" si="76"/>
        <v>21</v>
      </c>
      <c r="F232">
        <f t="shared" ref="F232:O241" si="89">LEN($B232)-LEN(SUBSTITUTE($B232,F$1,""))</f>
        <v>8</v>
      </c>
      <c r="G232">
        <f t="shared" si="89"/>
        <v>2</v>
      </c>
      <c r="H232">
        <f t="shared" si="89"/>
        <v>2</v>
      </c>
      <c r="I232">
        <f t="shared" si="89"/>
        <v>2</v>
      </c>
      <c r="J232">
        <f t="shared" si="89"/>
        <v>12</v>
      </c>
      <c r="K232">
        <f t="shared" si="89"/>
        <v>2</v>
      </c>
      <c r="L232">
        <f t="shared" si="89"/>
        <v>0</v>
      </c>
      <c r="M232">
        <f t="shared" si="89"/>
        <v>2</v>
      </c>
      <c r="N232">
        <f t="shared" si="89"/>
        <v>4</v>
      </c>
      <c r="O232">
        <f t="shared" si="89"/>
        <v>0</v>
      </c>
      <c r="P232">
        <f t="shared" ref="P232:Y241" si="90">LEN($B232)-LEN(SUBSTITUTE($B232,P$1,""))</f>
        <v>1</v>
      </c>
      <c r="Q232">
        <f t="shared" si="90"/>
        <v>7</v>
      </c>
      <c r="R232">
        <f t="shared" si="90"/>
        <v>1</v>
      </c>
      <c r="S232">
        <f t="shared" si="90"/>
        <v>6</v>
      </c>
      <c r="T232">
        <f t="shared" si="90"/>
        <v>6</v>
      </c>
      <c r="U232">
        <f t="shared" si="90"/>
        <v>1</v>
      </c>
      <c r="V232">
        <f t="shared" si="90"/>
        <v>0</v>
      </c>
      <c r="W232">
        <f t="shared" si="90"/>
        <v>6</v>
      </c>
      <c r="X232">
        <f t="shared" si="90"/>
        <v>7</v>
      </c>
      <c r="Y232">
        <f t="shared" si="90"/>
        <v>5</v>
      </c>
      <c r="Z232">
        <f t="shared" ref="Z232:AE241" si="91">LEN($B232)-LEN(SUBSTITUTE($B232,Z$1,""))</f>
        <v>6</v>
      </c>
      <c r="AA232">
        <f t="shared" si="91"/>
        <v>1</v>
      </c>
      <c r="AB232">
        <f t="shared" si="91"/>
        <v>2</v>
      </c>
      <c r="AC232">
        <f t="shared" si="91"/>
        <v>0</v>
      </c>
      <c r="AD232">
        <f t="shared" si="91"/>
        <v>6</v>
      </c>
      <c r="AE232">
        <f t="shared" si="91"/>
        <v>0</v>
      </c>
      <c r="AF232" s="56">
        <f t="shared" si="77"/>
        <v>21</v>
      </c>
      <c r="AG232" s="59">
        <f t="shared" si="78"/>
        <v>5.4285714285714288</v>
      </c>
      <c r="AH232">
        <f t="shared" si="79"/>
        <v>0.25850340136054423</v>
      </c>
    </row>
    <row r="233" spans="1:34" ht="15" x14ac:dyDescent="0.2">
      <c r="A233">
        <v>267</v>
      </c>
      <c r="B233" s="57" t="s">
        <v>329</v>
      </c>
      <c r="C233" s="57"/>
      <c r="D233">
        <f t="shared" si="75"/>
        <v>114</v>
      </c>
      <c r="E233" s="1">
        <f t="shared" si="76"/>
        <v>24</v>
      </c>
      <c r="F233">
        <f t="shared" si="89"/>
        <v>7</v>
      </c>
      <c r="G233">
        <f t="shared" si="89"/>
        <v>3</v>
      </c>
      <c r="H233">
        <f t="shared" si="89"/>
        <v>1</v>
      </c>
      <c r="I233">
        <f t="shared" si="89"/>
        <v>4</v>
      </c>
      <c r="J233">
        <f t="shared" si="89"/>
        <v>8</v>
      </c>
      <c r="K233">
        <f t="shared" si="89"/>
        <v>1</v>
      </c>
      <c r="L233">
        <f t="shared" si="89"/>
        <v>2</v>
      </c>
      <c r="M233">
        <f t="shared" si="89"/>
        <v>3</v>
      </c>
      <c r="N233">
        <f t="shared" si="89"/>
        <v>6</v>
      </c>
      <c r="O233">
        <f t="shared" si="89"/>
        <v>0</v>
      </c>
      <c r="P233">
        <f t="shared" si="90"/>
        <v>1</v>
      </c>
      <c r="Q233">
        <f t="shared" si="90"/>
        <v>2</v>
      </c>
      <c r="R233">
        <f t="shared" si="90"/>
        <v>0</v>
      </c>
      <c r="S233">
        <f t="shared" si="90"/>
        <v>6</v>
      </c>
      <c r="T233">
        <f t="shared" si="90"/>
        <v>9</v>
      </c>
      <c r="U233">
        <f t="shared" si="90"/>
        <v>1</v>
      </c>
      <c r="V233">
        <f t="shared" si="90"/>
        <v>0</v>
      </c>
      <c r="W233">
        <f t="shared" si="90"/>
        <v>4</v>
      </c>
      <c r="X233">
        <f t="shared" si="90"/>
        <v>4</v>
      </c>
      <c r="Y233">
        <f t="shared" si="90"/>
        <v>13</v>
      </c>
      <c r="Z233">
        <f t="shared" si="91"/>
        <v>3</v>
      </c>
      <c r="AA233">
        <f t="shared" si="91"/>
        <v>1</v>
      </c>
      <c r="AB233">
        <f t="shared" si="91"/>
        <v>3</v>
      </c>
      <c r="AC233">
        <f t="shared" si="91"/>
        <v>0</v>
      </c>
      <c r="AD233">
        <f t="shared" si="91"/>
        <v>5</v>
      </c>
      <c r="AE233">
        <f t="shared" si="91"/>
        <v>0</v>
      </c>
      <c r="AF233" s="56">
        <f t="shared" si="77"/>
        <v>21</v>
      </c>
      <c r="AG233" s="59">
        <f t="shared" si="78"/>
        <v>4.75</v>
      </c>
      <c r="AH233">
        <f t="shared" si="79"/>
        <v>0.22619047619047619</v>
      </c>
    </row>
    <row r="234" spans="1:34" ht="15" x14ac:dyDescent="0.2">
      <c r="A234">
        <v>207</v>
      </c>
      <c r="B234" s="57" t="s">
        <v>271</v>
      </c>
      <c r="C234" s="57"/>
      <c r="D234">
        <f t="shared" si="75"/>
        <v>114</v>
      </c>
      <c r="E234" s="1">
        <f t="shared" si="76"/>
        <v>21</v>
      </c>
      <c r="F234">
        <f t="shared" si="89"/>
        <v>5</v>
      </c>
      <c r="G234">
        <f t="shared" si="89"/>
        <v>2</v>
      </c>
      <c r="H234">
        <f t="shared" si="89"/>
        <v>0</v>
      </c>
      <c r="I234">
        <f t="shared" si="89"/>
        <v>1</v>
      </c>
      <c r="J234">
        <f t="shared" si="89"/>
        <v>10</v>
      </c>
      <c r="K234">
        <f t="shared" si="89"/>
        <v>2</v>
      </c>
      <c r="L234">
        <f t="shared" si="89"/>
        <v>1</v>
      </c>
      <c r="M234">
        <f t="shared" si="89"/>
        <v>3</v>
      </c>
      <c r="N234">
        <f t="shared" si="89"/>
        <v>7</v>
      </c>
      <c r="O234">
        <f t="shared" si="89"/>
        <v>0</v>
      </c>
      <c r="P234">
        <f t="shared" si="90"/>
        <v>1</v>
      </c>
      <c r="Q234">
        <f t="shared" si="90"/>
        <v>9</v>
      </c>
      <c r="R234">
        <f t="shared" si="90"/>
        <v>2</v>
      </c>
      <c r="S234">
        <f t="shared" si="90"/>
        <v>4</v>
      </c>
      <c r="T234">
        <f t="shared" si="90"/>
        <v>11</v>
      </c>
      <c r="U234">
        <f t="shared" si="90"/>
        <v>4</v>
      </c>
      <c r="V234">
        <f t="shared" si="90"/>
        <v>0</v>
      </c>
      <c r="W234">
        <f t="shared" si="90"/>
        <v>4</v>
      </c>
      <c r="X234">
        <f t="shared" si="90"/>
        <v>3</v>
      </c>
      <c r="Y234">
        <f t="shared" si="90"/>
        <v>12</v>
      </c>
      <c r="Z234">
        <f t="shared" si="91"/>
        <v>4</v>
      </c>
      <c r="AA234">
        <f t="shared" si="91"/>
        <v>2</v>
      </c>
      <c r="AB234">
        <f t="shared" si="91"/>
        <v>3</v>
      </c>
      <c r="AC234">
        <f t="shared" si="91"/>
        <v>0</v>
      </c>
      <c r="AD234">
        <f t="shared" si="91"/>
        <v>2</v>
      </c>
      <c r="AE234">
        <f t="shared" si="91"/>
        <v>0</v>
      </c>
      <c r="AF234" s="56">
        <f t="shared" si="77"/>
        <v>21</v>
      </c>
      <c r="AG234" s="59">
        <f t="shared" si="78"/>
        <v>5.4285714285714288</v>
      </c>
      <c r="AH234">
        <f t="shared" si="79"/>
        <v>0.25850340136054423</v>
      </c>
    </row>
    <row r="235" spans="1:34" ht="15" x14ac:dyDescent="0.2">
      <c r="A235">
        <v>298</v>
      </c>
      <c r="B235" s="57" t="s">
        <v>359</v>
      </c>
      <c r="C235" s="57"/>
      <c r="D235">
        <f t="shared" si="75"/>
        <v>114</v>
      </c>
      <c r="E235" s="1">
        <f t="shared" si="76"/>
        <v>20</v>
      </c>
      <c r="F235">
        <f t="shared" si="89"/>
        <v>7</v>
      </c>
      <c r="G235">
        <f t="shared" si="89"/>
        <v>1</v>
      </c>
      <c r="H235">
        <f t="shared" si="89"/>
        <v>3</v>
      </c>
      <c r="I235">
        <f t="shared" si="89"/>
        <v>3</v>
      </c>
      <c r="J235">
        <f t="shared" si="89"/>
        <v>11</v>
      </c>
      <c r="K235">
        <f t="shared" si="89"/>
        <v>2</v>
      </c>
      <c r="L235">
        <f t="shared" si="89"/>
        <v>1</v>
      </c>
      <c r="M235">
        <f t="shared" si="89"/>
        <v>2</v>
      </c>
      <c r="N235">
        <f t="shared" si="89"/>
        <v>5</v>
      </c>
      <c r="O235">
        <f t="shared" si="89"/>
        <v>1</v>
      </c>
      <c r="P235">
        <f t="shared" si="90"/>
        <v>0</v>
      </c>
      <c r="Q235">
        <f t="shared" si="90"/>
        <v>6</v>
      </c>
      <c r="R235">
        <f t="shared" si="90"/>
        <v>3</v>
      </c>
      <c r="S235">
        <f t="shared" si="90"/>
        <v>7</v>
      </c>
      <c r="T235">
        <f t="shared" si="90"/>
        <v>7</v>
      </c>
      <c r="U235">
        <f t="shared" si="90"/>
        <v>4</v>
      </c>
      <c r="V235">
        <f t="shared" si="90"/>
        <v>0</v>
      </c>
      <c r="W235">
        <f t="shared" si="90"/>
        <v>7</v>
      </c>
      <c r="X235">
        <f t="shared" si="90"/>
        <v>5</v>
      </c>
      <c r="Y235">
        <f t="shared" si="90"/>
        <v>8</v>
      </c>
      <c r="Z235">
        <f t="shared" si="91"/>
        <v>3</v>
      </c>
      <c r="AA235">
        <f t="shared" si="91"/>
        <v>0</v>
      </c>
      <c r="AB235">
        <f t="shared" si="91"/>
        <v>1</v>
      </c>
      <c r="AC235">
        <f t="shared" si="91"/>
        <v>1</v>
      </c>
      <c r="AD235">
        <f t="shared" si="91"/>
        <v>2</v>
      </c>
      <c r="AE235">
        <f t="shared" si="91"/>
        <v>0</v>
      </c>
      <c r="AF235" s="56">
        <f t="shared" si="77"/>
        <v>22</v>
      </c>
      <c r="AG235" s="59">
        <f t="shared" si="78"/>
        <v>5.7</v>
      </c>
      <c r="AH235">
        <f t="shared" si="79"/>
        <v>0.25909090909090909</v>
      </c>
    </row>
    <row r="236" spans="1:34" ht="15" x14ac:dyDescent="0.2">
      <c r="A236">
        <v>502</v>
      </c>
      <c r="B236" s="57" t="s">
        <v>538</v>
      </c>
      <c r="C236" s="57"/>
      <c r="D236">
        <f t="shared" si="75"/>
        <v>113</v>
      </c>
      <c r="E236" s="1">
        <f t="shared" si="76"/>
        <v>18</v>
      </c>
      <c r="F236">
        <f t="shared" si="89"/>
        <v>5</v>
      </c>
      <c r="G236">
        <f t="shared" si="89"/>
        <v>2</v>
      </c>
      <c r="H236">
        <f t="shared" si="89"/>
        <v>4</v>
      </c>
      <c r="I236">
        <f t="shared" si="89"/>
        <v>3</v>
      </c>
      <c r="J236">
        <f t="shared" si="89"/>
        <v>14</v>
      </c>
      <c r="K236">
        <f t="shared" si="89"/>
        <v>3</v>
      </c>
      <c r="L236">
        <f t="shared" si="89"/>
        <v>1</v>
      </c>
      <c r="M236">
        <f t="shared" si="89"/>
        <v>5</v>
      </c>
      <c r="N236">
        <f t="shared" si="89"/>
        <v>6</v>
      </c>
      <c r="O236">
        <f t="shared" si="89"/>
        <v>0</v>
      </c>
      <c r="P236">
        <f t="shared" si="90"/>
        <v>0</v>
      </c>
      <c r="Q236">
        <f t="shared" si="90"/>
        <v>3</v>
      </c>
      <c r="R236">
        <f t="shared" si="90"/>
        <v>2</v>
      </c>
      <c r="S236">
        <f t="shared" si="90"/>
        <v>9</v>
      </c>
      <c r="T236">
        <f t="shared" si="90"/>
        <v>4</v>
      </c>
      <c r="U236">
        <f t="shared" si="90"/>
        <v>1</v>
      </c>
      <c r="V236">
        <f t="shared" si="90"/>
        <v>0</v>
      </c>
      <c r="W236">
        <f t="shared" si="90"/>
        <v>3</v>
      </c>
      <c r="X236">
        <f t="shared" si="90"/>
        <v>6</v>
      </c>
      <c r="Y236">
        <f t="shared" si="90"/>
        <v>7</v>
      </c>
      <c r="Z236">
        <f t="shared" si="91"/>
        <v>2</v>
      </c>
      <c r="AA236">
        <f t="shared" si="91"/>
        <v>3</v>
      </c>
      <c r="AB236">
        <f t="shared" si="91"/>
        <v>0</v>
      </c>
      <c r="AC236">
        <f t="shared" si="91"/>
        <v>0</v>
      </c>
      <c r="AD236">
        <f t="shared" si="91"/>
        <v>1</v>
      </c>
      <c r="AE236">
        <f t="shared" si="91"/>
        <v>0</v>
      </c>
      <c r="AF236" s="56">
        <f t="shared" si="77"/>
        <v>20</v>
      </c>
      <c r="AG236" s="59">
        <f t="shared" si="78"/>
        <v>6.2777777777777777</v>
      </c>
      <c r="AH236">
        <f t="shared" si="79"/>
        <v>0.31388888888888888</v>
      </c>
    </row>
    <row r="237" spans="1:34" ht="15" x14ac:dyDescent="0.2">
      <c r="A237">
        <v>259</v>
      </c>
      <c r="B237" s="57" t="s">
        <v>322</v>
      </c>
      <c r="C237" s="57"/>
      <c r="D237">
        <f t="shared" si="75"/>
        <v>113</v>
      </c>
      <c r="E237" s="1">
        <f t="shared" si="76"/>
        <v>17</v>
      </c>
      <c r="F237">
        <f t="shared" si="89"/>
        <v>5</v>
      </c>
      <c r="G237">
        <f t="shared" si="89"/>
        <v>2</v>
      </c>
      <c r="H237">
        <f t="shared" si="89"/>
        <v>4</v>
      </c>
      <c r="I237">
        <f t="shared" si="89"/>
        <v>3</v>
      </c>
      <c r="J237">
        <f t="shared" si="89"/>
        <v>14</v>
      </c>
      <c r="K237">
        <f t="shared" si="89"/>
        <v>3</v>
      </c>
      <c r="L237">
        <f t="shared" si="89"/>
        <v>1</v>
      </c>
      <c r="M237">
        <f t="shared" si="89"/>
        <v>5</v>
      </c>
      <c r="N237">
        <f t="shared" si="89"/>
        <v>6</v>
      </c>
      <c r="O237">
        <f t="shared" si="89"/>
        <v>0</v>
      </c>
      <c r="P237">
        <f t="shared" si="90"/>
        <v>0</v>
      </c>
      <c r="Q237">
        <f t="shared" si="90"/>
        <v>3</v>
      </c>
      <c r="R237">
        <f t="shared" si="90"/>
        <v>2</v>
      </c>
      <c r="S237">
        <f t="shared" si="90"/>
        <v>9</v>
      </c>
      <c r="T237">
        <f t="shared" si="90"/>
        <v>4</v>
      </c>
      <c r="U237">
        <f t="shared" si="90"/>
        <v>1</v>
      </c>
      <c r="V237">
        <f t="shared" si="90"/>
        <v>0</v>
      </c>
      <c r="W237">
        <f t="shared" si="90"/>
        <v>3</v>
      </c>
      <c r="X237">
        <f t="shared" si="90"/>
        <v>6</v>
      </c>
      <c r="Y237">
        <f t="shared" si="90"/>
        <v>7</v>
      </c>
      <c r="Z237">
        <f t="shared" si="91"/>
        <v>2</v>
      </c>
      <c r="AA237">
        <f t="shared" si="91"/>
        <v>3</v>
      </c>
      <c r="AB237">
        <f t="shared" si="91"/>
        <v>0</v>
      </c>
      <c r="AC237">
        <f t="shared" si="91"/>
        <v>0</v>
      </c>
      <c r="AD237">
        <f t="shared" si="91"/>
        <v>1</v>
      </c>
      <c r="AE237">
        <f t="shared" si="91"/>
        <v>0</v>
      </c>
      <c r="AF237" s="56">
        <f t="shared" si="77"/>
        <v>20</v>
      </c>
      <c r="AG237" s="59">
        <f t="shared" si="78"/>
        <v>6.6470588235294121</v>
      </c>
      <c r="AH237">
        <f t="shared" si="79"/>
        <v>0.33235294117647063</v>
      </c>
    </row>
    <row r="238" spans="1:34" ht="15" x14ac:dyDescent="0.2">
      <c r="A238">
        <v>503</v>
      </c>
      <c r="B238" s="57" t="s">
        <v>672</v>
      </c>
      <c r="C238" s="57"/>
      <c r="D238">
        <f t="shared" si="75"/>
        <v>112</v>
      </c>
      <c r="E238" s="1">
        <f t="shared" si="76"/>
        <v>21</v>
      </c>
      <c r="F238">
        <f t="shared" si="89"/>
        <v>9</v>
      </c>
      <c r="G238">
        <f t="shared" si="89"/>
        <v>3</v>
      </c>
      <c r="H238">
        <f t="shared" si="89"/>
        <v>4</v>
      </c>
      <c r="I238">
        <f t="shared" si="89"/>
        <v>2</v>
      </c>
      <c r="J238">
        <f t="shared" si="89"/>
        <v>5</v>
      </c>
      <c r="K238">
        <f t="shared" si="89"/>
        <v>2</v>
      </c>
      <c r="L238">
        <f t="shared" si="89"/>
        <v>0</v>
      </c>
      <c r="M238">
        <f t="shared" si="89"/>
        <v>5</v>
      </c>
      <c r="N238">
        <f t="shared" si="89"/>
        <v>5</v>
      </c>
      <c r="O238">
        <f t="shared" si="89"/>
        <v>1</v>
      </c>
      <c r="P238">
        <f t="shared" si="90"/>
        <v>2</v>
      </c>
      <c r="Q238">
        <f t="shared" si="90"/>
        <v>1</v>
      </c>
      <c r="R238">
        <f t="shared" si="90"/>
        <v>5</v>
      </c>
      <c r="S238">
        <f t="shared" si="90"/>
        <v>3</v>
      </c>
      <c r="T238">
        <f t="shared" si="90"/>
        <v>8</v>
      </c>
      <c r="U238">
        <f t="shared" si="90"/>
        <v>1</v>
      </c>
      <c r="V238">
        <f t="shared" si="90"/>
        <v>0</v>
      </c>
      <c r="W238">
        <f t="shared" si="90"/>
        <v>8</v>
      </c>
      <c r="X238">
        <f t="shared" si="90"/>
        <v>4</v>
      </c>
      <c r="Y238">
        <f t="shared" si="90"/>
        <v>8</v>
      </c>
      <c r="Z238">
        <f t="shared" si="91"/>
        <v>2</v>
      </c>
      <c r="AA238">
        <f t="shared" si="91"/>
        <v>0</v>
      </c>
      <c r="AB238">
        <f t="shared" si="91"/>
        <v>2</v>
      </c>
      <c r="AC238">
        <f t="shared" si="91"/>
        <v>0</v>
      </c>
      <c r="AD238">
        <f t="shared" si="91"/>
        <v>0</v>
      </c>
      <c r="AE238">
        <f t="shared" si="91"/>
        <v>0</v>
      </c>
      <c r="AF238" s="56">
        <f t="shared" si="77"/>
        <v>20</v>
      </c>
      <c r="AG238" s="59">
        <f t="shared" si="78"/>
        <v>5.333333333333333</v>
      </c>
      <c r="AH238">
        <f t="shared" si="79"/>
        <v>0.26666666666666666</v>
      </c>
    </row>
    <row r="239" spans="1:34" ht="15" x14ac:dyDescent="0.2">
      <c r="A239">
        <v>263</v>
      </c>
      <c r="B239" s="57" t="s">
        <v>325</v>
      </c>
      <c r="C239" s="57"/>
      <c r="D239">
        <f t="shared" si="75"/>
        <v>112</v>
      </c>
      <c r="E239" s="1">
        <f t="shared" si="76"/>
        <v>20</v>
      </c>
      <c r="F239">
        <f t="shared" si="89"/>
        <v>5</v>
      </c>
      <c r="G239">
        <f t="shared" si="89"/>
        <v>1</v>
      </c>
      <c r="H239">
        <f t="shared" si="89"/>
        <v>6</v>
      </c>
      <c r="I239">
        <f t="shared" si="89"/>
        <v>5</v>
      </c>
      <c r="J239">
        <f t="shared" si="89"/>
        <v>11</v>
      </c>
      <c r="K239">
        <f t="shared" si="89"/>
        <v>0</v>
      </c>
      <c r="L239">
        <f t="shared" si="89"/>
        <v>3</v>
      </c>
      <c r="M239">
        <f t="shared" si="89"/>
        <v>3</v>
      </c>
      <c r="N239">
        <f t="shared" si="89"/>
        <v>7</v>
      </c>
      <c r="O239">
        <f t="shared" si="89"/>
        <v>1</v>
      </c>
      <c r="P239">
        <f t="shared" si="90"/>
        <v>1</v>
      </c>
      <c r="Q239">
        <f t="shared" si="90"/>
        <v>2</v>
      </c>
      <c r="R239">
        <f t="shared" si="90"/>
        <v>1</v>
      </c>
      <c r="S239">
        <f t="shared" si="90"/>
        <v>6</v>
      </c>
      <c r="T239">
        <f t="shared" si="90"/>
        <v>6</v>
      </c>
      <c r="U239">
        <f t="shared" si="90"/>
        <v>0</v>
      </c>
      <c r="V239">
        <f t="shared" si="90"/>
        <v>0</v>
      </c>
      <c r="W239">
        <f t="shared" si="90"/>
        <v>5</v>
      </c>
      <c r="X239">
        <f t="shared" si="90"/>
        <v>4</v>
      </c>
      <c r="Y239">
        <f t="shared" si="90"/>
        <v>8</v>
      </c>
      <c r="Z239">
        <f t="shared" si="91"/>
        <v>4</v>
      </c>
      <c r="AA239">
        <f t="shared" si="91"/>
        <v>0</v>
      </c>
      <c r="AB239">
        <f t="shared" si="91"/>
        <v>2</v>
      </c>
      <c r="AC239">
        <f t="shared" si="91"/>
        <v>0</v>
      </c>
      <c r="AD239">
        <f t="shared" si="91"/>
        <v>1</v>
      </c>
      <c r="AE239">
        <f t="shared" si="91"/>
        <v>0</v>
      </c>
      <c r="AF239" s="56">
        <f t="shared" si="77"/>
        <v>20</v>
      </c>
      <c r="AG239" s="59">
        <f t="shared" si="78"/>
        <v>5.6</v>
      </c>
      <c r="AH239">
        <f t="shared" si="79"/>
        <v>0.27999999999999997</v>
      </c>
    </row>
    <row r="240" spans="1:34" ht="15" x14ac:dyDescent="0.2">
      <c r="A240">
        <v>208</v>
      </c>
      <c r="B240" s="57" t="s">
        <v>272</v>
      </c>
      <c r="C240" s="57"/>
      <c r="D240">
        <f t="shared" si="75"/>
        <v>112</v>
      </c>
      <c r="E240" s="1">
        <f t="shared" si="76"/>
        <v>22</v>
      </c>
      <c r="F240">
        <f t="shared" si="89"/>
        <v>5</v>
      </c>
      <c r="G240">
        <f t="shared" si="89"/>
        <v>2</v>
      </c>
      <c r="H240">
        <f t="shared" si="89"/>
        <v>2</v>
      </c>
      <c r="I240">
        <f t="shared" si="89"/>
        <v>4</v>
      </c>
      <c r="J240">
        <f t="shared" si="89"/>
        <v>11</v>
      </c>
      <c r="K240">
        <f t="shared" si="89"/>
        <v>2</v>
      </c>
      <c r="L240">
        <f t="shared" si="89"/>
        <v>0</v>
      </c>
      <c r="M240">
        <f t="shared" si="89"/>
        <v>6</v>
      </c>
      <c r="N240">
        <f t="shared" si="89"/>
        <v>9</v>
      </c>
      <c r="O240">
        <f t="shared" si="89"/>
        <v>1</v>
      </c>
      <c r="P240">
        <f t="shared" si="90"/>
        <v>0</v>
      </c>
      <c r="Q240">
        <f t="shared" si="90"/>
        <v>6</v>
      </c>
      <c r="R240">
        <f t="shared" si="90"/>
        <v>0</v>
      </c>
      <c r="S240">
        <f t="shared" si="90"/>
        <v>5</v>
      </c>
      <c r="T240">
        <f t="shared" si="90"/>
        <v>3</v>
      </c>
      <c r="U240">
        <f t="shared" si="90"/>
        <v>2</v>
      </c>
      <c r="V240">
        <f t="shared" si="90"/>
        <v>0</v>
      </c>
      <c r="W240">
        <f t="shared" si="90"/>
        <v>6</v>
      </c>
      <c r="X240">
        <f t="shared" si="90"/>
        <v>5</v>
      </c>
      <c r="Y240">
        <f t="shared" si="90"/>
        <v>6</v>
      </c>
      <c r="Z240">
        <f t="shared" si="91"/>
        <v>3</v>
      </c>
      <c r="AA240">
        <f t="shared" si="91"/>
        <v>2</v>
      </c>
      <c r="AB240">
        <f t="shared" si="91"/>
        <v>2</v>
      </c>
      <c r="AC240">
        <f t="shared" si="91"/>
        <v>0</v>
      </c>
      <c r="AD240">
        <f t="shared" si="91"/>
        <v>3</v>
      </c>
      <c r="AE240">
        <f t="shared" si="91"/>
        <v>0</v>
      </c>
      <c r="AF240" s="56">
        <f t="shared" si="77"/>
        <v>20</v>
      </c>
      <c r="AG240" s="59">
        <f t="shared" si="78"/>
        <v>5.0909090909090908</v>
      </c>
      <c r="AH240">
        <f t="shared" si="79"/>
        <v>0.25454545454545452</v>
      </c>
    </row>
    <row r="241" spans="1:34" ht="15" x14ac:dyDescent="0.2">
      <c r="A241">
        <v>379</v>
      </c>
      <c r="B241" s="57" t="s">
        <v>434</v>
      </c>
      <c r="C241" s="57"/>
      <c r="D241">
        <f t="shared" si="75"/>
        <v>112</v>
      </c>
      <c r="E241" s="1">
        <f t="shared" si="76"/>
        <v>15</v>
      </c>
      <c r="F241">
        <f t="shared" si="89"/>
        <v>2</v>
      </c>
      <c r="G241">
        <f t="shared" si="89"/>
        <v>2</v>
      </c>
      <c r="H241">
        <f t="shared" si="89"/>
        <v>5</v>
      </c>
      <c r="I241">
        <f t="shared" si="89"/>
        <v>0</v>
      </c>
      <c r="J241">
        <f t="shared" si="89"/>
        <v>11</v>
      </c>
      <c r="K241">
        <f t="shared" si="89"/>
        <v>0</v>
      </c>
      <c r="L241">
        <f t="shared" si="89"/>
        <v>1</v>
      </c>
      <c r="M241">
        <f t="shared" si="89"/>
        <v>2</v>
      </c>
      <c r="N241">
        <f t="shared" si="89"/>
        <v>7</v>
      </c>
      <c r="O241">
        <f t="shared" si="89"/>
        <v>1</v>
      </c>
      <c r="P241">
        <f t="shared" si="90"/>
        <v>3</v>
      </c>
      <c r="Q241">
        <f t="shared" si="90"/>
        <v>2</v>
      </c>
      <c r="R241">
        <f t="shared" si="90"/>
        <v>5</v>
      </c>
      <c r="S241">
        <f t="shared" si="90"/>
        <v>5</v>
      </c>
      <c r="T241">
        <f t="shared" si="90"/>
        <v>8</v>
      </c>
      <c r="U241">
        <f t="shared" si="90"/>
        <v>3</v>
      </c>
      <c r="V241">
        <f t="shared" si="90"/>
        <v>0</v>
      </c>
      <c r="W241">
        <f t="shared" si="90"/>
        <v>4</v>
      </c>
      <c r="X241">
        <f t="shared" si="90"/>
        <v>5</v>
      </c>
      <c r="Y241">
        <f t="shared" si="90"/>
        <v>8</v>
      </c>
      <c r="Z241">
        <f t="shared" si="91"/>
        <v>8</v>
      </c>
      <c r="AA241">
        <f t="shared" si="91"/>
        <v>0</v>
      </c>
      <c r="AB241">
        <f t="shared" si="91"/>
        <v>2</v>
      </c>
      <c r="AC241">
        <f t="shared" si="91"/>
        <v>0</v>
      </c>
      <c r="AD241">
        <f t="shared" si="91"/>
        <v>4</v>
      </c>
      <c r="AE241">
        <f t="shared" si="91"/>
        <v>1</v>
      </c>
      <c r="AF241" s="56">
        <f t="shared" si="77"/>
        <v>21</v>
      </c>
      <c r="AG241" s="59">
        <f t="shared" si="78"/>
        <v>7.4666666666666668</v>
      </c>
      <c r="AH241">
        <f t="shared" si="79"/>
        <v>0.35555555555555557</v>
      </c>
    </row>
    <row r="242" spans="1:34" ht="15" x14ac:dyDescent="0.2">
      <c r="A242">
        <v>261</v>
      </c>
      <c r="B242" s="57" t="s">
        <v>323</v>
      </c>
      <c r="C242" s="57"/>
      <c r="D242">
        <f t="shared" si="75"/>
        <v>111</v>
      </c>
      <c r="E242" s="1">
        <f t="shared" si="76"/>
        <v>15</v>
      </c>
      <c r="F242">
        <f t="shared" ref="F242:O251" si="92">LEN($B242)-LEN(SUBSTITUTE($B242,F$1,""))</f>
        <v>3</v>
      </c>
      <c r="G242">
        <f t="shared" si="92"/>
        <v>0</v>
      </c>
      <c r="H242">
        <f t="shared" si="92"/>
        <v>3</v>
      </c>
      <c r="I242">
        <f t="shared" si="92"/>
        <v>1</v>
      </c>
      <c r="J242">
        <f t="shared" si="92"/>
        <v>8</v>
      </c>
      <c r="K242">
        <f t="shared" si="92"/>
        <v>4</v>
      </c>
      <c r="L242">
        <f t="shared" si="92"/>
        <v>2</v>
      </c>
      <c r="M242">
        <f t="shared" si="92"/>
        <v>3</v>
      </c>
      <c r="N242">
        <f t="shared" si="92"/>
        <v>8</v>
      </c>
      <c r="O242">
        <f t="shared" si="92"/>
        <v>0</v>
      </c>
      <c r="P242">
        <f t="shared" ref="P242:Y251" si="93">LEN($B242)-LEN(SUBSTITUTE($B242,P$1,""))</f>
        <v>0</v>
      </c>
      <c r="Q242">
        <f t="shared" si="93"/>
        <v>4</v>
      </c>
      <c r="R242">
        <f t="shared" si="93"/>
        <v>1</v>
      </c>
      <c r="S242">
        <f t="shared" si="93"/>
        <v>1</v>
      </c>
      <c r="T242">
        <f t="shared" si="93"/>
        <v>12</v>
      </c>
      <c r="U242">
        <f t="shared" si="93"/>
        <v>5</v>
      </c>
      <c r="V242">
        <f t="shared" si="93"/>
        <v>0</v>
      </c>
      <c r="W242">
        <f t="shared" si="93"/>
        <v>8</v>
      </c>
      <c r="X242">
        <f t="shared" si="93"/>
        <v>10</v>
      </c>
      <c r="Y242">
        <f t="shared" si="93"/>
        <v>6</v>
      </c>
      <c r="Z242">
        <f t="shared" ref="Z242:AE251" si="94">LEN($B242)-LEN(SUBSTITUTE($B242,Z$1,""))</f>
        <v>6</v>
      </c>
      <c r="AA242">
        <f t="shared" si="94"/>
        <v>0</v>
      </c>
      <c r="AB242">
        <f t="shared" si="94"/>
        <v>0</v>
      </c>
      <c r="AC242">
        <f t="shared" si="94"/>
        <v>0</v>
      </c>
      <c r="AD242">
        <f t="shared" si="94"/>
        <v>3</v>
      </c>
      <c r="AE242">
        <f t="shared" si="94"/>
        <v>0</v>
      </c>
      <c r="AF242" s="56">
        <f t="shared" si="77"/>
        <v>18</v>
      </c>
      <c r="AG242" s="59">
        <f t="shared" si="78"/>
        <v>7.4</v>
      </c>
      <c r="AH242">
        <f t="shared" si="79"/>
        <v>0.41111111111111115</v>
      </c>
    </row>
    <row r="243" spans="1:34" ht="15" x14ac:dyDescent="0.2">
      <c r="A243">
        <v>474</v>
      </c>
      <c r="B243" s="57" t="s">
        <v>673</v>
      </c>
      <c r="C243" s="57"/>
      <c r="D243">
        <f t="shared" si="75"/>
        <v>111</v>
      </c>
      <c r="E243" s="1">
        <f t="shared" si="76"/>
        <v>17</v>
      </c>
      <c r="F243">
        <f t="shared" si="92"/>
        <v>13</v>
      </c>
      <c r="G243">
        <f t="shared" si="92"/>
        <v>3</v>
      </c>
      <c r="H243">
        <f t="shared" si="92"/>
        <v>2</v>
      </c>
      <c r="I243">
        <f t="shared" si="92"/>
        <v>4</v>
      </c>
      <c r="J243">
        <f t="shared" si="92"/>
        <v>5</v>
      </c>
      <c r="K243">
        <f t="shared" si="92"/>
        <v>2</v>
      </c>
      <c r="L243">
        <f t="shared" si="92"/>
        <v>2</v>
      </c>
      <c r="M243">
        <f t="shared" si="92"/>
        <v>4</v>
      </c>
      <c r="N243">
        <f t="shared" si="92"/>
        <v>5</v>
      </c>
      <c r="O243">
        <f t="shared" si="92"/>
        <v>0</v>
      </c>
      <c r="P243">
        <f t="shared" si="93"/>
        <v>0</v>
      </c>
      <c r="Q243">
        <f t="shared" si="93"/>
        <v>0</v>
      </c>
      <c r="R243">
        <f t="shared" si="93"/>
        <v>2</v>
      </c>
      <c r="S243">
        <f t="shared" si="93"/>
        <v>8</v>
      </c>
      <c r="T243">
        <f t="shared" si="93"/>
        <v>5</v>
      </c>
      <c r="U243">
        <f t="shared" si="93"/>
        <v>1</v>
      </c>
      <c r="V243">
        <f t="shared" si="93"/>
        <v>0</v>
      </c>
      <c r="W243">
        <f t="shared" si="93"/>
        <v>7</v>
      </c>
      <c r="X243">
        <f t="shared" si="93"/>
        <v>6</v>
      </c>
      <c r="Y243">
        <f t="shared" si="93"/>
        <v>11</v>
      </c>
      <c r="Z243">
        <f t="shared" si="94"/>
        <v>3</v>
      </c>
      <c r="AA243">
        <f t="shared" si="94"/>
        <v>0</v>
      </c>
      <c r="AB243">
        <f t="shared" si="94"/>
        <v>3</v>
      </c>
      <c r="AC243">
        <f t="shared" si="94"/>
        <v>0</v>
      </c>
      <c r="AD243">
        <f t="shared" si="94"/>
        <v>3</v>
      </c>
      <c r="AE243">
        <f t="shared" si="94"/>
        <v>1</v>
      </c>
      <c r="AF243" s="56">
        <f t="shared" si="77"/>
        <v>20</v>
      </c>
      <c r="AG243" s="59">
        <f t="shared" si="78"/>
        <v>6.5294117647058822</v>
      </c>
      <c r="AH243">
        <f t="shared" si="79"/>
        <v>0.32647058823529412</v>
      </c>
    </row>
    <row r="244" spans="1:34" ht="15" x14ac:dyDescent="0.2">
      <c r="A244">
        <v>232</v>
      </c>
      <c r="B244" s="57" t="s">
        <v>295</v>
      </c>
      <c r="C244" s="57"/>
      <c r="D244">
        <f t="shared" si="75"/>
        <v>111</v>
      </c>
      <c r="E244" s="1">
        <f t="shared" si="76"/>
        <v>23</v>
      </c>
      <c r="F244">
        <f t="shared" si="92"/>
        <v>8</v>
      </c>
      <c r="G244">
        <f t="shared" si="92"/>
        <v>3</v>
      </c>
      <c r="H244">
        <f t="shared" si="92"/>
        <v>0</v>
      </c>
      <c r="I244">
        <f t="shared" si="92"/>
        <v>3</v>
      </c>
      <c r="J244">
        <f t="shared" si="92"/>
        <v>9</v>
      </c>
      <c r="K244">
        <f t="shared" si="92"/>
        <v>1</v>
      </c>
      <c r="L244">
        <f t="shared" si="92"/>
        <v>1</v>
      </c>
      <c r="M244">
        <f t="shared" si="92"/>
        <v>4</v>
      </c>
      <c r="N244">
        <f t="shared" si="92"/>
        <v>5</v>
      </c>
      <c r="O244">
        <f t="shared" si="92"/>
        <v>0</v>
      </c>
      <c r="P244">
        <f t="shared" si="93"/>
        <v>1</v>
      </c>
      <c r="Q244">
        <f t="shared" si="93"/>
        <v>4</v>
      </c>
      <c r="R244">
        <f t="shared" si="93"/>
        <v>4</v>
      </c>
      <c r="S244">
        <f t="shared" si="93"/>
        <v>8</v>
      </c>
      <c r="T244">
        <f t="shared" si="93"/>
        <v>10</v>
      </c>
      <c r="U244">
        <f t="shared" si="93"/>
        <v>1</v>
      </c>
      <c r="V244">
        <f t="shared" si="93"/>
        <v>0</v>
      </c>
      <c r="W244">
        <f t="shared" si="93"/>
        <v>4</v>
      </c>
      <c r="X244">
        <f t="shared" si="93"/>
        <v>3</v>
      </c>
      <c r="Y244">
        <f t="shared" si="93"/>
        <v>12</v>
      </c>
      <c r="Z244">
        <f t="shared" si="94"/>
        <v>3</v>
      </c>
      <c r="AA244">
        <f t="shared" si="94"/>
        <v>1</v>
      </c>
      <c r="AB244">
        <f t="shared" si="94"/>
        <v>1</v>
      </c>
      <c r="AC244">
        <f t="shared" si="94"/>
        <v>0</v>
      </c>
      <c r="AD244">
        <f t="shared" si="94"/>
        <v>0</v>
      </c>
      <c r="AE244">
        <f t="shared" si="94"/>
        <v>0</v>
      </c>
      <c r="AF244" s="56">
        <f t="shared" si="77"/>
        <v>20</v>
      </c>
      <c r="AG244" s="59">
        <f t="shared" si="78"/>
        <v>4.8260869565217392</v>
      </c>
      <c r="AH244">
        <f t="shared" si="79"/>
        <v>0.24130434782608695</v>
      </c>
    </row>
    <row r="245" spans="1:34" ht="15" x14ac:dyDescent="0.2">
      <c r="A245">
        <v>244</v>
      </c>
      <c r="B245" s="57" t="s">
        <v>307</v>
      </c>
      <c r="C245" s="57"/>
      <c r="D245">
        <f t="shared" si="75"/>
        <v>110</v>
      </c>
      <c r="E245" s="1">
        <f t="shared" si="76"/>
        <v>21</v>
      </c>
      <c r="F245">
        <f t="shared" si="92"/>
        <v>4</v>
      </c>
      <c r="G245">
        <f t="shared" si="92"/>
        <v>2</v>
      </c>
      <c r="H245">
        <f t="shared" si="92"/>
        <v>0</v>
      </c>
      <c r="I245">
        <f t="shared" si="92"/>
        <v>5</v>
      </c>
      <c r="J245">
        <f t="shared" si="92"/>
        <v>12</v>
      </c>
      <c r="K245">
        <f t="shared" si="92"/>
        <v>1</v>
      </c>
      <c r="L245">
        <f t="shared" si="92"/>
        <v>0</v>
      </c>
      <c r="M245">
        <f t="shared" si="92"/>
        <v>7</v>
      </c>
      <c r="N245">
        <f t="shared" si="92"/>
        <v>3</v>
      </c>
      <c r="O245">
        <f t="shared" si="92"/>
        <v>0</v>
      </c>
      <c r="P245">
        <f t="shared" si="93"/>
        <v>0</v>
      </c>
      <c r="Q245">
        <f t="shared" si="93"/>
        <v>2</v>
      </c>
      <c r="R245">
        <f t="shared" si="93"/>
        <v>2</v>
      </c>
      <c r="S245">
        <f t="shared" si="93"/>
        <v>7</v>
      </c>
      <c r="T245">
        <f t="shared" si="93"/>
        <v>9</v>
      </c>
      <c r="U245">
        <f t="shared" si="93"/>
        <v>3</v>
      </c>
      <c r="V245">
        <f t="shared" si="93"/>
        <v>0</v>
      </c>
      <c r="W245">
        <f t="shared" si="93"/>
        <v>6</v>
      </c>
      <c r="X245">
        <f t="shared" si="93"/>
        <v>7</v>
      </c>
      <c r="Y245">
        <f t="shared" si="93"/>
        <v>9</v>
      </c>
      <c r="Z245">
        <f t="shared" si="94"/>
        <v>2</v>
      </c>
      <c r="AA245">
        <f t="shared" si="94"/>
        <v>0</v>
      </c>
      <c r="AB245">
        <f t="shared" si="94"/>
        <v>3</v>
      </c>
      <c r="AC245">
        <f t="shared" si="94"/>
        <v>0</v>
      </c>
      <c r="AD245">
        <f t="shared" si="94"/>
        <v>3</v>
      </c>
      <c r="AE245">
        <f t="shared" si="94"/>
        <v>0</v>
      </c>
      <c r="AF245" s="56">
        <f t="shared" si="77"/>
        <v>18</v>
      </c>
      <c r="AG245" s="59">
        <f t="shared" si="78"/>
        <v>5.2380952380952381</v>
      </c>
      <c r="AH245">
        <f t="shared" si="79"/>
        <v>0.29100529100529099</v>
      </c>
    </row>
    <row r="246" spans="1:34" ht="15" x14ac:dyDescent="0.2">
      <c r="A246">
        <v>175</v>
      </c>
      <c r="B246" s="57" t="s">
        <v>239</v>
      </c>
      <c r="C246" s="57"/>
      <c r="D246">
        <f t="shared" si="75"/>
        <v>110</v>
      </c>
      <c r="E246" s="1">
        <f t="shared" si="76"/>
        <v>21</v>
      </c>
      <c r="F246">
        <f t="shared" si="92"/>
        <v>6</v>
      </c>
      <c r="G246">
        <f t="shared" si="92"/>
        <v>0</v>
      </c>
      <c r="H246">
        <f t="shared" si="92"/>
        <v>0</v>
      </c>
      <c r="I246">
        <f t="shared" si="92"/>
        <v>4</v>
      </c>
      <c r="J246">
        <f t="shared" si="92"/>
        <v>6</v>
      </c>
      <c r="K246">
        <f t="shared" si="92"/>
        <v>1</v>
      </c>
      <c r="L246">
        <f t="shared" si="92"/>
        <v>4</v>
      </c>
      <c r="M246">
        <f t="shared" si="92"/>
        <v>4</v>
      </c>
      <c r="N246">
        <f t="shared" si="92"/>
        <v>7</v>
      </c>
      <c r="O246">
        <f t="shared" si="92"/>
        <v>0</v>
      </c>
      <c r="P246">
        <f t="shared" si="93"/>
        <v>1</v>
      </c>
      <c r="Q246">
        <f t="shared" si="93"/>
        <v>3</v>
      </c>
      <c r="R246">
        <f t="shared" si="93"/>
        <v>1</v>
      </c>
      <c r="S246">
        <f t="shared" si="93"/>
        <v>7</v>
      </c>
      <c r="T246">
        <f t="shared" si="93"/>
        <v>10</v>
      </c>
      <c r="U246">
        <f t="shared" si="93"/>
        <v>0</v>
      </c>
      <c r="V246">
        <f t="shared" si="93"/>
        <v>0</v>
      </c>
      <c r="W246">
        <f t="shared" si="93"/>
        <v>6</v>
      </c>
      <c r="X246">
        <f t="shared" si="93"/>
        <v>5</v>
      </c>
      <c r="Y246">
        <f t="shared" si="93"/>
        <v>7</v>
      </c>
      <c r="Z246">
        <f t="shared" si="94"/>
        <v>3</v>
      </c>
      <c r="AA246">
        <f t="shared" si="94"/>
        <v>1</v>
      </c>
      <c r="AB246">
        <f t="shared" si="94"/>
        <v>6</v>
      </c>
      <c r="AC246">
        <f t="shared" si="94"/>
        <v>0</v>
      </c>
      <c r="AD246">
        <f t="shared" si="94"/>
        <v>3</v>
      </c>
      <c r="AE246">
        <f t="shared" si="94"/>
        <v>0</v>
      </c>
      <c r="AF246" s="56">
        <f t="shared" si="77"/>
        <v>19</v>
      </c>
      <c r="AG246" s="59">
        <f t="shared" si="78"/>
        <v>5.2380952380952381</v>
      </c>
      <c r="AH246">
        <f t="shared" si="79"/>
        <v>0.27568922305764409</v>
      </c>
    </row>
    <row r="247" spans="1:34" ht="15" x14ac:dyDescent="0.2">
      <c r="A247">
        <v>140</v>
      </c>
      <c r="B247" s="57" t="s">
        <v>205</v>
      </c>
      <c r="C247" s="57"/>
      <c r="D247">
        <f t="shared" si="75"/>
        <v>110</v>
      </c>
      <c r="E247" s="1">
        <f t="shared" si="76"/>
        <v>18</v>
      </c>
      <c r="F247">
        <f t="shared" si="92"/>
        <v>9</v>
      </c>
      <c r="G247">
        <f t="shared" si="92"/>
        <v>0</v>
      </c>
      <c r="H247">
        <f t="shared" si="92"/>
        <v>1</v>
      </c>
      <c r="I247">
        <f t="shared" si="92"/>
        <v>1</v>
      </c>
      <c r="J247">
        <f t="shared" si="92"/>
        <v>15</v>
      </c>
      <c r="K247">
        <f t="shared" si="92"/>
        <v>0</v>
      </c>
      <c r="L247">
        <f t="shared" si="92"/>
        <v>4</v>
      </c>
      <c r="M247">
        <f t="shared" si="92"/>
        <v>6</v>
      </c>
      <c r="N247">
        <f t="shared" si="92"/>
        <v>8</v>
      </c>
      <c r="O247">
        <f t="shared" si="92"/>
        <v>2</v>
      </c>
      <c r="P247">
        <f t="shared" si="93"/>
        <v>2</v>
      </c>
      <c r="Q247">
        <f t="shared" si="93"/>
        <v>4</v>
      </c>
      <c r="R247">
        <f t="shared" si="93"/>
        <v>4</v>
      </c>
      <c r="S247">
        <f t="shared" si="93"/>
        <v>7</v>
      </c>
      <c r="T247">
        <f t="shared" si="93"/>
        <v>1</v>
      </c>
      <c r="U247">
        <f t="shared" si="93"/>
        <v>3</v>
      </c>
      <c r="V247">
        <f t="shared" si="93"/>
        <v>0</v>
      </c>
      <c r="W247">
        <f t="shared" si="93"/>
        <v>9</v>
      </c>
      <c r="X247">
        <f t="shared" si="93"/>
        <v>2</v>
      </c>
      <c r="Y247">
        <f t="shared" si="93"/>
        <v>6</v>
      </c>
      <c r="Z247">
        <f t="shared" si="94"/>
        <v>1</v>
      </c>
      <c r="AA247">
        <f t="shared" si="94"/>
        <v>0</v>
      </c>
      <c r="AB247">
        <f t="shared" si="94"/>
        <v>2</v>
      </c>
      <c r="AC247">
        <f t="shared" si="94"/>
        <v>0</v>
      </c>
      <c r="AD247">
        <f t="shared" si="94"/>
        <v>4</v>
      </c>
      <c r="AE247">
        <f t="shared" si="94"/>
        <v>0</v>
      </c>
      <c r="AF247" s="56">
        <f t="shared" si="77"/>
        <v>20</v>
      </c>
      <c r="AG247" s="59">
        <f t="shared" si="78"/>
        <v>6.1111111111111107</v>
      </c>
      <c r="AH247">
        <f t="shared" si="79"/>
        <v>0.30555555555555552</v>
      </c>
    </row>
    <row r="248" spans="1:34" ht="15" x14ac:dyDescent="0.2">
      <c r="A248">
        <v>341</v>
      </c>
      <c r="B248" s="57" t="s">
        <v>401</v>
      </c>
      <c r="C248" s="57"/>
      <c r="D248">
        <f t="shared" si="75"/>
        <v>110</v>
      </c>
      <c r="E248" s="1">
        <f t="shared" si="76"/>
        <v>22</v>
      </c>
      <c r="F248">
        <f t="shared" si="92"/>
        <v>4</v>
      </c>
      <c r="G248">
        <f t="shared" si="92"/>
        <v>1</v>
      </c>
      <c r="H248">
        <f t="shared" si="92"/>
        <v>2</v>
      </c>
      <c r="I248">
        <f t="shared" si="92"/>
        <v>4</v>
      </c>
      <c r="J248">
        <f t="shared" si="92"/>
        <v>8</v>
      </c>
      <c r="K248">
        <f t="shared" si="92"/>
        <v>4</v>
      </c>
      <c r="L248">
        <f t="shared" si="92"/>
        <v>0</v>
      </c>
      <c r="M248">
        <f t="shared" si="92"/>
        <v>1</v>
      </c>
      <c r="N248">
        <f t="shared" si="92"/>
        <v>7</v>
      </c>
      <c r="O248">
        <f t="shared" si="92"/>
        <v>0</v>
      </c>
      <c r="P248">
        <f t="shared" si="93"/>
        <v>1</v>
      </c>
      <c r="Q248">
        <f t="shared" si="93"/>
        <v>6</v>
      </c>
      <c r="R248">
        <f t="shared" si="93"/>
        <v>2</v>
      </c>
      <c r="S248">
        <f t="shared" si="93"/>
        <v>5</v>
      </c>
      <c r="T248">
        <f t="shared" si="93"/>
        <v>10</v>
      </c>
      <c r="U248">
        <f t="shared" si="93"/>
        <v>2</v>
      </c>
      <c r="V248">
        <f t="shared" si="93"/>
        <v>0</v>
      </c>
      <c r="W248">
        <f t="shared" si="93"/>
        <v>5</v>
      </c>
      <c r="X248">
        <f t="shared" si="93"/>
        <v>6</v>
      </c>
      <c r="Y248">
        <f t="shared" si="93"/>
        <v>6</v>
      </c>
      <c r="Z248">
        <f t="shared" si="94"/>
        <v>5</v>
      </c>
      <c r="AA248">
        <f t="shared" si="94"/>
        <v>1</v>
      </c>
      <c r="AB248">
        <f t="shared" si="94"/>
        <v>1</v>
      </c>
      <c r="AC248">
        <f t="shared" si="94"/>
        <v>0</v>
      </c>
      <c r="AD248">
        <f t="shared" si="94"/>
        <v>3</v>
      </c>
      <c r="AE248">
        <f t="shared" si="94"/>
        <v>0</v>
      </c>
      <c r="AF248" s="56">
        <f t="shared" si="77"/>
        <v>21</v>
      </c>
      <c r="AG248" s="59">
        <f t="shared" si="78"/>
        <v>5</v>
      </c>
      <c r="AH248">
        <f t="shared" si="79"/>
        <v>0.23809523809523808</v>
      </c>
    </row>
    <row r="249" spans="1:34" ht="15" x14ac:dyDescent="0.2">
      <c r="A249">
        <v>102</v>
      </c>
      <c r="B249" s="57" t="s">
        <v>167</v>
      </c>
      <c r="C249" s="57"/>
      <c r="D249">
        <f t="shared" si="75"/>
        <v>109</v>
      </c>
      <c r="E249" s="1">
        <f t="shared" si="76"/>
        <v>24</v>
      </c>
      <c r="F249">
        <f t="shared" si="92"/>
        <v>7</v>
      </c>
      <c r="G249">
        <f t="shared" si="92"/>
        <v>3</v>
      </c>
      <c r="H249">
        <f t="shared" si="92"/>
        <v>1</v>
      </c>
      <c r="I249">
        <f t="shared" si="92"/>
        <v>1</v>
      </c>
      <c r="J249">
        <f t="shared" si="92"/>
        <v>8</v>
      </c>
      <c r="K249">
        <f t="shared" si="92"/>
        <v>1</v>
      </c>
      <c r="L249">
        <f t="shared" si="92"/>
        <v>1</v>
      </c>
      <c r="M249">
        <f t="shared" si="92"/>
        <v>6</v>
      </c>
      <c r="N249">
        <f t="shared" si="92"/>
        <v>2</v>
      </c>
      <c r="O249">
        <f t="shared" si="92"/>
        <v>0</v>
      </c>
      <c r="P249">
        <f t="shared" si="93"/>
        <v>0</v>
      </c>
      <c r="Q249">
        <f t="shared" si="93"/>
        <v>2</v>
      </c>
      <c r="R249">
        <f t="shared" si="93"/>
        <v>1</v>
      </c>
      <c r="S249">
        <f t="shared" si="93"/>
        <v>6</v>
      </c>
      <c r="T249">
        <f t="shared" si="93"/>
        <v>8</v>
      </c>
      <c r="U249">
        <f t="shared" si="93"/>
        <v>0</v>
      </c>
      <c r="V249">
        <f t="shared" si="93"/>
        <v>0</v>
      </c>
      <c r="W249">
        <f t="shared" si="93"/>
        <v>4</v>
      </c>
      <c r="X249">
        <f t="shared" si="93"/>
        <v>5</v>
      </c>
      <c r="Y249">
        <f t="shared" si="93"/>
        <v>17</v>
      </c>
      <c r="Z249">
        <f t="shared" si="94"/>
        <v>2</v>
      </c>
      <c r="AA249">
        <f t="shared" si="94"/>
        <v>0</v>
      </c>
      <c r="AB249">
        <f t="shared" si="94"/>
        <v>3</v>
      </c>
      <c r="AC249">
        <f t="shared" si="94"/>
        <v>0</v>
      </c>
      <c r="AD249">
        <f t="shared" si="94"/>
        <v>3</v>
      </c>
      <c r="AE249">
        <f t="shared" si="94"/>
        <v>0</v>
      </c>
      <c r="AF249" s="56">
        <f t="shared" si="77"/>
        <v>19</v>
      </c>
      <c r="AG249" s="59">
        <f t="shared" si="78"/>
        <v>4.541666666666667</v>
      </c>
      <c r="AH249">
        <f t="shared" si="79"/>
        <v>0.23903508771929827</v>
      </c>
    </row>
    <row r="250" spans="1:34" ht="15" x14ac:dyDescent="0.2">
      <c r="A250">
        <v>205</v>
      </c>
      <c r="B250" s="57" t="s">
        <v>269</v>
      </c>
      <c r="C250" s="57"/>
      <c r="D250">
        <f t="shared" si="75"/>
        <v>109</v>
      </c>
      <c r="E250" s="1">
        <f t="shared" si="76"/>
        <v>19</v>
      </c>
      <c r="F250">
        <f t="shared" si="92"/>
        <v>11</v>
      </c>
      <c r="G250">
        <f t="shared" si="92"/>
        <v>1</v>
      </c>
      <c r="H250">
        <f t="shared" si="92"/>
        <v>2</v>
      </c>
      <c r="I250">
        <f t="shared" si="92"/>
        <v>3</v>
      </c>
      <c r="J250">
        <f t="shared" si="92"/>
        <v>12</v>
      </c>
      <c r="K250">
        <f t="shared" si="92"/>
        <v>2</v>
      </c>
      <c r="L250">
        <f t="shared" si="92"/>
        <v>1</v>
      </c>
      <c r="M250">
        <f t="shared" si="92"/>
        <v>3</v>
      </c>
      <c r="N250">
        <f t="shared" si="92"/>
        <v>5</v>
      </c>
      <c r="O250">
        <f t="shared" si="92"/>
        <v>0</v>
      </c>
      <c r="P250">
        <f t="shared" si="93"/>
        <v>1</v>
      </c>
      <c r="Q250">
        <f t="shared" si="93"/>
        <v>0</v>
      </c>
      <c r="R250">
        <f t="shared" si="93"/>
        <v>1</v>
      </c>
      <c r="S250">
        <f t="shared" si="93"/>
        <v>7</v>
      </c>
      <c r="T250">
        <f t="shared" si="93"/>
        <v>4</v>
      </c>
      <c r="U250">
        <f t="shared" si="93"/>
        <v>0</v>
      </c>
      <c r="V250">
        <f t="shared" si="93"/>
        <v>0</v>
      </c>
      <c r="W250">
        <f t="shared" si="93"/>
        <v>9</v>
      </c>
      <c r="X250">
        <f t="shared" si="93"/>
        <v>8</v>
      </c>
      <c r="Y250">
        <f t="shared" si="93"/>
        <v>12</v>
      </c>
      <c r="Z250">
        <f t="shared" si="94"/>
        <v>2</v>
      </c>
      <c r="AA250">
        <f t="shared" si="94"/>
        <v>1</v>
      </c>
      <c r="AB250">
        <f t="shared" si="94"/>
        <v>1</v>
      </c>
      <c r="AC250">
        <f t="shared" si="94"/>
        <v>0</v>
      </c>
      <c r="AD250">
        <f t="shared" si="94"/>
        <v>1</v>
      </c>
      <c r="AE250">
        <f t="shared" si="94"/>
        <v>0</v>
      </c>
      <c r="AF250" s="56">
        <f t="shared" si="77"/>
        <v>20</v>
      </c>
      <c r="AG250" s="59">
        <f t="shared" si="78"/>
        <v>5.7368421052631575</v>
      </c>
      <c r="AH250">
        <f t="shared" si="79"/>
        <v>0.2868421052631579</v>
      </c>
    </row>
    <row r="251" spans="1:34" ht="15" x14ac:dyDescent="0.2">
      <c r="A251">
        <v>470</v>
      </c>
      <c r="B251" s="57" t="s">
        <v>509</v>
      </c>
      <c r="C251" s="57"/>
      <c r="D251">
        <f t="shared" si="75"/>
        <v>109</v>
      </c>
      <c r="E251" s="1">
        <f t="shared" si="76"/>
        <v>20</v>
      </c>
      <c r="F251">
        <f t="shared" si="92"/>
        <v>8</v>
      </c>
      <c r="G251">
        <f t="shared" si="92"/>
        <v>2</v>
      </c>
      <c r="H251">
        <f t="shared" si="92"/>
        <v>2</v>
      </c>
      <c r="I251">
        <f t="shared" si="92"/>
        <v>1</v>
      </c>
      <c r="J251">
        <f t="shared" si="92"/>
        <v>13</v>
      </c>
      <c r="K251">
        <f t="shared" si="92"/>
        <v>2</v>
      </c>
      <c r="L251">
        <f t="shared" si="92"/>
        <v>4</v>
      </c>
      <c r="M251">
        <f t="shared" si="92"/>
        <v>2</v>
      </c>
      <c r="N251">
        <f t="shared" si="92"/>
        <v>4</v>
      </c>
      <c r="O251">
        <f t="shared" si="92"/>
        <v>0</v>
      </c>
      <c r="P251">
        <f t="shared" si="93"/>
        <v>0</v>
      </c>
      <c r="Q251">
        <f t="shared" si="93"/>
        <v>9</v>
      </c>
      <c r="R251">
        <f t="shared" si="93"/>
        <v>4</v>
      </c>
      <c r="S251">
        <f t="shared" si="93"/>
        <v>3</v>
      </c>
      <c r="T251">
        <f t="shared" si="93"/>
        <v>8</v>
      </c>
      <c r="U251">
        <f t="shared" si="93"/>
        <v>3</v>
      </c>
      <c r="V251">
        <f t="shared" si="93"/>
        <v>0</v>
      </c>
      <c r="W251">
        <f t="shared" si="93"/>
        <v>3</v>
      </c>
      <c r="X251">
        <f t="shared" si="93"/>
        <v>5</v>
      </c>
      <c r="Y251">
        <f t="shared" si="93"/>
        <v>7</v>
      </c>
      <c r="Z251">
        <f t="shared" si="94"/>
        <v>0</v>
      </c>
      <c r="AA251">
        <f t="shared" si="94"/>
        <v>2</v>
      </c>
      <c r="AB251">
        <f t="shared" si="94"/>
        <v>1</v>
      </c>
      <c r="AC251">
        <f t="shared" si="94"/>
        <v>2</v>
      </c>
      <c r="AD251">
        <f t="shared" si="94"/>
        <v>1</v>
      </c>
      <c r="AE251">
        <f t="shared" si="94"/>
        <v>0</v>
      </c>
      <c r="AF251" s="56">
        <f t="shared" si="77"/>
        <v>21</v>
      </c>
      <c r="AG251" s="59">
        <f t="shared" si="78"/>
        <v>5.45</v>
      </c>
      <c r="AH251">
        <f t="shared" si="79"/>
        <v>0.25952380952380955</v>
      </c>
    </row>
    <row r="252" spans="1:34" ht="15" x14ac:dyDescent="0.2">
      <c r="A252">
        <v>309</v>
      </c>
      <c r="B252" s="57" t="s">
        <v>369</v>
      </c>
      <c r="C252" s="57"/>
      <c r="D252">
        <f t="shared" si="75"/>
        <v>109</v>
      </c>
      <c r="E252" s="1">
        <f t="shared" si="76"/>
        <v>17</v>
      </c>
      <c r="F252">
        <f t="shared" ref="F252:O261" si="95">LEN($B252)-LEN(SUBSTITUTE($B252,F$1,""))</f>
        <v>9</v>
      </c>
      <c r="G252">
        <f t="shared" si="95"/>
        <v>1</v>
      </c>
      <c r="H252">
        <f t="shared" si="95"/>
        <v>2</v>
      </c>
      <c r="I252">
        <f t="shared" si="95"/>
        <v>1</v>
      </c>
      <c r="J252">
        <f t="shared" si="95"/>
        <v>11</v>
      </c>
      <c r="K252">
        <f t="shared" si="95"/>
        <v>2</v>
      </c>
      <c r="L252">
        <f t="shared" si="95"/>
        <v>3</v>
      </c>
      <c r="M252">
        <f t="shared" si="95"/>
        <v>4</v>
      </c>
      <c r="N252">
        <f t="shared" si="95"/>
        <v>7</v>
      </c>
      <c r="O252">
        <f t="shared" si="95"/>
        <v>0</v>
      </c>
      <c r="P252">
        <f t="shared" ref="P252:Y261" si="96">LEN($B252)-LEN(SUBSTITUTE($B252,P$1,""))</f>
        <v>0</v>
      </c>
      <c r="Q252">
        <f t="shared" si="96"/>
        <v>5</v>
      </c>
      <c r="R252">
        <f t="shared" si="96"/>
        <v>5</v>
      </c>
      <c r="S252">
        <f t="shared" si="96"/>
        <v>4</v>
      </c>
      <c r="T252">
        <f t="shared" si="96"/>
        <v>3</v>
      </c>
      <c r="U252">
        <f t="shared" si="96"/>
        <v>4</v>
      </c>
      <c r="V252">
        <f t="shared" si="96"/>
        <v>0</v>
      </c>
      <c r="W252">
        <f t="shared" si="96"/>
        <v>12</v>
      </c>
      <c r="X252">
        <f t="shared" si="96"/>
        <v>4</v>
      </c>
      <c r="Y252">
        <f t="shared" si="96"/>
        <v>4</v>
      </c>
      <c r="Z252">
        <f t="shared" ref="Z252:AE261" si="97">LEN($B252)-LEN(SUBSTITUTE($B252,Z$1,""))</f>
        <v>2</v>
      </c>
      <c r="AA252">
        <f t="shared" si="97"/>
        <v>1</v>
      </c>
      <c r="AB252">
        <f t="shared" si="97"/>
        <v>1</v>
      </c>
      <c r="AC252">
        <f t="shared" si="97"/>
        <v>0</v>
      </c>
      <c r="AD252">
        <f t="shared" si="97"/>
        <v>1</v>
      </c>
      <c r="AE252">
        <f t="shared" si="97"/>
        <v>1</v>
      </c>
      <c r="AF252" s="56">
        <f t="shared" si="77"/>
        <v>22</v>
      </c>
      <c r="AG252" s="59">
        <f t="shared" si="78"/>
        <v>6.4117647058823533</v>
      </c>
      <c r="AH252">
        <f t="shared" si="79"/>
        <v>0.29144385026737968</v>
      </c>
    </row>
    <row r="253" spans="1:34" ht="15" x14ac:dyDescent="0.2">
      <c r="A253">
        <v>429</v>
      </c>
      <c r="B253" s="57" t="s">
        <v>474</v>
      </c>
      <c r="C253" s="57"/>
      <c r="D253">
        <f t="shared" si="75"/>
        <v>108</v>
      </c>
      <c r="E253" s="1">
        <f t="shared" si="76"/>
        <v>20</v>
      </c>
      <c r="F253">
        <f t="shared" si="95"/>
        <v>8</v>
      </c>
      <c r="G253">
        <f t="shared" si="95"/>
        <v>1</v>
      </c>
      <c r="H253">
        <f t="shared" si="95"/>
        <v>2</v>
      </c>
      <c r="I253">
        <f t="shared" si="95"/>
        <v>1</v>
      </c>
      <c r="J253">
        <f t="shared" si="95"/>
        <v>6</v>
      </c>
      <c r="K253">
        <f t="shared" si="95"/>
        <v>4</v>
      </c>
      <c r="L253">
        <f t="shared" si="95"/>
        <v>1</v>
      </c>
      <c r="M253">
        <f t="shared" si="95"/>
        <v>1</v>
      </c>
      <c r="N253">
        <f t="shared" si="95"/>
        <v>5</v>
      </c>
      <c r="O253">
        <f t="shared" si="95"/>
        <v>0</v>
      </c>
      <c r="P253">
        <f t="shared" si="96"/>
        <v>1</v>
      </c>
      <c r="Q253">
        <f t="shared" si="96"/>
        <v>6</v>
      </c>
      <c r="R253">
        <f t="shared" si="96"/>
        <v>2</v>
      </c>
      <c r="S253">
        <f t="shared" si="96"/>
        <v>5</v>
      </c>
      <c r="T253">
        <f t="shared" si="96"/>
        <v>8</v>
      </c>
      <c r="U253">
        <f t="shared" si="96"/>
        <v>3</v>
      </c>
      <c r="V253">
        <f t="shared" si="96"/>
        <v>2</v>
      </c>
      <c r="W253">
        <f t="shared" si="96"/>
        <v>6</v>
      </c>
      <c r="X253">
        <f t="shared" si="96"/>
        <v>14</v>
      </c>
      <c r="Y253">
        <f t="shared" si="96"/>
        <v>6</v>
      </c>
      <c r="Z253">
        <f t="shared" si="97"/>
        <v>3</v>
      </c>
      <c r="AA253">
        <f t="shared" si="97"/>
        <v>0</v>
      </c>
      <c r="AB253">
        <f t="shared" si="97"/>
        <v>0</v>
      </c>
      <c r="AC253">
        <f t="shared" si="97"/>
        <v>0</v>
      </c>
      <c r="AD253">
        <f t="shared" si="97"/>
        <v>0</v>
      </c>
      <c r="AE253">
        <f t="shared" si="97"/>
        <v>0</v>
      </c>
      <c r="AF253" s="56">
        <f t="shared" si="77"/>
        <v>20</v>
      </c>
      <c r="AG253" s="59">
        <f t="shared" si="78"/>
        <v>5.4</v>
      </c>
      <c r="AH253">
        <f t="shared" si="79"/>
        <v>0.27</v>
      </c>
    </row>
    <row r="254" spans="1:34" ht="15" x14ac:dyDescent="0.2">
      <c r="A254">
        <v>571</v>
      </c>
      <c r="B254" s="57" t="s">
        <v>592</v>
      </c>
      <c r="C254" s="57"/>
      <c r="D254">
        <f t="shared" si="75"/>
        <v>108</v>
      </c>
      <c r="E254" s="1">
        <f t="shared" si="76"/>
        <v>20</v>
      </c>
      <c r="F254">
        <f t="shared" si="95"/>
        <v>7</v>
      </c>
      <c r="G254">
        <f t="shared" si="95"/>
        <v>2</v>
      </c>
      <c r="H254">
        <f t="shared" si="95"/>
        <v>1</v>
      </c>
      <c r="I254">
        <f t="shared" si="95"/>
        <v>0</v>
      </c>
      <c r="J254">
        <f t="shared" si="95"/>
        <v>11</v>
      </c>
      <c r="K254">
        <f t="shared" si="95"/>
        <v>4</v>
      </c>
      <c r="L254">
        <f t="shared" si="95"/>
        <v>2</v>
      </c>
      <c r="M254">
        <f t="shared" si="95"/>
        <v>3</v>
      </c>
      <c r="N254">
        <f t="shared" si="95"/>
        <v>5</v>
      </c>
      <c r="O254">
        <f t="shared" si="95"/>
        <v>1</v>
      </c>
      <c r="P254">
        <f t="shared" si="96"/>
        <v>2</v>
      </c>
      <c r="Q254">
        <f t="shared" si="96"/>
        <v>4</v>
      </c>
      <c r="R254">
        <f t="shared" si="96"/>
        <v>1</v>
      </c>
      <c r="S254">
        <f t="shared" si="96"/>
        <v>2</v>
      </c>
      <c r="T254">
        <f t="shared" si="96"/>
        <v>6</v>
      </c>
      <c r="U254">
        <f t="shared" si="96"/>
        <v>3</v>
      </c>
      <c r="V254">
        <f t="shared" si="96"/>
        <v>0</v>
      </c>
      <c r="W254">
        <f t="shared" si="96"/>
        <v>5</v>
      </c>
      <c r="X254">
        <f t="shared" si="96"/>
        <v>8</v>
      </c>
      <c r="Y254">
        <f t="shared" si="96"/>
        <v>7</v>
      </c>
      <c r="Z254">
        <f t="shared" si="97"/>
        <v>1</v>
      </c>
      <c r="AA254">
        <f t="shared" si="97"/>
        <v>0</v>
      </c>
      <c r="AB254">
        <f t="shared" si="97"/>
        <v>3</v>
      </c>
      <c r="AC254">
        <f t="shared" si="97"/>
        <v>0</v>
      </c>
      <c r="AD254">
        <f t="shared" si="97"/>
        <v>1</v>
      </c>
      <c r="AE254">
        <f t="shared" si="97"/>
        <v>0</v>
      </c>
      <c r="AF254" s="56">
        <f t="shared" si="77"/>
        <v>21</v>
      </c>
      <c r="AG254" s="59">
        <f t="shared" si="78"/>
        <v>5.4</v>
      </c>
      <c r="AH254">
        <f t="shared" si="79"/>
        <v>0.25714285714285717</v>
      </c>
    </row>
    <row r="255" spans="1:34" ht="15" x14ac:dyDescent="0.2">
      <c r="A255">
        <v>534</v>
      </c>
      <c r="B255" s="57" t="s">
        <v>563</v>
      </c>
      <c r="C255" s="57"/>
      <c r="D255">
        <f t="shared" si="75"/>
        <v>108</v>
      </c>
      <c r="E255" s="1">
        <f t="shared" si="76"/>
        <v>21</v>
      </c>
      <c r="F255">
        <f t="shared" si="95"/>
        <v>6</v>
      </c>
      <c r="G255">
        <f t="shared" si="95"/>
        <v>2</v>
      </c>
      <c r="H255">
        <f t="shared" si="95"/>
        <v>1</v>
      </c>
      <c r="I255">
        <f t="shared" si="95"/>
        <v>2</v>
      </c>
      <c r="J255">
        <f t="shared" si="95"/>
        <v>12</v>
      </c>
      <c r="K255">
        <f t="shared" si="95"/>
        <v>1</v>
      </c>
      <c r="L255">
        <f t="shared" si="95"/>
        <v>3</v>
      </c>
      <c r="M255">
        <f t="shared" si="95"/>
        <v>1</v>
      </c>
      <c r="N255">
        <f t="shared" si="95"/>
        <v>8</v>
      </c>
      <c r="O255">
        <f t="shared" si="95"/>
        <v>0</v>
      </c>
      <c r="P255">
        <f t="shared" si="96"/>
        <v>3</v>
      </c>
      <c r="Q255">
        <f t="shared" si="96"/>
        <v>7</v>
      </c>
      <c r="R255">
        <f t="shared" si="96"/>
        <v>1</v>
      </c>
      <c r="S255">
        <f t="shared" si="96"/>
        <v>7</v>
      </c>
      <c r="T255">
        <f t="shared" si="96"/>
        <v>5</v>
      </c>
      <c r="U255">
        <f t="shared" si="96"/>
        <v>0</v>
      </c>
      <c r="V255">
        <f t="shared" si="96"/>
        <v>0</v>
      </c>
      <c r="W255">
        <f t="shared" si="96"/>
        <v>3</v>
      </c>
      <c r="X255">
        <f t="shared" si="96"/>
        <v>3</v>
      </c>
      <c r="Y255">
        <f t="shared" si="96"/>
        <v>7</v>
      </c>
      <c r="Z255">
        <f t="shared" si="97"/>
        <v>2</v>
      </c>
      <c r="AA255">
        <f t="shared" si="97"/>
        <v>1</v>
      </c>
      <c r="AB255">
        <f t="shared" si="97"/>
        <v>2</v>
      </c>
      <c r="AC255">
        <f t="shared" si="97"/>
        <v>1</v>
      </c>
      <c r="AD255">
        <f t="shared" si="97"/>
        <v>4</v>
      </c>
      <c r="AE255">
        <f t="shared" si="97"/>
        <v>0</v>
      </c>
      <c r="AF255" s="56">
        <f t="shared" si="77"/>
        <v>22</v>
      </c>
      <c r="AG255" s="59">
        <f t="shared" si="78"/>
        <v>5.1428571428571432</v>
      </c>
      <c r="AH255">
        <f t="shared" si="79"/>
        <v>0.23376623376623379</v>
      </c>
    </row>
    <row r="256" spans="1:34" ht="15" x14ac:dyDescent="0.2">
      <c r="A256">
        <v>245</v>
      </c>
      <c r="B256" s="57" t="s">
        <v>308</v>
      </c>
      <c r="C256" s="57"/>
      <c r="D256">
        <f t="shared" si="75"/>
        <v>107</v>
      </c>
      <c r="E256" s="1">
        <f t="shared" si="76"/>
        <v>19</v>
      </c>
      <c r="F256">
        <f t="shared" si="95"/>
        <v>13</v>
      </c>
      <c r="G256">
        <f t="shared" si="95"/>
        <v>0</v>
      </c>
      <c r="H256">
        <f t="shared" si="95"/>
        <v>1</v>
      </c>
      <c r="I256">
        <f t="shared" si="95"/>
        <v>5</v>
      </c>
      <c r="J256">
        <f t="shared" si="95"/>
        <v>9</v>
      </c>
      <c r="K256">
        <f t="shared" si="95"/>
        <v>2</v>
      </c>
      <c r="L256">
        <f t="shared" si="95"/>
        <v>1</v>
      </c>
      <c r="M256">
        <f t="shared" si="95"/>
        <v>3</v>
      </c>
      <c r="N256">
        <f t="shared" si="95"/>
        <v>7</v>
      </c>
      <c r="O256">
        <f t="shared" si="95"/>
        <v>0</v>
      </c>
      <c r="P256">
        <f t="shared" si="96"/>
        <v>0</v>
      </c>
      <c r="Q256">
        <f t="shared" si="96"/>
        <v>5</v>
      </c>
      <c r="R256">
        <f t="shared" si="96"/>
        <v>1</v>
      </c>
      <c r="S256">
        <f t="shared" si="96"/>
        <v>3</v>
      </c>
      <c r="T256">
        <f t="shared" si="96"/>
        <v>6</v>
      </c>
      <c r="U256">
        <f t="shared" si="96"/>
        <v>2</v>
      </c>
      <c r="V256">
        <f t="shared" si="96"/>
        <v>0</v>
      </c>
      <c r="W256">
        <f t="shared" si="96"/>
        <v>8</v>
      </c>
      <c r="X256">
        <f t="shared" si="96"/>
        <v>3</v>
      </c>
      <c r="Y256">
        <f t="shared" si="96"/>
        <v>5</v>
      </c>
      <c r="Z256">
        <f t="shared" si="97"/>
        <v>2</v>
      </c>
      <c r="AA256">
        <f t="shared" si="97"/>
        <v>2</v>
      </c>
      <c r="AB256">
        <f t="shared" si="97"/>
        <v>1</v>
      </c>
      <c r="AC256">
        <f t="shared" si="97"/>
        <v>0</v>
      </c>
      <c r="AD256">
        <f t="shared" si="97"/>
        <v>2</v>
      </c>
      <c r="AE256">
        <f t="shared" si="97"/>
        <v>0</v>
      </c>
      <c r="AF256" s="56">
        <f t="shared" si="77"/>
        <v>20</v>
      </c>
      <c r="AG256" s="59">
        <f t="shared" si="78"/>
        <v>5.6315789473684212</v>
      </c>
      <c r="AH256">
        <f t="shared" si="79"/>
        <v>0.28157894736842104</v>
      </c>
    </row>
    <row r="257" spans="1:34" ht="15" x14ac:dyDescent="0.2">
      <c r="A257">
        <v>204</v>
      </c>
      <c r="B257" s="57" t="s">
        <v>268</v>
      </c>
      <c r="C257" s="57"/>
      <c r="D257">
        <f t="shared" si="75"/>
        <v>107</v>
      </c>
      <c r="E257" s="1">
        <f t="shared" si="76"/>
        <v>16</v>
      </c>
      <c r="F257">
        <f t="shared" si="95"/>
        <v>6</v>
      </c>
      <c r="G257">
        <f t="shared" si="95"/>
        <v>1</v>
      </c>
      <c r="H257">
        <f t="shared" si="95"/>
        <v>2</v>
      </c>
      <c r="I257">
        <f t="shared" si="95"/>
        <v>4</v>
      </c>
      <c r="J257">
        <f t="shared" si="95"/>
        <v>9</v>
      </c>
      <c r="K257">
        <f t="shared" si="95"/>
        <v>0</v>
      </c>
      <c r="L257">
        <f t="shared" si="95"/>
        <v>2</v>
      </c>
      <c r="M257">
        <f t="shared" si="95"/>
        <v>2</v>
      </c>
      <c r="N257">
        <f t="shared" si="95"/>
        <v>10</v>
      </c>
      <c r="O257">
        <f t="shared" si="95"/>
        <v>0</v>
      </c>
      <c r="P257">
        <f t="shared" si="96"/>
        <v>0</v>
      </c>
      <c r="Q257">
        <f t="shared" si="96"/>
        <v>7</v>
      </c>
      <c r="R257">
        <f t="shared" si="96"/>
        <v>2</v>
      </c>
      <c r="S257">
        <f t="shared" si="96"/>
        <v>10</v>
      </c>
      <c r="T257">
        <f t="shared" si="96"/>
        <v>3</v>
      </c>
      <c r="U257">
        <f t="shared" si="96"/>
        <v>2</v>
      </c>
      <c r="V257">
        <f t="shared" si="96"/>
        <v>0</v>
      </c>
      <c r="W257">
        <f t="shared" si="96"/>
        <v>3</v>
      </c>
      <c r="X257">
        <f t="shared" si="96"/>
        <v>6</v>
      </c>
      <c r="Y257">
        <f t="shared" si="96"/>
        <v>5</v>
      </c>
      <c r="Z257">
        <f t="shared" si="97"/>
        <v>5</v>
      </c>
      <c r="AA257">
        <f t="shared" si="97"/>
        <v>2</v>
      </c>
      <c r="AB257">
        <f t="shared" si="97"/>
        <v>0</v>
      </c>
      <c r="AC257">
        <f t="shared" si="97"/>
        <v>1</v>
      </c>
      <c r="AD257">
        <f t="shared" si="97"/>
        <v>3</v>
      </c>
      <c r="AE257">
        <f t="shared" si="97"/>
        <v>0</v>
      </c>
      <c r="AF257" s="56">
        <f t="shared" si="77"/>
        <v>20</v>
      </c>
      <c r="AG257" s="59">
        <f t="shared" si="78"/>
        <v>6.6875</v>
      </c>
      <c r="AH257">
        <f t="shared" si="79"/>
        <v>0.33437499999999998</v>
      </c>
    </row>
    <row r="258" spans="1:34" ht="15" x14ac:dyDescent="0.2">
      <c r="A258">
        <v>553</v>
      </c>
      <c r="B258" s="57" t="s">
        <v>577</v>
      </c>
      <c r="C258" s="57"/>
      <c r="D258">
        <f t="shared" ref="D258:D321" si="98">LEN(B258)</f>
        <v>106</v>
      </c>
      <c r="E258" s="1">
        <f t="shared" ref="E258:E321" si="99">IF(LEN(TRIM(B258))=0,0,LEN(TRIM(B258))-LEN(SUBSTITUTE(B258," ",""))+1)</f>
        <v>18</v>
      </c>
      <c r="F258">
        <f t="shared" si="95"/>
        <v>10</v>
      </c>
      <c r="G258">
        <f t="shared" si="95"/>
        <v>1</v>
      </c>
      <c r="H258">
        <f t="shared" si="95"/>
        <v>2</v>
      </c>
      <c r="I258">
        <f t="shared" si="95"/>
        <v>0</v>
      </c>
      <c r="J258">
        <f t="shared" si="95"/>
        <v>11</v>
      </c>
      <c r="K258">
        <f t="shared" si="95"/>
        <v>2</v>
      </c>
      <c r="L258">
        <f t="shared" si="95"/>
        <v>0</v>
      </c>
      <c r="M258">
        <f t="shared" si="95"/>
        <v>6</v>
      </c>
      <c r="N258">
        <f t="shared" si="95"/>
        <v>6</v>
      </c>
      <c r="O258">
        <f t="shared" si="95"/>
        <v>0</v>
      </c>
      <c r="P258">
        <f t="shared" si="96"/>
        <v>1</v>
      </c>
      <c r="Q258">
        <f t="shared" si="96"/>
        <v>3</v>
      </c>
      <c r="R258">
        <f t="shared" si="96"/>
        <v>5</v>
      </c>
      <c r="S258">
        <f t="shared" si="96"/>
        <v>8</v>
      </c>
      <c r="T258">
        <f t="shared" si="96"/>
        <v>4</v>
      </c>
      <c r="U258">
        <f t="shared" si="96"/>
        <v>2</v>
      </c>
      <c r="V258">
        <f t="shared" si="96"/>
        <v>0</v>
      </c>
      <c r="W258">
        <f t="shared" si="96"/>
        <v>2</v>
      </c>
      <c r="X258">
        <f t="shared" si="96"/>
        <v>9</v>
      </c>
      <c r="Y258">
        <f t="shared" si="96"/>
        <v>9</v>
      </c>
      <c r="Z258">
        <f t="shared" si="97"/>
        <v>1</v>
      </c>
      <c r="AA258">
        <f t="shared" si="97"/>
        <v>0</v>
      </c>
      <c r="AB258">
        <f t="shared" si="97"/>
        <v>0</v>
      </c>
      <c r="AC258">
        <f t="shared" si="97"/>
        <v>0</v>
      </c>
      <c r="AD258">
        <f t="shared" si="97"/>
        <v>5</v>
      </c>
      <c r="AE258">
        <f t="shared" si="97"/>
        <v>0</v>
      </c>
      <c r="AF258" s="56">
        <f t="shared" ref="AF258:AF321" si="100">26-COUNTIF(F258:AE258,0)</f>
        <v>18</v>
      </c>
      <c r="AG258" s="59">
        <f t="shared" ref="AG258:AG321" si="101">D258/E258</f>
        <v>5.8888888888888893</v>
      </c>
      <c r="AH258">
        <f t="shared" ref="AH258:AH321" si="102">AG258/AF258</f>
        <v>0.3271604938271605</v>
      </c>
    </row>
    <row r="259" spans="1:34" ht="15" x14ac:dyDescent="0.2">
      <c r="A259">
        <v>409</v>
      </c>
      <c r="B259" s="57" t="s">
        <v>674</v>
      </c>
      <c r="C259" s="57"/>
      <c r="D259">
        <f t="shared" si="98"/>
        <v>106</v>
      </c>
      <c r="E259" s="1">
        <f t="shared" si="99"/>
        <v>17</v>
      </c>
      <c r="F259">
        <f t="shared" si="95"/>
        <v>4</v>
      </c>
      <c r="G259">
        <f t="shared" si="95"/>
        <v>3</v>
      </c>
      <c r="H259">
        <f t="shared" si="95"/>
        <v>5</v>
      </c>
      <c r="I259">
        <f t="shared" si="95"/>
        <v>2</v>
      </c>
      <c r="J259">
        <f t="shared" si="95"/>
        <v>17</v>
      </c>
      <c r="K259">
        <f t="shared" si="95"/>
        <v>2</v>
      </c>
      <c r="L259">
        <f t="shared" si="95"/>
        <v>0</v>
      </c>
      <c r="M259">
        <f t="shared" si="95"/>
        <v>4</v>
      </c>
      <c r="N259">
        <f t="shared" si="95"/>
        <v>8</v>
      </c>
      <c r="O259">
        <f t="shared" si="95"/>
        <v>0</v>
      </c>
      <c r="P259">
        <f t="shared" si="96"/>
        <v>0</v>
      </c>
      <c r="Q259">
        <f t="shared" si="96"/>
        <v>1</v>
      </c>
      <c r="R259">
        <f t="shared" si="96"/>
        <v>0</v>
      </c>
      <c r="S259">
        <f t="shared" si="96"/>
        <v>8</v>
      </c>
      <c r="T259">
        <f t="shared" si="96"/>
        <v>3</v>
      </c>
      <c r="U259">
        <f t="shared" si="96"/>
        <v>2</v>
      </c>
      <c r="V259">
        <f t="shared" si="96"/>
        <v>0</v>
      </c>
      <c r="W259">
        <f t="shared" si="96"/>
        <v>8</v>
      </c>
      <c r="X259">
        <f t="shared" si="96"/>
        <v>3</v>
      </c>
      <c r="Y259">
        <f t="shared" si="96"/>
        <v>10</v>
      </c>
      <c r="Z259">
        <f t="shared" si="97"/>
        <v>1</v>
      </c>
      <c r="AA259">
        <f t="shared" si="97"/>
        <v>0</v>
      </c>
      <c r="AB259">
        <f t="shared" si="97"/>
        <v>1</v>
      </c>
      <c r="AC259">
        <f t="shared" si="97"/>
        <v>0</v>
      </c>
      <c r="AD259">
        <f t="shared" si="97"/>
        <v>2</v>
      </c>
      <c r="AE259">
        <f t="shared" si="97"/>
        <v>0</v>
      </c>
      <c r="AF259" s="56">
        <f t="shared" si="100"/>
        <v>18</v>
      </c>
      <c r="AG259" s="59">
        <f t="shared" si="101"/>
        <v>6.2352941176470589</v>
      </c>
      <c r="AH259">
        <f t="shared" si="102"/>
        <v>0.34640522875816993</v>
      </c>
    </row>
    <row r="260" spans="1:34" ht="15" x14ac:dyDescent="0.2">
      <c r="A260">
        <v>174</v>
      </c>
      <c r="B260" s="57" t="s">
        <v>238</v>
      </c>
      <c r="C260" s="57"/>
      <c r="D260">
        <f t="shared" si="98"/>
        <v>106</v>
      </c>
      <c r="E260" s="1">
        <f t="shared" si="99"/>
        <v>18</v>
      </c>
      <c r="F260">
        <f t="shared" si="95"/>
        <v>4</v>
      </c>
      <c r="G260">
        <f t="shared" si="95"/>
        <v>2</v>
      </c>
      <c r="H260">
        <f t="shared" si="95"/>
        <v>1</v>
      </c>
      <c r="I260">
        <f t="shared" si="95"/>
        <v>5</v>
      </c>
      <c r="J260">
        <f t="shared" si="95"/>
        <v>10</v>
      </c>
      <c r="K260">
        <f t="shared" si="95"/>
        <v>0</v>
      </c>
      <c r="L260">
        <f t="shared" si="95"/>
        <v>0</v>
      </c>
      <c r="M260">
        <f t="shared" si="95"/>
        <v>1</v>
      </c>
      <c r="N260">
        <f t="shared" si="95"/>
        <v>8</v>
      </c>
      <c r="O260">
        <f t="shared" si="95"/>
        <v>0</v>
      </c>
      <c r="P260">
        <f t="shared" si="96"/>
        <v>3</v>
      </c>
      <c r="Q260">
        <f t="shared" si="96"/>
        <v>5</v>
      </c>
      <c r="R260">
        <f t="shared" si="96"/>
        <v>3</v>
      </c>
      <c r="S260">
        <f t="shared" si="96"/>
        <v>4</v>
      </c>
      <c r="T260">
        <f t="shared" si="96"/>
        <v>10</v>
      </c>
      <c r="U260">
        <f t="shared" si="96"/>
        <v>4</v>
      </c>
      <c r="V260">
        <f t="shared" si="96"/>
        <v>0</v>
      </c>
      <c r="W260">
        <f t="shared" si="96"/>
        <v>4</v>
      </c>
      <c r="X260">
        <f t="shared" si="96"/>
        <v>12</v>
      </c>
      <c r="Y260">
        <f t="shared" si="96"/>
        <v>5</v>
      </c>
      <c r="Z260">
        <f t="shared" si="97"/>
        <v>2</v>
      </c>
      <c r="AA260">
        <f t="shared" si="97"/>
        <v>1</v>
      </c>
      <c r="AB260">
        <f t="shared" si="97"/>
        <v>1</v>
      </c>
      <c r="AC260">
        <f t="shared" si="97"/>
        <v>0</v>
      </c>
      <c r="AD260">
        <f t="shared" si="97"/>
        <v>2</v>
      </c>
      <c r="AE260">
        <f t="shared" si="97"/>
        <v>0</v>
      </c>
      <c r="AF260" s="56">
        <f t="shared" si="100"/>
        <v>20</v>
      </c>
      <c r="AG260" s="59">
        <f t="shared" si="101"/>
        <v>5.8888888888888893</v>
      </c>
      <c r="AH260">
        <f t="shared" si="102"/>
        <v>0.29444444444444445</v>
      </c>
    </row>
    <row r="261" spans="1:34" ht="15" x14ac:dyDescent="0.2">
      <c r="A261">
        <v>292</v>
      </c>
      <c r="B261" s="57" t="s">
        <v>354</v>
      </c>
      <c r="C261" s="57"/>
      <c r="D261">
        <f t="shared" si="98"/>
        <v>106</v>
      </c>
      <c r="E261" s="1">
        <f t="shared" si="99"/>
        <v>20</v>
      </c>
      <c r="F261">
        <f t="shared" si="95"/>
        <v>5</v>
      </c>
      <c r="G261">
        <f t="shared" si="95"/>
        <v>2</v>
      </c>
      <c r="H261">
        <f t="shared" si="95"/>
        <v>0</v>
      </c>
      <c r="I261">
        <f t="shared" si="95"/>
        <v>1</v>
      </c>
      <c r="J261">
        <f t="shared" si="95"/>
        <v>9</v>
      </c>
      <c r="K261">
        <f t="shared" si="95"/>
        <v>0</v>
      </c>
      <c r="L261">
        <f t="shared" si="95"/>
        <v>1</v>
      </c>
      <c r="M261">
        <f t="shared" si="95"/>
        <v>5</v>
      </c>
      <c r="N261">
        <f t="shared" si="95"/>
        <v>7</v>
      </c>
      <c r="O261">
        <f t="shared" si="95"/>
        <v>1</v>
      </c>
      <c r="P261">
        <f t="shared" si="96"/>
        <v>2</v>
      </c>
      <c r="Q261">
        <f t="shared" si="96"/>
        <v>4</v>
      </c>
      <c r="R261">
        <f t="shared" si="96"/>
        <v>5</v>
      </c>
      <c r="S261">
        <f t="shared" si="96"/>
        <v>3</v>
      </c>
      <c r="T261">
        <f t="shared" si="96"/>
        <v>7</v>
      </c>
      <c r="U261">
        <f t="shared" si="96"/>
        <v>1</v>
      </c>
      <c r="V261">
        <f t="shared" si="96"/>
        <v>0</v>
      </c>
      <c r="W261">
        <f t="shared" si="96"/>
        <v>6</v>
      </c>
      <c r="X261">
        <f t="shared" si="96"/>
        <v>4</v>
      </c>
      <c r="Y261">
        <f t="shared" si="96"/>
        <v>11</v>
      </c>
      <c r="Z261">
        <f t="shared" si="97"/>
        <v>2</v>
      </c>
      <c r="AA261">
        <f t="shared" si="97"/>
        <v>1</v>
      </c>
      <c r="AB261">
        <f t="shared" si="97"/>
        <v>4</v>
      </c>
      <c r="AC261">
        <f t="shared" si="97"/>
        <v>0</v>
      </c>
      <c r="AD261">
        <f t="shared" si="97"/>
        <v>1</v>
      </c>
      <c r="AE261">
        <f t="shared" si="97"/>
        <v>0</v>
      </c>
      <c r="AF261" s="56">
        <f t="shared" si="100"/>
        <v>21</v>
      </c>
      <c r="AG261" s="59">
        <f t="shared" si="101"/>
        <v>5.3</v>
      </c>
      <c r="AH261">
        <f t="shared" si="102"/>
        <v>0.25238095238095237</v>
      </c>
    </row>
    <row r="262" spans="1:34" ht="15" x14ac:dyDescent="0.2">
      <c r="A262">
        <v>48</v>
      </c>
      <c r="B262" s="57" t="s">
        <v>113</v>
      </c>
      <c r="C262" s="57"/>
      <c r="D262">
        <f t="shared" si="98"/>
        <v>106</v>
      </c>
      <c r="E262" s="1">
        <f t="shared" si="99"/>
        <v>21</v>
      </c>
      <c r="F262">
        <f t="shared" ref="F262:O271" si="103">LEN($B262)-LEN(SUBSTITUTE($B262,F$1,""))</f>
        <v>11</v>
      </c>
      <c r="G262">
        <f t="shared" si="103"/>
        <v>0</v>
      </c>
      <c r="H262">
        <f t="shared" si="103"/>
        <v>1</v>
      </c>
      <c r="I262">
        <f t="shared" si="103"/>
        <v>3</v>
      </c>
      <c r="J262">
        <f t="shared" si="103"/>
        <v>10</v>
      </c>
      <c r="K262">
        <f t="shared" si="103"/>
        <v>1</v>
      </c>
      <c r="L262">
        <f t="shared" si="103"/>
        <v>1</v>
      </c>
      <c r="M262">
        <f t="shared" si="103"/>
        <v>4</v>
      </c>
      <c r="N262">
        <f t="shared" si="103"/>
        <v>3</v>
      </c>
      <c r="O262">
        <f t="shared" si="103"/>
        <v>0</v>
      </c>
      <c r="P262">
        <f t="shared" ref="P262:Y271" si="104">LEN($B262)-LEN(SUBSTITUTE($B262,P$1,""))</f>
        <v>2</v>
      </c>
      <c r="Q262">
        <f t="shared" si="104"/>
        <v>1</v>
      </c>
      <c r="R262">
        <f t="shared" si="104"/>
        <v>4</v>
      </c>
      <c r="S262">
        <f t="shared" si="104"/>
        <v>6</v>
      </c>
      <c r="T262">
        <f t="shared" si="104"/>
        <v>7</v>
      </c>
      <c r="U262">
        <f t="shared" si="104"/>
        <v>2</v>
      </c>
      <c r="V262">
        <f t="shared" si="104"/>
        <v>0</v>
      </c>
      <c r="W262">
        <f t="shared" si="104"/>
        <v>1</v>
      </c>
      <c r="X262">
        <f t="shared" si="104"/>
        <v>6</v>
      </c>
      <c r="Y262">
        <f t="shared" si="104"/>
        <v>4</v>
      </c>
      <c r="Z262">
        <f t="shared" ref="Z262:AE271" si="105">LEN($B262)-LEN(SUBSTITUTE($B262,Z$1,""))</f>
        <v>3</v>
      </c>
      <c r="AA262">
        <f t="shared" si="105"/>
        <v>2</v>
      </c>
      <c r="AB262">
        <f t="shared" si="105"/>
        <v>1</v>
      </c>
      <c r="AC262">
        <f t="shared" si="105"/>
        <v>0</v>
      </c>
      <c r="AD262">
        <f t="shared" si="105"/>
        <v>8</v>
      </c>
      <c r="AE262">
        <f t="shared" si="105"/>
        <v>0</v>
      </c>
      <c r="AF262" s="56">
        <f t="shared" si="100"/>
        <v>21</v>
      </c>
      <c r="AG262" s="59">
        <f t="shared" si="101"/>
        <v>5.0476190476190474</v>
      </c>
      <c r="AH262">
        <f t="shared" si="102"/>
        <v>0.24036281179138322</v>
      </c>
    </row>
    <row r="263" spans="1:34" ht="15" x14ac:dyDescent="0.2">
      <c r="A263">
        <v>495</v>
      </c>
      <c r="B263" s="57" t="s">
        <v>533</v>
      </c>
      <c r="C263" s="57"/>
      <c r="D263">
        <f t="shared" si="98"/>
        <v>106</v>
      </c>
      <c r="E263" s="1">
        <f t="shared" si="99"/>
        <v>16</v>
      </c>
      <c r="F263">
        <f t="shared" si="103"/>
        <v>6</v>
      </c>
      <c r="G263">
        <f t="shared" si="103"/>
        <v>2</v>
      </c>
      <c r="H263">
        <f t="shared" si="103"/>
        <v>3</v>
      </c>
      <c r="I263">
        <f t="shared" si="103"/>
        <v>3</v>
      </c>
      <c r="J263">
        <f t="shared" si="103"/>
        <v>14</v>
      </c>
      <c r="K263">
        <f t="shared" si="103"/>
        <v>1</v>
      </c>
      <c r="L263">
        <f t="shared" si="103"/>
        <v>3</v>
      </c>
      <c r="M263">
        <f t="shared" si="103"/>
        <v>2</v>
      </c>
      <c r="N263">
        <f t="shared" si="103"/>
        <v>3</v>
      </c>
      <c r="O263">
        <f t="shared" si="103"/>
        <v>1</v>
      </c>
      <c r="P263">
        <f t="shared" si="104"/>
        <v>0</v>
      </c>
      <c r="Q263">
        <f t="shared" si="104"/>
        <v>7</v>
      </c>
      <c r="R263">
        <f t="shared" si="104"/>
        <v>3</v>
      </c>
      <c r="S263">
        <f t="shared" si="104"/>
        <v>3</v>
      </c>
      <c r="T263">
        <f t="shared" si="104"/>
        <v>8</v>
      </c>
      <c r="U263">
        <f t="shared" si="104"/>
        <v>2</v>
      </c>
      <c r="V263">
        <f t="shared" si="104"/>
        <v>0</v>
      </c>
      <c r="W263">
        <f t="shared" si="104"/>
        <v>6</v>
      </c>
      <c r="X263">
        <f t="shared" si="104"/>
        <v>5</v>
      </c>
      <c r="Y263">
        <f t="shared" si="104"/>
        <v>7</v>
      </c>
      <c r="Z263">
        <f t="shared" si="105"/>
        <v>4</v>
      </c>
      <c r="AA263">
        <f t="shared" si="105"/>
        <v>2</v>
      </c>
      <c r="AB263">
        <f t="shared" si="105"/>
        <v>2</v>
      </c>
      <c r="AC263">
        <f t="shared" si="105"/>
        <v>1</v>
      </c>
      <c r="AD263">
        <f t="shared" si="105"/>
        <v>0</v>
      </c>
      <c r="AE263">
        <f t="shared" si="105"/>
        <v>0</v>
      </c>
      <c r="AF263" s="56">
        <f t="shared" si="100"/>
        <v>22</v>
      </c>
      <c r="AG263" s="59">
        <f t="shared" si="101"/>
        <v>6.625</v>
      </c>
      <c r="AH263">
        <f t="shared" si="102"/>
        <v>0.30113636363636365</v>
      </c>
    </row>
    <row r="264" spans="1:34" ht="15" x14ac:dyDescent="0.2">
      <c r="A264">
        <v>415</v>
      </c>
      <c r="B264" s="57" t="s">
        <v>464</v>
      </c>
      <c r="C264" s="57"/>
      <c r="D264">
        <f t="shared" si="98"/>
        <v>105</v>
      </c>
      <c r="E264" s="1">
        <f t="shared" si="99"/>
        <v>19</v>
      </c>
      <c r="F264">
        <f t="shared" si="103"/>
        <v>10</v>
      </c>
      <c r="G264">
        <f t="shared" si="103"/>
        <v>0</v>
      </c>
      <c r="H264">
        <f t="shared" si="103"/>
        <v>4</v>
      </c>
      <c r="I264">
        <f t="shared" si="103"/>
        <v>0</v>
      </c>
      <c r="J264">
        <f t="shared" si="103"/>
        <v>8</v>
      </c>
      <c r="K264">
        <f t="shared" si="103"/>
        <v>3</v>
      </c>
      <c r="L264">
        <f t="shared" si="103"/>
        <v>2</v>
      </c>
      <c r="M264">
        <f t="shared" si="103"/>
        <v>1</v>
      </c>
      <c r="N264">
        <f t="shared" si="103"/>
        <v>5</v>
      </c>
      <c r="O264">
        <f t="shared" si="103"/>
        <v>0</v>
      </c>
      <c r="P264">
        <f t="shared" si="104"/>
        <v>2</v>
      </c>
      <c r="Q264">
        <f t="shared" si="104"/>
        <v>1</v>
      </c>
      <c r="R264">
        <f t="shared" si="104"/>
        <v>4</v>
      </c>
      <c r="S264">
        <f t="shared" si="104"/>
        <v>1</v>
      </c>
      <c r="T264">
        <f t="shared" si="104"/>
        <v>7</v>
      </c>
      <c r="U264">
        <f t="shared" si="104"/>
        <v>4</v>
      </c>
      <c r="V264">
        <f t="shared" si="104"/>
        <v>0</v>
      </c>
      <c r="W264">
        <f t="shared" si="104"/>
        <v>13</v>
      </c>
      <c r="X264">
        <f t="shared" si="104"/>
        <v>5</v>
      </c>
      <c r="Y264">
        <f t="shared" si="104"/>
        <v>11</v>
      </c>
      <c r="Z264">
        <f t="shared" si="105"/>
        <v>0</v>
      </c>
      <c r="AA264">
        <f t="shared" si="105"/>
        <v>0</v>
      </c>
      <c r="AB264">
        <f t="shared" si="105"/>
        <v>1</v>
      </c>
      <c r="AC264">
        <f t="shared" si="105"/>
        <v>0</v>
      </c>
      <c r="AD264">
        <f t="shared" si="105"/>
        <v>1</v>
      </c>
      <c r="AE264">
        <f t="shared" si="105"/>
        <v>0</v>
      </c>
      <c r="AF264" s="56">
        <f t="shared" si="100"/>
        <v>18</v>
      </c>
      <c r="AG264" s="59">
        <f t="shared" si="101"/>
        <v>5.5263157894736841</v>
      </c>
      <c r="AH264">
        <f t="shared" si="102"/>
        <v>0.30701754385964913</v>
      </c>
    </row>
    <row r="265" spans="1:34" ht="15" x14ac:dyDescent="0.2">
      <c r="A265">
        <v>324</v>
      </c>
      <c r="B265" s="57" t="s">
        <v>384</v>
      </c>
      <c r="C265" s="57"/>
      <c r="D265">
        <f t="shared" si="98"/>
        <v>105</v>
      </c>
      <c r="E265" s="1">
        <f t="shared" si="99"/>
        <v>17</v>
      </c>
      <c r="F265">
        <f t="shared" si="103"/>
        <v>7</v>
      </c>
      <c r="G265">
        <f t="shared" si="103"/>
        <v>4</v>
      </c>
      <c r="H265">
        <f t="shared" si="103"/>
        <v>1</v>
      </c>
      <c r="I265">
        <f t="shared" si="103"/>
        <v>4</v>
      </c>
      <c r="J265">
        <f t="shared" si="103"/>
        <v>9</v>
      </c>
      <c r="K265">
        <f t="shared" si="103"/>
        <v>3</v>
      </c>
      <c r="L265">
        <f t="shared" si="103"/>
        <v>1</v>
      </c>
      <c r="M265">
        <f t="shared" si="103"/>
        <v>5</v>
      </c>
      <c r="N265">
        <f t="shared" si="103"/>
        <v>6</v>
      </c>
      <c r="O265">
        <f t="shared" si="103"/>
        <v>0</v>
      </c>
      <c r="P265">
        <f t="shared" si="104"/>
        <v>0</v>
      </c>
      <c r="Q265">
        <f t="shared" si="104"/>
        <v>3</v>
      </c>
      <c r="R265">
        <f t="shared" si="104"/>
        <v>0</v>
      </c>
      <c r="S265">
        <f t="shared" si="104"/>
        <v>7</v>
      </c>
      <c r="T265">
        <f t="shared" si="104"/>
        <v>7</v>
      </c>
      <c r="U265">
        <f t="shared" si="104"/>
        <v>4</v>
      </c>
      <c r="V265">
        <f t="shared" si="104"/>
        <v>0</v>
      </c>
      <c r="W265">
        <f t="shared" si="104"/>
        <v>6</v>
      </c>
      <c r="X265">
        <f t="shared" si="104"/>
        <v>6</v>
      </c>
      <c r="Y265">
        <f t="shared" si="104"/>
        <v>4</v>
      </c>
      <c r="Z265">
        <f t="shared" si="105"/>
        <v>0</v>
      </c>
      <c r="AA265">
        <f t="shared" si="105"/>
        <v>2</v>
      </c>
      <c r="AB265">
        <f t="shared" si="105"/>
        <v>3</v>
      </c>
      <c r="AC265">
        <f t="shared" si="105"/>
        <v>0</v>
      </c>
      <c r="AD265">
        <f t="shared" si="105"/>
        <v>2</v>
      </c>
      <c r="AE265">
        <f t="shared" si="105"/>
        <v>0</v>
      </c>
      <c r="AF265" s="56">
        <f t="shared" si="100"/>
        <v>19</v>
      </c>
      <c r="AG265" s="59">
        <f t="shared" si="101"/>
        <v>6.1764705882352944</v>
      </c>
      <c r="AH265">
        <f t="shared" si="102"/>
        <v>0.32507739938080499</v>
      </c>
    </row>
    <row r="266" spans="1:34" ht="15" x14ac:dyDescent="0.2">
      <c r="A266">
        <v>238</v>
      </c>
      <c r="B266" s="57" t="s">
        <v>301</v>
      </c>
      <c r="C266" s="57"/>
      <c r="D266">
        <f t="shared" si="98"/>
        <v>105</v>
      </c>
      <c r="E266" s="1">
        <f t="shared" si="99"/>
        <v>22</v>
      </c>
      <c r="F266">
        <f t="shared" si="103"/>
        <v>4</v>
      </c>
      <c r="G266">
        <f t="shared" si="103"/>
        <v>1</v>
      </c>
      <c r="H266">
        <f t="shared" si="103"/>
        <v>0</v>
      </c>
      <c r="I266">
        <f t="shared" si="103"/>
        <v>2</v>
      </c>
      <c r="J266">
        <f t="shared" si="103"/>
        <v>13</v>
      </c>
      <c r="K266">
        <f t="shared" si="103"/>
        <v>3</v>
      </c>
      <c r="L266">
        <f t="shared" si="103"/>
        <v>2</v>
      </c>
      <c r="M266">
        <f t="shared" si="103"/>
        <v>5</v>
      </c>
      <c r="N266">
        <f t="shared" si="103"/>
        <v>3</v>
      </c>
      <c r="O266">
        <f t="shared" si="103"/>
        <v>0</v>
      </c>
      <c r="P266">
        <f t="shared" si="104"/>
        <v>1</v>
      </c>
      <c r="Q266">
        <f t="shared" si="104"/>
        <v>0</v>
      </c>
      <c r="R266">
        <f t="shared" si="104"/>
        <v>2</v>
      </c>
      <c r="S266">
        <f t="shared" si="104"/>
        <v>7</v>
      </c>
      <c r="T266">
        <f t="shared" si="104"/>
        <v>8</v>
      </c>
      <c r="U266">
        <f t="shared" si="104"/>
        <v>3</v>
      </c>
      <c r="V266">
        <f t="shared" si="104"/>
        <v>0</v>
      </c>
      <c r="W266">
        <f t="shared" si="104"/>
        <v>4</v>
      </c>
      <c r="X266">
        <f t="shared" si="104"/>
        <v>7</v>
      </c>
      <c r="Y266">
        <f t="shared" si="104"/>
        <v>5</v>
      </c>
      <c r="Z266">
        <f t="shared" si="105"/>
        <v>6</v>
      </c>
      <c r="AA266">
        <f t="shared" si="105"/>
        <v>1</v>
      </c>
      <c r="AB266">
        <f t="shared" si="105"/>
        <v>1</v>
      </c>
      <c r="AC266">
        <f t="shared" si="105"/>
        <v>0</v>
      </c>
      <c r="AD266">
        <f t="shared" si="105"/>
        <v>3</v>
      </c>
      <c r="AE266">
        <f t="shared" si="105"/>
        <v>0</v>
      </c>
      <c r="AF266" s="56">
        <f t="shared" si="100"/>
        <v>20</v>
      </c>
      <c r="AG266" s="59">
        <f t="shared" si="101"/>
        <v>4.7727272727272725</v>
      </c>
      <c r="AH266">
        <f t="shared" si="102"/>
        <v>0.23863636363636362</v>
      </c>
    </row>
    <row r="267" spans="1:34" ht="15" x14ac:dyDescent="0.2">
      <c r="A267">
        <v>405</v>
      </c>
      <c r="B267" s="57" t="s">
        <v>456</v>
      </c>
      <c r="C267" s="57"/>
      <c r="D267">
        <f t="shared" si="98"/>
        <v>104</v>
      </c>
      <c r="E267" s="1">
        <f t="shared" si="99"/>
        <v>19</v>
      </c>
      <c r="F267">
        <f t="shared" si="103"/>
        <v>13</v>
      </c>
      <c r="G267">
        <f t="shared" si="103"/>
        <v>1</v>
      </c>
      <c r="H267">
        <f t="shared" si="103"/>
        <v>1</v>
      </c>
      <c r="I267">
        <f t="shared" si="103"/>
        <v>3</v>
      </c>
      <c r="J267">
        <f t="shared" si="103"/>
        <v>10</v>
      </c>
      <c r="K267">
        <f t="shared" si="103"/>
        <v>0</v>
      </c>
      <c r="L267">
        <f t="shared" si="103"/>
        <v>5</v>
      </c>
      <c r="M267">
        <f t="shared" si="103"/>
        <v>5</v>
      </c>
      <c r="N267">
        <f t="shared" si="103"/>
        <v>5</v>
      </c>
      <c r="O267">
        <f t="shared" si="103"/>
        <v>0</v>
      </c>
      <c r="P267">
        <f t="shared" si="104"/>
        <v>0</v>
      </c>
      <c r="Q267">
        <f t="shared" si="104"/>
        <v>3</v>
      </c>
      <c r="R267">
        <f t="shared" si="104"/>
        <v>3</v>
      </c>
      <c r="S267">
        <f t="shared" si="104"/>
        <v>5</v>
      </c>
      <c r="T267">
        <f t="shared" si="104"/>
        <v>3</v>
      </c>
      <c r="U267">
        <f t="shared" si="104"/>
        <v>3</v>
      </c>
      <c r="V267">
        <f t="shared" si="104"/>
        <v>0</v>
      </c>
      <c r="W267">
        <f t="shared" si="104"/>
        <v>6</v>
      </c>
      <c r="X267">
        <f t="shared" si="104"/>
        <v>5</v>
      </c>
      <c r="Y267">
        <f t="shared" si="104"/>
        <v>6</v>
      </c>
      <c r="Z267">
        <f t="shared" si="105"/>
        <v>1</v>
      </c>
      <c r="AA267">
        <f t="shared" si="105"/>
        <v>0</v>
      </c>
      <c r="AB267">
        <f t="shared" si="105"/>
        <v>2</v>
      </c>
      <c r="AC267">
        <f t="shared" si="105"/>
        <v>0</v>
      </c>
      <c r="AD267">
        <f t="shared" si="105"/>
        <v>2</v>
      </c>
      <c r="AE267">
        <f t="shared" si="105"/>
        <v>0</v>
      </c>
      <c r="AF267" s="56">
        <f t="shared" si="100"/>
        <v>19</v>
      </c>
      <c r="AG267" s="59">
        <f t="shared" si="101"/>
        <v>5.4736842105263159</v>
      </c>
      <c r="AH267">
        <f t="shared" si="102"/>
        <v>0.2880886426592798</v>
      </c>
    </row>
    <row r="268" spans="1:34" ht="15" x14ac:dyDescent="0.2">
      <c r="A268">
        <v>249</v>
      </c>
      <c r="B268" s="57" t="s">
        <v>312</v>
      </c>
      <c r="C268" s="57"/>
      <c r="D268">
        <f t="shared" si="98"/>
        <v>103</v>
      </c>
      <c r="E268" s="1">
        <f t="shared" si="99"/>
        <v>20</v>
      </c>
      <c r="F268">
        <f t="shared" si="103"/>
        <v>7</v>
      </c>
      <c r="G268">
        <f t="shared" si="103"/>
        <v>0</v>
      </c>
      <c r="H268">
        <f t="shared" si="103"/>
        <v>2</v>
      </c>
      <c r="I268">
        <f t="shared" si="103"/>
        <v>3</v>
      </c>
      <c r="J268">
        <f t="shared" si="103"/>
        <v>10</v>
      </c>
      <c r="K268">
        <f t="shared" si="103"/>
        <v>2</v>
      </c>
      <c r="L268">
        <f t="shared" si="103"/>
        <v>6</v>
      </c>
      <c r="M268">
        <f t="shared" si="103"/>
        <v>5</v>
      </c>
      <c r="N268">
        <f t="shared" si="103"/>
        <v>7</v>
      </c>
      <c r="O268">
        <f t="shared" si="103"/>
        <v>0</v>
      </c>
      <c r="P268">
        <f t="shared" si="104"/>
        <v>0</v>
      </c>
      <c r="Q268">
        <f t="shared" si="104"/>
        <v>5</v>
      </c>
      <c r="R268">
        <f t="shared" si="104"/>
        <v>0</v>
      </c>
      <c r="S268">
        <f t="shared" si="104"/>
        <v>7</v>
      </c>
      <c r="T268">
        <f t="shared" si="104"/>
        <v>8</v>
      </c>
      <c r="U268">
        <f t="shared" si="104"/>
        <v>0</v>
      </c>
      <c r="V268">
        <f t="shared" si="104"/>
        <v>0</v>
      </c>
      <c r="W268">
        <f t="shared" si="104"/>
        <v>5</v>
      </c>
      <c r="X268">
        <f t="shared" si="104"/>
        <v>2</v>
      </c>
      <c r="Y268">
        <f t="shared" si="104"/>
        <v>7</v>
      </c>
      <c r="Z268">
        <f t="shared" si="105"/>
        <v>1</v>
      </c>
      <c r="AA268">
        <f t="shared" si="105"/>
        <v>1</v>
      </c>
      <c r="AB268">
        <f t="shared" si="105"/>
        <v>0</v>
      </c>
      <c r="AC268">
        <f t="shared" si="105"/>
        <v>0</v>
      </c>
      <c r="AD268">
        <f t="shared" si="105"/>
        <v>3</v>
      </c>
      <c r="AE268">
        <f t="shared" si="105"/>
        <v>0</v>
      </c>
      <c r="AF268" s="56">
        <f t="shared" si="100"/>
        <v>17</v>
      </c>
      <c r="AG268" s="59">
        <f t="shared" si="101"/>
        <v>5.15</v>
      </c>
      <c r="AH268">
        <f t="shared" si="102"/>
        <v>0.30294117647058827</v>
      </c>
    </row>
    <row r="269" spans="1:34" ht="15" x14ac:dyDescent="0.2">
      <c r="A269">
        <v>453</v>
      </c>
      <c r="B269" s="57" t="s">
        <v>495</v>
      </c>
      <c r="C269" s="57"/>
      <c r="D269">
        <f t="shared" si="98"/>
        <v>103</v>
      </c>
      <c r="E269" s="1">
        <f t="shared" si="99"/>
        <v>18</v>
      </c>
      <c r="F269">
        <f t="shared" si="103"/>
        <v>4</v>
      </c>
      <c r="G269">
        <f t="shared" si="103"/>
        <v>2</v>
      </c>
      <c r="H269">
        <f t="shared" si="103"/>
        <v>0</v>
      </c>
      <c r="I269">
        <f t="shared" si="103"/>
        <v>4</v>
      </c>
      <c r="J269">
        <f t="shared" si="103"/>
        <v>14</v>
      </c>
      <c r="K269">
        <f t="shared" si="103"/>
        <v>1</v>
      </c>
      <c r="L269">
        <f t="shared" si="103"/>
        <v>2</v>
      </c>
      <c r="M269">
        <f t="shared" si="103"/>
        <v>6</v>
      </c>
      <c r="N269">
        <f t="shared" si="103"/>
        <v>4</v>
      </c>
      <c r="O269">
        <f t="shared" si="103"/>
        <v>0</v>
      </c>
      <c r="P269">
        <f t="shared" si="104"/>
        <v>0</v>
      </c>
      <c r="Q269">
        <f t="shared" si="104"/>
        <v>6</v>
      </c>
      <c r="R269">
        <f t="shared" si="104"/>
        <v>0</v>
      </c>
      <c r="S269">
        <f t="shared" si="104"/>
        <v>2</v>
      </c>
      <c r="T269">
        <f t="shared" si="104"/>
        <v>7</v>
      </c>
      <c r="U269">
        <f t="shared" si="104"/>
        <v>4</v>
      </c>
      <c r="V269">
        <f t="shared" si="104"/>
        <v>0</v>
      </c>
      <c r="W269">
        <f t="shared" si="104"/>
        <v>4</v>
      </c>
      <c r="X269">
        <f t="shared" si="104"/>
        <v>2</v>
      </c>
      <c r="Y269">
        <f t="shared" si="104"/>
        <v>11</v>
      </c>
      <c r="Z269">
        <f t="shared" si="105"/>
        <v>3</v>
      </c>
      <c r="AA269">
        <f t="shared" si="105"/>
        <v>1</v>
      </c>
      <c r="AB269">
        <f t="shared" si="105"/>
        <v>2</v>
      </c>
      <c r="AC269">
        <f t="shared" si="105"/>
        <v>0</v>
      </c>
      <c r="AD269">
        <f t="shared" si="105"/>
        <v>4</v>
      </c>
      <c r="AE269">
        <f t="shared" si="105"/>
        <v>0</v>
      </c>
      <c r="AF269" s="56">
        <f t="shared" si="100"/>
        <v>19</v>
      </c>
      <c r="AG269" s="59">
        <f t="shared" si="101"/>
        <v>5.7222222222222223</v>
      </c>
      <c r="AH269">
        <f t="shared" si="102"/>
        <v>0.30116959064327486</v>
      </c>
    </row>
    <row r="270" spans="1:34" ht="15" x14ac:dyDescent="0.2">
      <c r="A270">
        <v>231</v>
      </c>
      <c r="B270" s="57" t="s">
        <v>294</v>
      </c>
      <c r="C270" s="57"/>
      <c r="D270">
        <f t="shared" si="98"/>
        <v>103</v>
      </c>
      <c r="E270" s="1">
        <f t="shared" si="99"/>
        <v>17</v>
      </c>
      <c r="F270">
        <f t="shared" si="103"/>
        <v>6</v>
      </c>
      <c r="G270">
        <f t="shared" si="103"/>
        <v>0</v>
      </c>
      <c r="H270">
        <f t="shared" si="103"/>
        <v>0</v>
      </c>
      <c r="I270">
        <f t="shared" si="103"/>
        <v>3</v>
      </c>
      <c r="J270">
        <f t="shared" si="103"/>
        <v>14</v>
      </c>
      <c r="K270">
        <f t="shared" si="103"/>
        <v>1</v>
      </c>
      <c r="L270">
        <f t="shared" si="103"/>
        <v>0</v>
      </c>
      <c r="M270">
        <f t="shared" si="103"/>
        <v>3</v>
      </c>
      <c r="N270">
        <f t="shared" si="103"/>
        <v>3</v>
      </c>
      <c r="O270">
        <f t="shared" si="103"/>
        <v>0</v>
      </c>
      <c r="P270">
        <f t="shared" si="104"/>
        <v>1</v>
      </c>
      <c r="Q270">
        <f t="shared" si="104"/>
        <v>4</v>
      </c>
      <c r="R270">
        <f t="shared" si="104"/>
        <v>3</v>
      </c>
      <c r="S270">
        <f t="shared" si="104"/>
        <v>4</v>
      </c>
      <c r="T270">
        <f t="shared" si="104"/>
        <v>6</v>
      </c>
      <c r="U270">
        <f t="shared" si="104"/>
        <v>5</v>
      </c>
      <c r="V270">
        <f t="shared" si="104"/>
        <v>0</v>
      </c>
      <c r="W270">
        <f t="shared" si="104"/>
        <v>7</v>
      </c>
      <c r="X270">
        <f t="shared" si="104"/>
        <v>7</v>
      </c>
      <c r="Y270">
        <f t="shared" si="104"/>
        <v>6</v>
      </c>
      <c r="Z270">
        <f t="shared" si="105"/>
        <v>1</v>
      </c>
      <c r="AA270">
        <f t="shared" si="105"/>
        <v>2</v>
      </c>
      <c r="AB270">
        <f t="shared" si="105"/>
        <v>5</v>
      </c>
      <c r="AC270">
        <f t="shared" si="105"/>
        <v>0</v>
      </c>
      <c r="AD270">
        <f t="shared" si="105"/>
        <v>1</v>
      </c>
      <c r="AE270">
        <f t="shared" si="105"/>
        <v>0</v>
      </c>
      <c r="AF270" s="56">
        <f t="shared" si="100"/>
        <v>19</v>
      </c>
      <c r="AG270" s="59">
        <f t="shared" si="101"/>
        <v>6.0588235294117645</v>
      </c>
      <c r="AH270">
        <f t="shared" si="102"/>
        <v>0.31888544891640863</v>
      </c>
    </row>
    <row r="271" spans="1:34" ht="15" x14ac:dyDescent="0.2">
      <c r="A271">
        <v>12</v>
      </c>
      <c r="B271" s="57" t="s">
        <v>77</v>
      </c>
      <c r="C271" s="57"/>
      <c r="D271">
        <f t="shared" si="98"/>
        <v>103</v>
      </c>
      <c r="E271" s="1">
        <f t="shared" si="99"/>
        <v>19</v>
      </c>
      <c r="F271">
        <f t="shared" si="103"/>
        <v>10</v>
      </c>
      <c r="G271">
        <f t="shared" si="103"/>
        <v>2</v>
      </c>
      <c r="H271">
        <f t="shared" si="103"/>
        <v>1</v>
      </c>
      <c r="I271">
        <f t="shared" si="103"/>
        <v>3</v>
      </c>
      <c r="J271">
        <f t="shared" si="103"/>
        <v>10</v>
      </c>
      <c r="K271">
        <f t="shared" si="103"/>
        <v>1</v>
      </c>
      <c r="L271">
        <f t="shared" si="103"/>
        <v>3</v>
      </c>
      <c r="M271">
        <f t="shared" si="103"/>
        <v>3</v>
      </c>
      <c r="N271">
        <f t="shared" si="103"/>
        <v>0</v>
      </c>
      <c r="O271">
        <f t="shared" si="103"/>
        <v>0</v>
      </c>
      <c r="P271">
        <f t="shared" si="104"/>
        <v>0</v>
      </c>
      <c r="Q271">
        <f t="shared" si="104"/>
        <v>3</v>
      </c>
      <c r="R271">
        <f t="shared" si="104"/>
        <v>1</v>
      </c>
      <c r="S271">
        <f t="shared" si="104"/>
        <v>6</v>
      </c>
      <c r="T271">
        <f t="shared" si="104"/>
        <v>7</v>
      </c>
      <c r="U271">
        <f t="shared" si="104"/>
        <v>7</v>
      </c>
      <c r="V271">
        <f t="shared" si="104"/>
        <v>0</v>
      </c>
      <c r="W271">
        <f t="shared" si="104"/>
        <v>7</v>
      </c>
      <c r="X271">
        <f t="shared" si="104"/>
        <v>4</v>
      </c>
      <c r="Y271">
        <f t="shared" si="104"/>
        <v>7</v>
      </c>
      <c r="Z271">
        <f t="shared" si="105"/>
        <v>3</v>
      </c>
      <c r="AA271">
        <f t="shared" si="105"/>
        <v>1</v>
      </c>
      <c r="AB271">
        <f t="shared" si="105"/>
        <v>2</v>
      </c>
      <c r="AC271">
        <f t="shared" si="105"/>
        <v>0</v>
      </c>
      <c r="AD271">
        <f t="shared" si="105"/>
        <v>2</v>
      </c>
      <c r="AE271">
        <f t="shared" si="105"/>
        <v>0</v>
      </c>
      <c r="AF271" s="56">
        <f t="shared" si="100"/>
        <v>20</v>
      </c>
      <c r="AG271" s="59">
        <f t="shared" si="101"/>
        <v>5.4210526315789478</v>
      </c>
      <c r="AH271">
        <f t="shared" si="102"/>
        <v>0.27105263157894738</v>
      </c>
    </row>
    <row r="272" spans="1:34" ht="15" x14ac:dyDescent="0.2">
      <c r="A272">
        <v>315</v>
      </c>
      <c r="B272" s="57" t="s">
        <v>375</v>
      </c>
      <c r="C272" s="57"/>
      <c r="D272">
        <f t="shared" si="98"/>
        <v>103</v>
      </c>
      <c r="E272" s="1">
        <f t="shared" si="99"/>
        <v>18</v>
      </c>
      <c r="F272">
        <f t="shared" ref="F272:O281" si="106">LEN($B272)-LEN(SUBSTITUTE($B272,F$1,""))</f>
        <v>10</v>
      </c>
      <c r="G272">
        <f t="shared" si="106"/>
        <v>1</v>
      </c>
      <c r="H272">
        <f t="shared" si="106"/>
        <v>1</v>
      </c>
      <c r="I272">
        <f t="shared" si="106"/>
        <v>1</v>
      </c>
      <c r="J272">
        <f t="shared" si="106"/>
        <v>5</v>
      </c>
      <c r="K272">
        <f t="shared" si="106"/>
        <v>2</v>
      </c>
      <c r="L272">
        <f t="shared" si="106"/>
        <v>5</v>
      </c>
      <c r="M272">
        <f t="shared" si="106"/>
        <v>4</v>
      </c>
      <c r="N272">
        <f t="shared" si="106"/>
        <v>5</v>
      </c>
      <c r="O272">
        <f t="shared" si="106"/>
        <v>0</v>
      </c>
      <c r="P272">
        <f t="shared" ref="P272:Y281" si="107">LEN($B272)-LEN(SUBSTITUTE($B272,P$1,""))</f>
        <v>2</v>
      </c>
      <c r="Q272">
        <f t="shared" si="107"/>
        <v>3</v>
      </c>
      <c r="R272">
        <f t="shared" si="107"/>
        <v>2</v>
      </c>
      <c r="S272">
        <f t="shared" si="107"/>
        <v>8</v>
      </c>
      <c r="T272">
        <f t="shared" si="107"/>
        <v>7</v>
      </c>
      <c r="U272">
        <f t="shared" si="107"/>
        <v>2</v>
      </c>
      <c r="V272">
        <f t="shared" si="107"/>
        <v>0</v>
      </c>
      <c r="W272">
        <f t="shared" si="107"/>
        <v>4</v>
      </c>
      <c r="X272">
        <f t="shared" si="107"/>
        <v>3</v>
      </c>
      <c r="Y272">
        <f t="shared" si="107"/>
        <v>9</v>
      </c>
      <c r="Z272">
        <f t="shared" ref="Z272:AE281" si="108">LEN($B272)-LEN(SUBSTITUTE($B272,Z$1,""))</f>
        <v>3</v>
      </c>
      <c r="AA272">
        <f t="shared" si="108"/>
        <v>0</v>
      </c>
      <c r="AB272">
        <f t="shared" si="108"/>
        <v>3</v>
      </c>
      <c r="AC272">
        <f t="shared" si="108"/>
        <v>0</v>
      </c>
      <c r="AD272">
        <f t="shared" si="108"/>
        <v>2</v>
      </c>
      <c r="AE272">
        <f t="shared" si="108"/>
        <v>0</v>
      </c>
      <c r="AF272" s="56">
        <f t="shared" si="100"/>
        <v>21</v>
      </c>
      <c r="AG272" s="59">
        <f t="shared" si="101"/>
        <v>5.7222222222222223</v>
      </c>
      <c r="AH272">
        <f t="shared" si="102"/>
        <v>0.2724867724867725</v>
      </c>
    </row>
    <row r="273" spans="1:34" ht="15" x14ac:dyDescent="0.2">
      <c r="A273">
        <v>310</v>
      </c>
      <c r="B273" s="57" t="s">
        <v>370</v>
      </c>
      <c r="C273" s="57"/>
      <c r="D273">
        <f t="shared" si="98"/>
        <v>103</v>
      </c>
      <c r="E273" s="1">
        <f t="shared" si="99"/>
        <v>16</v>
      </c>
      <c r="F273">
        <f t="shared" si="106"/>
        <v>10</v>
      </c>
      <c r="G273">
        <f t="shared" si="106"/>
        <v>2</v>
      </c>
      <c r="H273">
        <f t="shared" si="106"/>
        <v>2</v>
      </c>
      <c r="I273">
        <f t="shared" si="106"/>
        <v>1</v>
      </c>
      <c r="J273">
        <f t="shared" si="106"/>
        <v>9</v>
      </c>
      <c r="K273">
        <f t="shared" si="106"/>
        <v>1</v>
      </c>
      <c r="L273">
        <f t="shared" si="106"/>
        <v>1</v>
      </c>
      <c r="M273">
        <f t="shared" si="106"/>
        <v>1</v>
      </c>
      <c r="N273">
        <f t="shared" si="106"/>
        <v>4</v>
      </c>
      <c r="O273">
        <f t="shared" si="106"/>
        <v>1</v>
      </c>
      <c r="P273">
        <f t="shared" si="107"/>
        <v>3</v>
      </c>
      <c r="Q273">
        <f t="shared" si="107"/>
        <v>8</v>
      </c>
      <c r="R273">
        <f t="shared" si="107"/>
        <v>1</v>
      </c>
      <c r="S273">
        <f t="shared" si="107"/>
        <v>4</v>
      </c>
      <c r="T273">
        <f t="shared" si="107"/>
        <v>8</v>
      </c>
      <c r="U273">
        <f t="shared" si="107"/>
        <v>1</v>
      </c>
      <c r="V273">
        <f t="shared" si="107"/>
        <v>0</v>
      </c>
      <c r="W273">
        <f t="shared" si="107"/>
        <v>5</v>
      </c>
      <c r="X273">
        <f t="shared" si="107"/>
        <v>7</v>
      </c>
      <c r="Y273">
        <f t="shared" si="107"/>
        <v>7</v>
      </c>
      <c r="Z273">
        <f t="shared" si="108"/>
        <v>0</v>
      </c>
      <c r="AA273">
        <f t="shared" si="108"/>
        <v>1</v>
      </c>
      <c r="AB273">
        <f t="shared" si="108"/>
        <v>1</v>
      </c>
      <c r="AC273">
        <f t="shared" si="108"/>
        <v>0</v>
      </c>
      <c r="AD273">
        <f t="shared" si="108"/>
        <v>3</v>
      </c>
      <c r="AE273">
        <f t="shared" si="108"/>
        <v>0</v>
      </c>
      <c r="AF273" s="56">
        <f t="shared" si="100"/>
        <v>22</v>
      </c>
      <c r="AG273" s="59">
        <f t="shared" si="101"/>
        <v>6.4375</v>
      </c>
      <c r="AH273">
        <f t="shared" si="102"/>
        <v>0.29261363636363635</v>
      </c>
    </row>
    <row r="274" spans="1:34" ht="15" x14ac:dyDescent="0.2">
      <c r="A274">
        <v>582</v>
      </c>
      <c r="B274" s="57" t="s">
        <v>603</v>
      </c>
      <c r="C274" s="57"/>
      <c r="D274">
        <f t="shared" si="98"/>
        <v>102</v>
      </c>
      <c r="E274" s="1">
        <f t="shared" si="99"/>
        <v>22</v>
      </c>
      <c r="F274">
        <f t="shared" si="106"/>
        <v>10</v>
      </c>
      <c r="G274">
        <f t="shared" si="106"/>
        <v>1</v>
      </c>
      <c r="H274">
        <f t="shared" si="106"/>
        <v>2</v>
      </c>
      <c r="I274">
        <f t="shared" si="106"/>
        <v>2</v>
      </c>
      <c r="J274">
        <f t="shared" si="106"/>
        <v>7</v>
      </c>
      <c r="K274">
        <f t="shared" si="106"/>
        <v>0</v>
      </c>
      <c r="L274">
        <f t="shared" si="106"/>
        <v>0</v>
      </c>
      <c r="M274">
        <f t="shared" si="106"/>
        <v>2</v>
      </c>
      <c r="N274">
        <f t="shared" si="106"/>
        <v>3</v>
      </c>
      <c r="O274">
        <f t="shared" si="106"/>
        <v>0</v>
      </c>
      <c r="P274">
        <f t="shared" si="107"/>
        <v>3</v>
      </c>
      <c r="Q274">
        <f t="shared" si="107"/>
        <v>4</v>
      </c>
      <c r="R274">
        <f t="shared" si="107"/>
        <v>1</v>
      </c>
      <c r="S274">
        <f t="shared" si="107"/>
        <v>6</v>
      </c>
      <c r="T274">
        <f t="shared" si="107"/>
        <v>7</v>
      </c>
      <c r="U274">
        <f t="shared" si="107"/>
        <v>2</v>
      </c>
      <c r="V274">
        <f t="shared" si="107"/>
        <v>0</v>
      </c>
      <c r="W274">
        <f t="shared" si="107"/>
        <v>5</v>
      </c>
      <c r="X274">
        <f t="shared" si="107"/>
        <v>7</v>
      </c>
      <c r="Y274">
        <f t="shared" si="107"/>
        <v>3</v>
      </c>
      <c r="Z274">
        <f t="shared" si="108"/>
        <v>2</v>
      </c>
      <c r="AA274">
        <f t="shared" si="108"/>
        <v>0</v>
      </c>
      <c r="AB274">
        <f t="shared" si="108"/>
        <v>3</v>
      </c>
      <c r="AC274">
        <f t="shared" si="108"/>
        <v>0</v>
      </c>
      <c r="AD274">
        <f t="shared" si="108"/>
        <v>7</v>
      </c>
      <c r="AE274">
        <f t="shared" si="108"/>
        <v>0</v>
      </c>
      <c r="AF274" s="56">
        <f t="shared" si="100"/>
        <v>19</v>
      </c>
      <c r="AG274" s="59">
        <f t="shared" si="101"/>
        <v>4.6363636363636367</v>
      </c>
      <c r="AH274">
        <f t="shared" si="102"/>
        <v>0.24401913875598089</v>
      </c>
    </row>
    <row r="275" spans="1:34" ht="15" x14ac:dyDescent="0.2">
      <c r="A275">
        <v>268</v>
      </c>
      <c r="B275" s="57" t="s">
        <v>330</v>
      </c>
      <c r="C275" s="57"/>
      <c r="D275">
        <f t="shared" si="98"/>
        <v>102</v>
      </c>
      <c r="E275" s="1">
        <f t="shared" si="99"/>
        <v>19</v>
      </c>
      <c r="F275">
        <f t="shared" si="106"/>
        <v>7</v>
      </c>
      <c r="G275">
        <f t="shared" si="106"/>
        <v>0</v>
      </c>
      <c r="H275">
        <f t="shared" si="106"/>
        <v>0</v>
      </c>
      <c r="I275">
        <f t="shared" si="106"/>
        <v>2</v>
      </c>
      <c r="J275">
        <f t="shared" si="106"/>
        <v>5</v>
      </c>
      <c r="K275">
        <f t="shared" si="106"/>
        <v>2</v>
      </c>
      <c r="L275">
        <f t="shared" si="106"/>
        <v>2</v>
      </c>
      <c r="M275">
        <f t="shared" si="106"/>
        <v>2</v>
      </c>
      <c r="N275">
        <f t="shared" si="106"/>
        <v>8</v>
      </c>
      <c r="O275">
        <f t="shared" si="106"/>
        <v>0</v>
      </c>
      <c r="P275">
        <f t="shared" si="107"/>
        <v>1</v>
      </c>
      <c r="Q275">
        <f t="shared" si="107"/>
        <v>5</v>
      </c>
      <c r="R275">
        <f t="shared" si="107"/>
        <v>5</v>
      </c>
      <c r="S275">
        <f t="shared" si="107"/>
        <v>5</v>
      </c>
      <c r="T275">
        <f t="shared" si="107"/>
        <v>10</v>
      </c>
      <c r="U275">
        <f t="shared" si="107"/>
        <v>3</v>
      </c>
      <c r="V275">
        <f t="shared" si="107"/>
        <v>0</v>
      </c>
      <c r="W275">
        <f t="shared" si="107"/>
        <v>6</v>
      </c>
      <c r="X275">
        <f t="shared" si="107"/>
        <v>3</v>
      </c>
      <c r="Y275">
        <f t="shared" si="107"/>
        <v>10</v>
      </c>
      <c r="Z275">
        <f t="shared" si="108"/>
        <v>2</v>
      </c>
      <c r="AA275">
        <f t="shared" si="108"/>
        <v>1</v>
      </c>
      <c r="AB275">
        <f t="shared" si="108"/>
        <v>0</v>
      </c>
      <c r="AC275">
        <f t="shared" si="108"/>
        <v>0</v>
      </c>
      <c r="AD275">
        <f t="shared" si="108"/>
        <v>0</v>
      </c>
      <c r="AE275">
        <f t="shared" si="108"/>
        <v>1</v>
      </c>
      <c r="AF275" s="56">
        <f t="shared" si="100"/>
        <v>19</v>
      </c>
      <c r="AG275" s="59">
        <f t="shared" si="101"/>
        <v>5.3684210526315788</v>
      </c>
      <c r="AH275">
        <f t="shared" si="102"/>
        <v>0.2825484764542936</v>
      </c>
    </row>
    <row r="276" spans="1:34" ht="15" x14ac:dyDescent="0.2">
      <c r="A276">
        <v>5</v>
      </c>
      <c r="B276" s="57" t="s">
        <v>70</v>
      </c>
      <c r="C276" s="57"/>
      <c r="D276">
        <f t="shared" si="98"/>
        <v>102</v>
      </c>
      <c r="E276" s="1">
        <f t="shared" si="99"/>
        <v>17</v>
      </c>
      <c r="F276">
        <f t="shared" si="106"/>
        <v>6</v>
      </c>
      <c r="G276">
        <f t="shared" si="106"/>
        <v>2</v>
      </c>
      <c r="H276">
        <f t="shared" si="106"/>
        <v>2</v>
      </c>
      <c r="I276">
        <f t="shared" si="106"/>
        <v>4</v>
      </c>
      <c r="J276">
        <f t="shared" si="106"/>
        <v>6</v>
      </c>
      <c r="K276">
        <f t="shared" si="106"/>
        <v>0</v>
      </c>
      <c r="L276">
        <f t="shared" si="106"/>
        <v>3</v>
      </c>
      <c r="M276">
        <f t="shared" si="106"/>
        <v>4</v>
      </c>
      <c r="N276">
        <f t="shared" si="106"/>
        <v>7</v>
      </c>
      <c r="O276">
        <f t="shared" si="106"/>
        <v>0</v>
      </c>
      <c r="P276">
        <f t="shared" si="107"/>
        <v>0</v>
      </c>
      <c r="Q276">
        <f t="shared" si="107"/>
        <v>7</v>
      </c>
      <c r="R276">
        <f t="shared" si="107"/>
        <v>3</v>
      </c>
      <c r="S276">
        <f t="shared" si="107"/>
        <v>4</v>
      </c>
      <c r="T276">
        <f t="shared" si="107"/>
        <v>8</v>
      </c>
      <c r="U276">
        <f t="shared" si="107"/>
        <v>2</v>
      </c>
      <c r="V276">
        <f t="shared" si="107"/>
        <v>0</v>
      </c>
      <c r="W276">
        <f t="shared" si="107"/>
        <v>4</v>
      </c>
      <c r="X276">
        <f t="shared" si="107"/>
        <v>8</v>
      </c>
      <c r="Y276">
        <f t="shared" si="107"/>
        <v>7</v>
      </c>
      <c r="Z276">
        <f t="shared" si="108"/>
        <v>4</v>
      </c>
      <c r="AA276">
        <f t="shared" si="108"/>
        <v>0</v>
      </c>
      <c r="AB276">
        <f t="shared" si="108"/>
        <v>1</v>
      </c>
      <c r="AC276">
        <f t="shared" si="108"/>
        <v>0</v>
      </c>
      <c r="AD276">
        <f t="shared" si="108"/>
        <v>2</v>
      </c>
      <c r="AE276">
        <f t="shared" si="108"/>
        <v>0</v>
      </c>
      <c r="AF276" s="56">
        <f t="shared" si="100"/>
        <v>19</v>
      </c>
      <c r="AG276" s="59">
        <f t="shared" si="101"/>
        <v>6</v>
      </c>
      <c r="AH276">
        <f t="shared" si="102"/>
        <v>0.31578947368421051</v>
      </c>
    </row>
    <row r="277" spans="1:34" ht="15" x14ac:dyDescent="0.2">
      <c r="A277">
        <v>600</v>
      </c>
      <c r="B277" s="57" t="s">
        <v>620</v>
      </c>
      <c r="C277" s="57"/>
      <c r="D277">
        <f t="shared" si="98"/>
        <v>102</v>
      </c>
      <c r="E277" s="1">
        <f t="shared" si="99"/>
        <v>20</v>
      </c>
      <c r="F277">
        <f t="shared" si="106"/>
        <v>7</v>
      </c>
      <c r="G277">
        <f t="shared" si="106"/>
        <v>2</v>
      </c>
      <c r="H277">
        <f t="shared" si="106"/>
        <v>3</v>
      </c>
      <c r="I277">
        <f t="shared" si="106"/>
        <v>4</v>
      </c>
      <c r="J277">
        <f t="shared" si="106"/>
        <v>9</v>
      </c>
      <c r="K277">
        <f t="shared" si="106"/>
        <v>0</v>
      </c>
      <c r="L277">
        <f t="shared" si="106"/>
        <v>4</v>
      </c>
      <c r="M277">
        <f t="shared" si="106"/>
        <v>3</v>
      </c>
      <c r="N277">
        <f t="shared" si="106"/>
        <v>6</v>
      </c>
      <c r="O277">
        <f t="shared" si="106"/>
        <v>0</v>
      </c>
      <c r="P277">
        <f t="shared" si="107"/>
        <v>0</v>
      </c>
      <c r="Q277">
        <f t="shared" si="107"/>
        <v>1</v>
      </c>
      <c r="R277">
        <f t="shared" si="107"/>
        <v>2</v>
      </c>
      <c r="S277">
        <f t="shared" si="107"/>
        <v>7</v>
      </c>
      <c r="T277">
        <f t="shared" si="107"/>
        <v>7</v>
      </c>
      <c r="U277">
        <f t="shared" si="107"/>
        <v>1</v>
      </c>
      <c r="V277">
        <f t="shared" si="107"/>
        <v>0</v>
      </c>
      <c r="W277">
        <f t="shared" si="107"/>
        <v>4</v>
      </c>
      <c r="X277">
        <f t="shared" si="107"/>
        <v>4</v>
      </c>
      <c r="Y277">
        <f t="shared" si="107"/>
        <v>4</v>
      </c>
      <c r="Z277">
        <f t="shared" si="108"/>
        <v>3</v>
      </c>
      <c r="AA277">
        <f t="shared" si="108"/>
        <v>1</v>
      </c>
      <c r="AB277">
        <f t="shared" si="108"/>
        <v>2</v>
      </c>
      <c r="AC277">
        <f t="shared" si="108"/>
        <v>0</v>
      </c>
      <c r="AD277">
        <f t="shared" si="108"/>
        <v>2</v>
      </c>
      <c r="AE277">
        <f t="shared" si="108"/>
        <v>0</v>
      </c>
      <c r="AF277" s="56">
        <f t="shared" si="100"/>
        <v>20</v>
      </c>
      <c r="AG277" s="59">
        <f t="shared" si="101"/>
        <v>5.0999999999999996</v>
      </c>
      <c r="AH277">
        <f t="shared" si="102"/>
        <v>0.255</v>
      </c>
    </row>
    <row r="278" spans="1:34" ht="15" x14ac:dyDescent="0.2">
      <c r="A278">
        <v>558</v>
      </c>
      <c r="B278" s="57" t="s">
        <v>581</v>
      </c>
      <c r="C278" s="57"/>
      <c r="D278">
        <f t="shared" si="98"/>
        <v>102</v>
      </c>
      <c r="E278" s="1">
        <f t="shared" si="99"/>
        <v>22</v>
      </c>
      <c r="F278">
        <f t="shared" si="106"/>
        <v>7</v>
      </c>
      <c r="G278">
        <f t="shared" si="106"/>
        <v>1</v>
      </c>
      <c r="H278">
        <f t="shared" si="106"/>
        <v>2</v>
      </c>
      <c r="I278">
        <f t="shared" si="106"/>
        <v>3</v>
      </c>
      <c r="J278">
        <f t="shared" si="106"/>
        <v>11</v>
      </c>
      <c r="K278">
        <f t="shared" si="106"/>
        <v>1</v>
      </c>
      <c r="L278">
        <f t="shared" si="106"/>
        <v>2</v>
      </c>
      <c r="M278">
        <f t="shared" si="106"/>
        <v>5</v>
      </c>
      <c r="N278">
        <f t="shared" si="106"/>
        <v>3</v>
      </c>
      <c r="O278">
        <f t="shared" si="106"/>
        <v>0</v>
      </c>
      <c r="P278">
        <f t="shared" si="107"/>
        <v>1</v>
      </c>
      <c r="Q278">
        <f t="shared" si="107"/>
        <v>6</v>
      </c>
      <c r="R278">
        <f t="shared" si="107"/>
        <v>3</v>
      </c>
      <c r="S278">
        <f t="shared" si="107"/>
        <v>4</v>
      </c>
      <c r="T278">
        <f t="shared" si="107"/>
        <v>8</v>
      </c>
      <c r="U278">
        <f t="shared" si="107"/>
        <v>0</v>
      </c>
      <c r="V278">
        <f t="shared" si="107"/>
        <v>0</v>
      </c>
      <c r="W278">
        <f t="shared" si="107"/>
        <v>5</v>
      </c>
      <c r="X278">
        <f t="shared" si="107"/>
        <v>3</v>
      </c>
      <c r="Y278">
        <f t="shared" si="107"/>
        <v>7</v>
      </c>
      <c r="Z278">
        <f t="shared" si="108"/>
        <v>1</v>
      </c>
      <c r="AA278">
        <f t="shared" si="108"/>
        <v>0</v>
      </c>
      <c r="AB278">
        <f t="shared" si="108"/>
        <v>3</v>
      </c>
      <c r="AC278">
        <f t="shared" si="108"/>
        <v>0</v>
      </c>
      <c r="AD278">
        <f t="shared" si="108"/>
        <v>1</v>
      </c>
      <c r="AE278">
        <f t="shared" si="108"/>
        <v>0</v>
      </c>
      <c r="AF278" s="56">
        <f t="shared" si="100"/>
        <v>20</v>
      </c>
      <c r="AG278" s="59">
        <f t="shared" si="101"/>
        <v>4.6363636363636367</v>
      </c>
      <c r="AH278">
        <f t="shared" si="102"/>
        <v>0.23181818181818184</v>
      </c>
    </row>
    <row r="279" spans="1:34" ht="15" x14ac:dyDescent="0.2">
      <c r="A279">
        <v>542</v>
      </c>
      <c r="B279" s="57" t="s">
        <v>571</v>
      </c>
      <c r="C279" s="57"/>
      <c r="D279">
        <f t="shared" si="98"/>
        <v>102</v>
      </c>
      <c r="E279" s="1">
        <f t="shared" si="99"/>
        <v>18</v>
      </c>
      <c r="F279">
        <f t="shared" si="106"/>
        <v>8</v>
      </c>
      <c r="G279">
        <f t="shared" si="106"/>
        <v>1</v>
      </c>
      <c r="H279">
        <f t="shared" si="106"/>
        <v>3</v>
      </c>
      <c r="I279">
        <f t="shared" si="106"/>
        <v>4</v>
      </c>
      <c r="J279">
        <f t="shared" si="106"/>
        <v>7</v>
      </c>
      <c r="K279">
        <f t="shared" si="106"/>
        <v>3</v>
      </c>
      <c r="L279">
        <f t="shared" si="106"/>
        <v>3</v>
      </c>
      <c r="M279">
        <f t="shared" si="106"/>
        <v>2</v>
      </c>
      <c r="N279">
        <f t="shared" si="106"/>
        <v>7</v>
      </c>
      <c r="O279">
        <f t="shared" si="106"/>
        <v>0</v>
      </c>
      <c r="P279">
        <f t="shared" si="107"/>
        <v>1</v>
      </c>
      <c r="Q279">
        <f t="shared" si="107"/>
        <v>3</v>
      </c>
      <c r="R279">
        <f t="shared" si="107"/>
        <v>2</v>
      </c>
      <c r="S279">
        <f t="shared" si="107"/>
        <v>10</v>
      </c>
      <c r="T279">
        <f t="shared" si="107"/>
        <v>8</v>
      </c>
      <c r="U279">
        <f t="shared" si="107"/>
        <v>0</v>
      </c>
      <c r="V279">
        <f t="shared" si="107"/>
        <v>0</v>
      </c>
      <c r="W279">
        <f t="shared" si="107"/>
        <v>5</v>
      </c>
      <c r="X279">
        <f t="shared" si="107"/>
        <v>5</v>
      </c>
      <c r="Y279">
        <f t="shared" si="107"/>
        <v>7</v>
      </c>
      <c r="Z279">
        <f t="shared" si="108"/>
        <v>2</v>
      </c>
      <c r="AA279">
        <f t="shared" si="108"/>
        <v>1</v>
      </c>
      <c r="AB279">
        <f t="shared" si="108"/>
        <v>0</v>
      </c>
      <c r="AC279">
        <f t="shared" si="108"/>
        <v>0</v>
      </c>
      <c r="AD279">
        <f t="shared" si="108"/>
        <v>1</v>
      </c>
      <c r="AE279">
        <f t="shared" si="108"/>
        <v>0</v>
      </c>
      <c r="AF279" s="56">
        <f t="shared" si="100"/>
        <v>20</v>
      </c>
      <c r="AG279" s="59">
        <f t="shared" si="101"/>
        <v>5.666666666666667</v>
      </c>
      <c r="AH279">
        <f t="shared" si="102"/>
        <v>0.28333333333333333</v>
      </c>
    </row>
    <row r="280" spans="1:34" ht="15" x14ac:dyDescent="0.2">
      <c r="A280">
        <v>457</v>
      </c>
      <c r="B280" s="57" t="s">
        <v>675</v>
      </c>
      <c r="C280" s="57"/>
      <c r="D280">
        <f t="shared" si="98"/>
        <v>102</v>
      </c>
      <c r="E280" s="1">
        <f t="shared" si="99"/>
        <v>20</v>
      </c>
      <c r="F280">
        <f t="shared" si="106"/>
        <v>3</v>
      </c>
      <c r="G280">
        <f t="shared" si="106"/>
        <v>0</v>
      </c>
      <c r="H280">
        <f t="shared" si="106"/>
        <v>1</v>
      </c>
      <c r="I280">
        <f t="shared" si="106"/>
        <v>4</v>
      </c>
      <c r="J280">
        <f t="shared" si="106"/>
        <v>6</v>
      </c>
      <c r="K280">
        <f t="shared" si="106"/>
        <v>2</v>
      </c>
      <c r="L280">
        <f t="shared" si="106"/>
        <v>0</v>
      </c>
      <c r="M280">
        <f t="shared" si="106"/>
        <v>0</v>
      </c>
      <c r="N280">
        <f t="shared" si="106"/>
        <v>5</v>
      </c>
      <c r="O280">
        <f t="shared" si="106"/>
        <v>1</v>
      </c>
      <c r="P280">
        <f t="shared" si="107"/>
        <v>1</v>
      </c>
      <c r="Q280">
        <f t="shared" si="107"/>
        <v>4</v>
      </c>
      <c r="R280">
        <f t="shared" si="107"/>
        <v>2</v>
      </c>
      <c r="S280">
        <f t="shared" si="107"/>
        <v>5</v>
      </c>
      <c r="T280">
        <f t="shared" si="107"/>
        <v>10</v>
      </c>
      <c r="U280">
        <f t="shared" si="107"/>
        <v>2</v>
      </c>
      <c r="V280">
        <f t="shared" si="107"/>
        <v>0</v>
      </c>
      <c r="W280">
        <f t="shared" si="107"/>
        <v>5</v>
      </c>
      <c r="X280">
        <f t="shared" si="107"/>
        <v>3</v>
      </c>
      <c r="Y280">
        <f t="shared" si="107"/>
        <v>8</v>
      </c>
      <c r="Z280">
        <f t="shared" si="108"/>
        <v>3</v>
      </c>
      <c r="AA280">
        <f t="shared" si="108"/>
        <v>0</v>
      </c>
      <c r="AB280">
        <f t="shared" si="108"/>
        <v>0</v>
      </c>
      <c r="AC280">
        <f t="shared" si="108"/>
        <v>1</v>
      </c>
      <c r="AD280">
        <f t="shared" si="108"/>
        <v>2</v>
      </c>
      <c r="AE280">
        <f t="shared" si="108"/>
        <v>1</v>
      </c>
      <c r="AF280" s="56">
        <f t="shared" si="100"/>
        <v>20</v>
      </c>
      <c r="AG280" s="59">
        <f t="shared" si="101"/>
        <v>5.0999999999999996</v>
      </c>
      <c r="AH280">
        <f t="shared" si="102"/>
        <v>0.255</v>
      </c>
    </row>
    <row r="281" spans="1:34" ht="15" x14ac:dyDescent="0.2">
      <c r="A281">
        <v>234</v>
      </c>
      <c r="B281" s="57" t="s">
        <v>297</v>
      </c>
      <c r="C281" s="57"/>
      <c r="D281">
        <f t="shared" si="98"/>
        <v>102</v>
      </c>
      <c r="E281" s="1">
        <f t="shared" si="99"/>
        <v>19</v>
      </c>
      <c r="F281">
        <f t="shared" si="106"/>
        <v>6</v>
      </c>
      <c r="G281">
        <f t="shared" si="106"/>
        <v>1</v>
      </c>
      <c r="H281">
        <f t="shared" si="106"/>
        <v>3</v>
      </c>
      <c r="I281">
        <f t="shared" si="106"/>
        <v>3</v>
      </c>
      <c r="J281">
        <f t="shared" si="106"/>
        <v>12</v>
      </c>
      <c r="K281">
        <f t="shared" si="106"/>
        <v>2</v>
      </c>
      <c r="L281">
        <f t="shared" si="106"/>
        <v>0</v>
      </c>
      <c r="M281">
        <f t="shared" si="106"/>
        <v>2</v>
      </c>
      <c r="N281">
        <f t="shared" si="106"/>
        <v>7</v>
      </c>
      <c r="O281">
        <f t="shared" si="106"/>
        <v>0</v>
      </c>
      <c r="P281">
        <f t="shared" si="107"/>
        <v>1</v>
      </c>
      <c r="Q281">
        <f t="shared" si="107"/>
        <v>2</v>
      </c>
      <c r="R281">
        <f t="shared" si="107"/>
        <v>4</v>
      </c>
      <c r="S281">
        <f t="shared" si="107"/>
        <v>3</v>
      </c>
      <c r="T281">
        <f t="shared" si="107"/>
        <v>5</v>
      </c>
      <c r="U281">
        <f t="shared" si="107"/>
        <v>0</v>
      </c>
      <c r="V281">
        <f t="shared" si="107"/>
        <v>0</v>
      </c>
      <c r="W281">
        <f t="shared" si="107"/>
        <v>6</v>
      </c>
      <c r="X281">
        <f t="shared" si="107"/>
        <v>8</v>
      </c>
      <c r="Y281">
        <f t="shared" si="107"/>
        <v>8</v>
      </c>
      <c r="Z281">
        <f t="shared" si="108"/>
        <v>1</v>
      </c>
      <c r="AA281">
        <f t="shared" si="108"/>
        <v>1</v>
      </c>
      <c r="AB281">
        <f t="shared" si="108"/>
        <v>3</v>
      </c>
      <c r="AC281">
        <f t="shared" si="108"/>
        <v>0</v>
      </c>
      <c r="AD281">
        <f t="shared" si="108"/>
        <v>2</v>
      </c>
      <c r="AE281">
        <f t="shared" si="108"/>
        <v>0</v>
      </c>
      <c r="AF281" s="56">
        <f t="shared" si="100"/>
        <v>20</v>
      </c>
      <c r="AG281" s="59">
        <f t="shared" si="101"/>
        <v>5.3684210526315788</v>
      </c>
      <c r="AH281">
        <f t="shared" si="102"/>
        <v>0.26842105263157895</v>
      </c>
    </row>
    <row r="282" spans="1:34" ht="15" x14ac:dyDescent="0.2">
      <c r="A282">
        <v>594</v>
      </c>
      <c r="B282" s="57" t="s">
        <v>614</v>
      </c>
      <c r="C282" s="57"/>
      <c r="D282">
        <f t="shared" si="98"/>
        <v>102</v>
      </c>
      <c r="E282" s="1">
        <f t="shared" si="99"/>
        <v>19</v>
      </c>
      <c r="F282">
        <f t="shared" ref="F282:O291" si="109">LEN($B282)-LEN(SUBSTITUTE($B282,F$1,""))</f>
        <v>9</v>
      </c>
      <c r="G282">
        <f t="shared" si="109"/>
        <v>1</v>
      </c>
      <c r="H282">
        <f t="shared" si="109"/>
        <v>4</v>
      </c>
      <c r="I282">
        <f t="shared" si="109"/>
        <v>2</v>
      </c>
      <c r="J282">
        <f t="shared" si="109"/>
        <v>7</v>
      </c>
      <c r="K282">
        <f t="shared" si="109"/>
        <v>4</v>
      </c>
      <c r="L282">
        <f t="shared" si="109"/>
        <v>1</v>
      </c>
      <c r="M282">
        <f t="shared" si="109"/>
        <v>5</v>
      </c>
      <c r="N282">
        <f t="shared" si="109"/>
        <v>8</v>
      </c>
      <c r="O282">
        <f t="shared" si="109"/>
        <v>0</v>
      </c>
      <c r="P282">
        <f t="shared" ref="P282:Y291" si="110">LEN($B282)-LEN(SUBSTITUTE($B282,P$1,""))</f>
        <v>3</v>
      </c>
      <c r="Q282">
        <f t="shared" si="110"/>
        <v>3</v>
      </c>
      <c r="R282">
        <f t="shared" si="110"/>
        <v>2</v>
      </c>
      <c r="S282">
        <f t="shared" si="110"/>
        <v>4</v>
      </c>
      <c r="T282">
        <f t="shared" si="110"/>
        <v>4</v>
      </c>
      <c r="U282">
        <f t="shared" si="110"/>
        <v>3</v>
      </c>
      <c r="V282">
        <f t="shared" si="110"/>
        <v>0</v>
      </c>
      <c r="W282">
        <f t="shared" si="110"/>
        <v>5</v>
      </c>
      <c r="X282">
        <f t="shared" si="110"/>
        <v>5</v>
      </c>
      <c r="Y282">
        <f t="shared" si="110"/>
        <v>6</v>
      </c>
      <c r="Z282">
        <f t="shared" ref="Z282:AE291" si="111">LEN($B282)-LEN(SUBSTITUTE($B282,Z$1,""))</f>
        <v>2</v>
      </c>
      <c r="AA282">
        <f t="shared" si="111"/>
        <v>1</v>
      </c>
      <c r="AB282">
        <f t="shared" si="111"/>
        <v>0</v>
      </c>
      <c r="AC282">
        <f t="shared" si="111"/>
        <v>0</v>
      </c>
      <c r="AD282">
        <f t="shared" si="111"/>
        <v>1</v>
      </c>
      <c r="AE282">
        <f t="shared" si="111"/>
        <v>1</v>
      </c>
      <c r="AF282" s="56">
        <f t="shared" si="100"/>
        <v>22</v>
      </c>
      <c r="AG282" s="59">
        <f t="shared" si="101"/>
        <v>5.3684210526315788</v>
      </c>
      <c r="AH282">
        <f t="shared" si="102"/>
        <v>0.24401913875598086</v>
      </c>
    </row>
    <row r="283" spans="1:34" ht="15" x14ac:dyDescent="0.2">
      <c r="A283">
        <v>171</v>
      </c>
      <c r="B283" s="57" t="s">
        <v>235</v>
      </c>
      <c r="C283" s="57"/>
      <c r="D283">
        <f t="shared" si="98"/>
        <v>102</v>
      </c>
      <c r="E283" s="1">
        <f t="shared" si="99"/>
        <v>18</v>
      </c>
      <c r="F283">
        <f t="shared" si="109"/>
        <v>4</v>
      </c>
      <c r="G283">
        <f t="shared" si="109"/>
        <v>2</v>
      </c>
      <c r="H283">
        <f t="shared" si="109"/>
        <v>3</v>
      </c>
      <c r="I283">
        <f t="shared" si="109"/>
        <v>4</v>
      </c>
      <c r="J283">
        <f t="shared" si="109"/>
        <v>15</v>
      </c>
      <c r="K283">
        <f t="shared" si="109"/>
        <v>1</v>
      </c>
      <c r="L283">
        <f t="shared" si="109"/>
        <v>5</v>
      </c>
      <c r="M283">
        <f t="shared" si="109"/>
        <v>4</v>
      </c>
      <c r="N283">
        <f t="shared" si="109"/>
        <v>9</v>
      </c>
      <c r="O283">
        <f t="shared" si="109"/>
        <v>0</v>
      </c>
      <c r="P283">
        <f t="shared" si="110"/>
        <v>1</v>
      </c>
      <c r="Q283">
        <f t="shared" si="110"/>
        <v>2</v>
      </c>
      <c r="R283">
        <f t="shared" si="110"/>
        <v>2</v>
      </c>
      <c r="S283">
        <f t="shared" si="110"/>
        <v>2</v>
      </c>
      <c r="T283">
        <f t="shared" si="110"/>
        <v>6</v>
      </c>
      <c r="U283">
        <f t="shared" si="110"/>
        <v>2</v>
      </c>
      <c r="V283">
        <f t="shared" si="110"/>
        <v>0</v>
      </c>
      <c r="W283">
        <f t="shared" si="110"/>
        <v>5</v>
      </c>
      <c r="X283">
        <f t="shared" si="110"/>
        <v>5</v>
      </c>
      <c r="Y283">
        <f t="shared" si="110"/>
        <v>5</v>
      </c>
      <c r="Z283">
        <f t="shared" si="111"/>
        <v>1</v>
      </c>
      <c r="AA283">
        <f t="shared" si="111"/>
        <v>3</v>
      </c>
      <c r="AB283">
        <f t="shared" si="111"/>
        <v>1</v>
      </c>
      <c r="AC283">
        <f t="shared" si="111"/>
        <v>0</v>
      </c>
      <c r="AD283">
        <f t="shared" si="111"/>
        <v>1</v>
      </c>
      <c r="AE283">
        <f t="shared" si="111"/>
        <v>0</v>
      </c>
      <c r="AF283" s="56">
        <f t="shared" si="100"/>
        <v>22</v>
      </c>
      <c r="AG283" s="59">
        <f t="shared" si="101"/>
        <v>5.666666666666667</v>
      </c>
      <c r="AH283">
        <f t="shared" si="102"/>
        <v>0.25757575757575757</v>
      </c>
    </row>
    <row r="284" spans="1:34" ht="15" x14ac:dyDescent="0.2">
      <c r="A284">
        <v>592</v>
      </c>
      <c r="B284" s="57" t="s">
        <v>612</v>
      </c>
      <c r="C284" s="57"/>
      <c r="D284">
        <f t="shared" si="98"/>
        <v>101</v>
      </c>
      <c r="E284" s="1">
        <f t="shared" si="99"/>
        <v>20</v>
      </c>
      <c r="F284">
        <f t="shared" si="109"/>
        <v>5</v>
      </c>
      <c r="G284">
        <f t="shared" si="109"/>
        <v>0</v>
      </c>
      <c r="H284">
        <f t="shared" si="109"/>
        <v>1</v>
      </c>
      <c r="I284">
        <f t="shared" si="109"/>
        <v>3</v>
      </c>
      <c r="J284">
        <f t="shared" si="109"/>
        <v>11</v>
      </c>
      <c r="K284">
        <f t="shared" si="109"/>
        <v>4</v>
      </c>
      <c r="L284">
        <f t="shared" si="109"/>
        <v>0</v>
      </c>
      <c r="M284">
        <f t="shared" si="109"/>
        <v>3</v>
      </c>
      <c r="N284">
        <f t="shared" si="109"/>
        <v>7</v>
      </c>
      <c r="O284">
        <f t="shared" si="109"/>
        <v>1</v>
      </c>
      <c r="P284">
        <f t="shared" si="110"/>
        <v>1</v>
      </c>
      <c r="Q284">
        <f t="shared" si="110"/>
        <v>2</v>
      </c>
      <c r="R284">
        <f t="shared" si="110"/>
        <v>3</v>
      </c>
      <c r="S284">
        <f t="shared" si="110"/>
        <v>5</v>
      </c>
      <c r="T284">
        <f t="shared" si="110"/>
        <v>6</v>
      </c>
      <c r="U284">
        <f t="shared" si="110"/>
        <v>1</v>
      </c>
      <c r="V284">
        <f t="shared" si="110"/>
        <v>0</v>
      </c>
      <c r="W284">
        <f t="shared" si="110"/>
        <v>5</v>
      </c>
      <c r="X284">
        <f t="shared" si="110"/>
        <v>4</v>
      </c>
      <c r="Y284">
        <f t="shared" si="110"/>
        <v>8</v>
      </c>
      <c r="Z284">
        <f t="shared" si="111"/>
        <v>3</v>
      </c>
      <c r="AA284">
        <f t="shared" si="111"/>
        <v>1</v>
      </c>
      <c r="AB284">
        <f t="shared" si="111"/>
        <v>2</v>
      </c>
      <c r="AC284">
        <f t="shared" si="111"/>
        <v>0</v>
      </c>
      <c r="AD284">
        <f t="shared" si="111"/>
        <v>3</v>
      </c>
      <c r="AE284">
        <f t="shared" si="111"/>
        <v>0</v>
      </c>
      <c r="AF284" s="56">
        <f t="shared" si="100"/>
        <v>21</v>
      </c>
      <c r="AG284" s="59">
        <f t="shared" si="101"/>
        <v>5.05</v>
      </c>
      <c r="AH284">
        <f t="shared" si="102"/>
        <v>0.24047619047619045</v>
      </c>
    </row>
    <row r="285" spans="1:34" ht="15" x14ac:dyDescent="0.2">
      <c r="A285">
        <v>605</v>
      </c>
      <c r="B285" s="57" t="s">
        <v>625</v>
      </c>
      <c r="C285" s="57"/>
      <c r="D285">
        <f t="shared" si="98"/>
        <v>100</v>
      </c>
      <c r="E285" s="1">
        <f t="shared" si="99"/>
        <v>17</v>
      </c>
      <c r="F285">
        <f t="shared" si="109"/>
        <v>6</v>
      </c>
      <c r="G285">
        <f t="shared" si="109"/>
        <v>1</v>
      </c>
      <c r="H285">
        <f t="shared" si="109"/>
        <v>4</v>
      </c>
      <c r="I285">
        <f t="shared" si="109"/>
        <v>1</v>
      </c>
      <c r="J285">
        <f t="shared" si="109"/>
        <v>10</v>
      </c>
      <c r="K285">
        <f t="shared" si="109"/>
        <v>1</v>
      </c>
      <c r="L285">
        <f t="shared" si="109"/>
        <v>1</v>
      </c>
      <c r="M285">
        <f t="shared" si="109"/>
        <v>3</v>
      </c>
      <c r="N285">
        <f t="shared" si="109"/>
        <v>6</v>
      </c>
      <c r="O285">
        <f t="shared" si="109"/>
        <v>0</v>
      </c>
      <c r="P285">
        <f t="shared" si="110"/>
        <v>0</v>
      </c>
      <c r="Q285">
        <f t="shared" si="110"/>
        <v>6</v>
      </c>
      <c r="R285">
        <f t="shared" si="110"/>
        <v>0</v>
      </c>
      <c r="S285">
        <f t="shared" si="110"/>
        <v>3</v>
      </c>
      <c r="T285">
        <f t="shared" si="110"/>
        <v>4</v>
      </c>
      <c r="U285">
        <f t="shared" si="110"/>
        <v>1</v>
      </c>
      <c r="V285">
        <f t="shared" si="110"/>
        <v>0</v>
      </c>
      <c r="W285">
        <f t="shared" si="110"/>
        <v>6</v>
      </c>
      <c r="X285">
        <f t="shared" si="110"/>
        <v>6</v>
      </c>
      <c r="Y285">
        <f t="shared" si="110"/>
        <v>12</v>
      </c>
      <c r="Z285">
        <f t="shared" si="111"/>
        <v>3</v>
      </c>
      <c r="AA285">
        <f t="shared" si="111"/>
        <v>1</v>
      </c>
      <c r="AB285">
        <f t="shared" si="111"/>
        <v>2</v>
      </c>
      <c r="AC285">
        <f t="shared" si="111"/>
        <v>0</v>
      </c>
      <c r="AD285">
        <f t="shared" si="111"/>
        <v>2</v>
      </c>
      <c r="AE285">
        <f t="shared" si="111"/>
        <v>0</v>
      </c>
      <c r="AF285" s="56">
        <f t="shared" si="100"/>
        <v>20</v>
      </c>
      <c r="AG285" s="59">
        <f t="shared" si="101"/>
        <v>5.882352941176471</v>
      </c>
      <c r="AH285">
        <f t="shared" si="102"/>
        <v>0.29411764705882354</v>
      </c>
    </row>
    <row r="286" spans="1:34" ht="15" x14ac:dyDescent="0.2">
      <c r="A286">
        <v>567</v>
      </c>
      <c r="B286" s="57" t="s">
        <v>589</v>
      </c>
      <c r="C286" s="57"/>
      <c r="D286">
        <f t="shared" si="98"/>
        <v>100</v>
      </c>
      <c r="E286" s="1">
        <f t="shared" si="99"/>
        <v>21</v>
      </c>
      <c r="F286">
        <f t="shared" si="109"/>
        <v>6</v>
      </c>
      <c r="G286">
        <f t="shared" si="109"/>
        <v>1</v>
      </c>
      <c r="H286">
        <f t="shared" si="109"/>
        <v>2</v>
      </c>
      <c r="I286">
        <f t="shared" si="109"/>
        <v>4</v>
      </c>
      <c r="J286">
        <f t="shared" si="109"/>
        <v>8</v>
      </c>
      <c r="K286">
        <f t="shared" si="109"/>
        <v>1</v>
      </c>
      <c r="L286">
        <f t="shared" si="109"/>
        <v>2</v>
      </c>
      <c r="M286">
        <f t="shared" si="109"/>
        <v>2</v>
      </c>
      <c r="N286">
        <f t="shared" si="109"/>
        <v>8</v>
      </c>
      <c r="O286">
        <f t="shared" si="109"/>
        <v>0</v>
      </c>
      <c r="P286">
        <f t="shared" si="110"/>
        <v>1</v>
      </c>
      <c r="Q286">
        <f t="shared" si="110"/>
        <v>5</v>
      </c>
      <c r="R286">
        <f t="shared" si="110"/>
        <v>2</v>
      </c>
      <c r="S286">
        <f t="shared" si="110"/>
        <v>4</v>
      </c>
      <c r="T286">
        <f t="shared" si="110"/>
        <v>7</v>
      </c>
      <c r="U286">
        <f t="shared" si="110"/>
        <v>3</v>
      </c>
      <c r="V286">
        <f t="shared" si="110"/>
        <v>0</v>
      </c>
      <c r="W286">
        <f t="shared" si="110"/>
        <v>2</v>
      </c>
      <c r="X286">
        <f t="shared" si="110"/>
        <v>4</v>
      </c>
      <c r="Y286">
        <f t="shared" si="110"/>
        <v>2</v>
      </c>
      <c r="Z286">
        <f t="shared" si="111"/>
        <v>3</v>
      </c>
      <c r="AA286">
        <f t="shared" si="111"/>
        <v>2</v>
      </c>
      <c r="AB286">
        <f t="shared" si="111"/>
        <v>2</v>
      </c>
      <c r="AC286">
        <f t="shared" si="111"/>
        <v>0</v>
      </c>
      <c r="AD286">
        <f t="shared" si="111"/>
        <v>4</v>
      </c>
      <c r="AE286">
        <f t="shared" si="111"/>
        <v>0</v>
      </c>
      <c r="AF286" s="56">
        <f t="shared" si="100"/>
        <v>22</v>
      </c>
      <c r="AG286" s="59">
        <f t="shared" si="101"/>
        <v>4.7619047619047619</v>
      </c>
      <c r="AH286">
        <f t="shared" si="102"/>
        <v>0.21645021645021645</v>
      </c>
    </row>
    <row r="287" spans="1:34" ht="15" x14ac:dyDescent="0.2">
      <c r="A287">
        <v>595</v>
      </c>
      <c r="B287" s="57" t="s">
        <v>615</v>
      </c>
      <c r="C287" s="57"/>
      <c r="D287">
        <f t="shared" si="98"/>
        <v>99</v>
      </c>
      <c r="E287" s="1">
        <f t="shared" si="99"/>
        <v>19</v>
      </c>
      <c r="F287">
        <f t="shared" si="109"/>
        <v>7</v>
      </c>
      <c r="G287">
        <f t="shared" si="109"/>
        <v>1</v>
      </c>
      <c r="H287">
        <f t="shared" si="109"/>
        <v>2</v>
      </c>
      <c r="I287">
        <f t="shared" si="109"/>
        <v>1</v>
      </c>
      <c r="J287">
        <f t="shared" si="109"/>
        <v>12</v>
      </c>
      <c r="K287">
        <f t="shared" si="109"/>
        <v>1</v>
      </c>
      <c r="L287">
        <f t="shared" si="109"/>
        <v>4</v>
      </c>
      <c r="M287">
        <f t="shared" si="109"/>
        <v>2</v>
      </c>
      <c r="N287">
        <f t="shared" si="109"/>
        <v>3</v>
      </c>
      <c r="O287">
        <f t="shared" si="109"/>
        <v>0</v>
      </c>
      <c r="P287">
        <f t="shared" si="110"/>
        <v>1</v>
      </c>
      <c r="Q287">
        <f t="shared" si="110"/>
        <v>3</v>
      </c>
      <c r="R287">
        <f t="shared" si="110"/>
        <v>3</v>
      </c>
      <c r="S287">
        <f t="shared" si="110"/>
        <v>7</v>
      </c>
      <c r="T287">
        <f t="shared" si="110"/>
        <v>7</v>
      </c>
      <c r="U287">
        <f t="shared" si="110"/>
        <v>0</v>
      </c>
      <c r="V287">
        <f t="shared" si="110"/>
        <v>0</v>
      </c>
      <c r="W287">
        <f t="shared" si="110"/>
        <v>7</v>
      </c>
      <c r="X287">
        <f t="shared" si="110"/>
        <v>3</v>
      </c>
      <c r="Y287">
        <f t="shared" si="110"/>
        <v>8</v>
      </c>
      <c r="Z287">
        <f t="shared" si="111"/>
        <v>0</v>
      </c>
      <c r="AA287">
        <f t="shared" si="111"/>
        <v>0</v>
      </c>
      <c r="AB287">
        <f t="shared" si="111"/>
        <v>1</v>
      </c>
      <c r="AC287">
        <f t="shared" si="111"/>
        <v>0</v>
      </c>
      <c r="AD287">
        <f t="shared" si="111"/>
        <v>2</v>
      </c>
      <c r="AE287">
        <f t="shared" si="111"/>
        <v>0</v>
      </c>
      <c r="AF287" s="56">
        <f t="shared" si="100"/>
        <v>19</v>
      </c>
      <c r="AG287" s="59">
        <f t="shared" si="101"/>
        <v>5.2105263157894735</v>
      </c>
      <c r="AH287">
        <f t="shared" si="102"/>
        <v>0.2742382271468144</v>
      </c>
    </row>
    <row r="288" spans="1:34" ht="15" x14ac:dyDescent="0.2">
      <c r="A288">
        <v>47</v>
      </c>
      <c r="B288" s="57" t="s">
        <v>112</v>
      </c>
      <c r="C288" s="57"/>
      <c r="D288">
        <f t="shared" si="98"/>
        <v>99</v>
      </c>
      <c r="E288" s="1">
        <f t="shared" si="99"/>
        <v>24</v>
      </c>
      <c r="F288">
        <f t="shared" si="109"/>
        <v>12</v>
      </c>
      <c r="G288">
        <f t="shared" si="109"/>
        <v>0</v>
      </c>
      <c r="H288">
        <f t="shared" si="109"/>
        <v>3</v>
      </c>
      <c r="I288">
        <f t="shared" si="109"/>
        <v>4</v>
      </c>
      <c r="J288">
        <f t="shared" si="109"/>
        <v>7</v>
      </c>
      <c r="K288">
        <f t="shared" si="109"/>
        <v>4</v>
      </c>
      <c r="L288">
        <f t="shared" si="109"/>
        <v>1</v>
      </c>
      <c r="M288">
        <f t="shared" si="109"/>
        <v>5</v>
      </c>
      <c r="N288">
        <f t="shared" si="109"/>
        <v>5</v>
      </c>
      <c r="O288">
        <f t="shared" si="109"/>
        <v>0</v>
      </c>
      <c r="P288">
        <f t="shared" si="110"/>
        <v>1</v>
      </c>
      <c r="Q288">
        <f t="shared" si="110"/>
        <v>3</v>
      </c>
      <c r="R288">
        <f t="shared" si="110"/>
        <v>5</v>
      </c>
      <c r="S288">
        <f t="shared" si="110"/>
        <v>5</v>
      </c>
      <c r="T288">
        <f t="shared" si="110"/>
        <v>5</v>
      </c>
      <c r="U288">
        <f t="shared" si="110"/>
        <v>0</v>
      </c>
      <c r="V288">
        <f t="shared" si="110"/>
        <v>0</v>
      </c>
      <c r="W288">
        <f t="shared" si="110"/>
        <v>1</v>
      </c>
      <c r="X288">
        <f t="shared" si="110"/>
        <v>4</v>
      </c>
      <c r="Y288">
        <f t="shared" si="110"/>
        <v>3</v>
      </c>
      <c r="Z288">
        <f t="shared" si="111"/>
        <v>2</v>
      </c>
      <c r="AA288">
        <f t="shared" si="111"/>
        <v>1</v>
      </c>
      <c r="AB288">
        <f t="shared" si="111"/>
        <v>0</v>
      </c>
      <c r="AC288">
        <f t="shared" si="111"/>
        <v>0</v>
      </c>
      <c r="AD288">
        <f t="shared" si="111"/>
        <v>3</v>
      </c>
      <c r="AE288">
        <f t="shared" si="111"/>
        <v>0</v>
      </c>
      <c r="AF288" s="56">
        <f t="shared" si="100"/>
        <v>19</v>
      </c>
      <c r="AG288" s="59">
        <f t="shared" si="101"/>
        <v>4.125</v>
      </c>
      <c r="AH288">
        <f t="shared" si="102"/>
        <v>0.21710526315789475</v>
      </c>
    </row>
    <row r="289" spans="1:34" ht="15" x14ac:dyDescent="0.2">
      <c r="A289">
        <v>376</v>
      </c>
      <c r="B289" s="57" t="s">
        <v>431</v>
      </c>
      <c r="C289" s="57"/>
      <c r="D289">
        <f t="shared" si="98"/>
        <v>99</v>
      </c>
      <c r="E289" s="1">
        <f t="shared" si="99"/>
        <v>17</v>
      </c>
      <c r="F289">
        <f t="shared" si="109"/>
        <v>12</v>
      </c>
      <c r="G289">
        <f t="shared" si="109"/>
        <v>1</v>
      </c>
      <c r="H289">
        <f t="shared" si="109"/>
        <v>2</v>
      </c>
      <c r="I289">
        <f t="shared" si="109"/>
        <v>2</v>
      </c>
      <c r="J289">
        <f t="shared" si="109"/>
        <v>10</v>
      </c>
      <c r="K289">
        <f t="shared" si="109"/>
        <v>2</v>
      </c>
      <c r="L289">
        <f t="shared" si="109"/>
        <v>1</v>
      </c>
      <c r="M289">
        <f t="shared" si="109"/>
        <v>4</v>
      </c>
      <c r="N289">
        <f t="shared" si="109"/>
        <v>2</v>
      </c>
      <c r="O289">
        <f t="shared" si="109"/>
        <v>0</v>
      </c>
      <c r="P289">
        <f t="shared" si="110"/>
        <v>0</v>
      </c>
      <c r="Q289">
        <f t="shared" si="110"/>
        <v>3</v>
      </c>
      <c r="R289">
        <f t="shared" si="110"/>
        <v>5</v>
      </c>
      <c r="S289">
        <f t="shared" si="110"/>
        <v>6</v>
      </c>
      <c r="T289">
        <f t="shared" si="110"/>
        <v>3</v>
      </c>
      <c r="U289">
        <f t="shared" si="110"/>
        <v>2</v>
      </c>
      <c r="V289">
        <f t="shared" si="110"/>
        <v>0</v>
      </c>
      <c r="W289">
        <f t="shared" si="110"/>
        <v>9</v>
      </c>
      <c r="X289">
        <f t="shared" si="110"/>
        <v>3</v>
      </c>
      <c r="Y289">
        <f t="shared" si="110"/>
        <v>7</v>
      </c>
      <c r="Z289">
        <f t="shared" si="111"/>
        <v>3</v>
      </c>
      <c r="AA289">
        <f t="shared" si="111"/>
        <v>1</v>
      </c>
      <c r="AB289">
        <f t="shared" si="111"/>
        <v>0</v>
      </c>
      <c r="AC289">
        <f t="shared" si="111"/>
        <v>1</v>
      </c>
      <c r="AD289">
        <f t="shared" si="111"/>
        <v>2</v>
      </c>
      <c r="AE289">
        <f t="shared" si="111"/>
        <v>0</v>
      </c>
      <c r="AF289" s="56">
        <f t="shared" si="100"/>
        <v>21</v>
      </c>
      <c r="AG289" s="59">
        <f t="shared" si="101"/>
        <v>5.8235294117647056</v>
      </c>
      <c r="AH289">
        <f t="shared" si="102"/>
        <v>0.27731092436974791</v>
      </c>
    </row>
    <row r="290" spans="1:34" ht="15" x14ac:dyDescent="0.2">
      <c r="A290">
        <v>430</v>
      </c>
      <c r="B290" s="57" t="s">
        <v>475</v>
      </c>
      <c r="C290" s="57"/>
      <c r="D290">
        <f t="shared" si="98"/>
        <v>99</v>
      </c>
      <c r="E290" s="1">
        <f t="shared" si="99"/>
        <v>21</v>
      </c>
      <c r="F290">
        <f t="shared" si="109"/>
        <v>5</v>
      </c>
      <c r="G290">
        <f t="shared" si="109"/>
        <v>3</v>
      </c>
      <c r="H290">
        <f t="shared" si="109"/>
        <v>0</v>
      </c>
      <c r="I290">
        <f t="shared" si="109"/>
        <v>3</v>
      </c>
      <c r="J290">
        <f t="shared" si="109"/>
        <v>7</v>
      </c>
      <c r="K290">
        <f t="shared" si="109"/>
        <v>1</v>
      </c>
      <c r="L290">
        <f t="shared" si="109"/>
        <v>1</v>
      </c>
      <c r="M290">
        <f t="shared" si="109"/>
        <v>5</v>
      </c>
      <c r="N290">
        <f t="shared" si="109"/>
        <v>5</v>
      </c>
      <c r="O290">
        <f t="shared" si="109"/>
        <v>0</v>
      </c>
      <c r="P290">
        <f t="shared" si="110"/>
        <v>1</v>
      </c>
      <c r="Q290">
        <f t="shared" si="110"/>
        <v>3</v>
      </c>
      <c r="R290">
        <f t="shared" si="110"/>
        <v>2</v>
      </c>
      <c r="S290">
        <f t="shared" si="110"/>
        <v>4</v>
      </c>
      <c r="T290">
        <f t="shared" si="110"/>
        <v>11</v>
      </c>
      <c r="U290">
        <f t="shared" si="110"/>
        <v>1</v>
      </c>
      <c r="V290">
        <f t="shared" si="110"/>
        <v>1</v>
      </c>
      <c r="W290">
        <f t="shared" si="110"/>
        <v>3</v>
      </c>
      <c r="X290">
        <f t="shared" si="110"/>
        <v>1</v>
      </c>
      <c r="Y290">
        <f t="shared" si="110"/>
        <v>11</v>
      </c>
      <c r="Z290">
        <f t="shared" si="111"/>
        <v>5</v>
      </c>
      <c r="AA290">
        <f t="shared" si="111"/>
        <v>1</v>
      </c>
      <c r="AB290">
        <f t="shared" si="111"/>
        <v>2</v>
      </c>
      <c r="AC290">
        <f t="shared" si="111"/>
        <v>0</v>
      </c>
      <c r="AD290">
        <f t="shared" si="111"/>
        <v>1</v>
      </c>
      <c r="AE290">
        <f t="shared" si="111"/>
        <v>0</v>
      </c>
      <c r="AF290" s="56">
        <f t="shared" si="100"/>
        <v>22</v>
      </c>
      <c r="AG290" s="59">
        <f t="shared" si="101"/>
        <v>4.7142857142857144</v>
      </c>
      <c r="AH290">
        <f t="shared" si="102"/>
        <v>0.2142857142857143</v>
      </c>
    </row>
    <row r="291" spans="1:34" ht="15" x14ac:dyDescent="0.2">
      <c r="A291">
        <v>578</v>
      </c>
      <c r="B291" s="57" t="s">
        <v>599</v>
      </c>
      <c r="C291" s="57"/>
      <c r="D291">
        <f t="shared" si="98"/>
        <v>98</v>
      </c>
      <c r="E291" s="1">
        <f t="shared" si="99"/>
        <v>18</v>
      </c>
      <c r="F291">
        <f t="shared" si="109"/>
        <v>7</v>
      </c>
      <c r="G291">
        <f t="shared" si="109"/>
        <v>0</v>
      </c>
      <c r="H291">
        <f t="shared" si="109"/>
        <v>2</v>
      </c>
      <c r="I291">
        <f t="shared" si="109"/>
        <v>2</v>
      </c>
      <c r="J291">
        <f t="shared" si="109"/>
        <v>9</v>
      </c>
      <c r="K291">
        <f t="shared" si="109"/>
        <v>2</v>
      </c>
      <c r="L291">
        <f t="shared" si="109"/>
        <v>2</v>
      </c>
      <c r="M291">
        <f t="shared" si="109"/>
        <v>4</v>
      </c>
      <c r="N291">
        <f t="shared" si="109"/>
        <v>4</v>
      </c>
      <c r="O291">
        <f t="shared" si="109"/>
        <v>0</v>
      </c>
      <c r="P291">
        <f t="shared" si="110"/>
        <v>0</v>
      </c>
      <c r="Q291">
        <f t="shared" si="110"/>
        <v>6</v>
      </c>
      <c r="R291">
        <f t="shared" si="110"/>
        <v>0</v>
      </c>
      <c r="S291">
        <f t="shared" si="110"/>
        <v>4</v>
      </c>
      <c r="T291">
        <f t="shared" si="110"/>
        <v>6</v>
      </c>
      <c r="U291">
        <f t="shared" si="110"/>
        <v>1</v>
      </c>
      <c r="V291">
        <f t="shared" si="110"/>
        <v>0</v>
      </c>
      <c r="W291">
        <f t="shared" si="110"/>
        <v>7</v>
      </c>
      <c r="X291">
        <f t="shared" si="110"/>
        <v>2</v>
      </c>
      <c r="Y291">
        <f t="shared" si="110"/>
        <v>5</v>
      </c>
      <c r="Z291">
        <f t="shared" si="111"/>
        <v>4</v>
      </c>
      <c r="AA291">
        <f t="shared" si="111"/>
        <v>2</v>
      </c>
      <c r="AB291">
        <f t="shared" si="111"/>
        <v>2</v>
      </c>
      <c r="AC291">
        <f t="shared" si="111"/>
        <v>0</v>
      </c>
      <c r="AD291">
        <f t="shared" si="111"/>
        <v>4</v>
      </c>
      <c r="AE291">
        <f t="shared" si="111"/>
        <v>0</v>
      </c>
      <c r="AF291" s="56">
        <f t="shared" si="100"/>
        <v>19</v>
      </c>
      <c r="AG291" s="59">
        <f t="shared" si="101"/>
        <v>5.4444444444444446</v>
      </c>
      <c r="AH291">
        <f t="shared" si="102"/>
        <v>0.28654970760233917</v>
      </c>
    </row>
    <row r="292" spans="1:34" ht="15" x14ac:dyDescent="0.2">
      <c r="A292">
        <v>125</v>
      </c>
      <c r="B292" s="57" t="s">
        <v>190</v>
      </c>
      <c r="C292" s="57"/>
      <c r="D292">
        <f t="shared" si="98"/>
        <v>98</v>
      </c>
      <c r="E292" s="1">
        <f t="shared" si="99"/>
        <v>16</v>
      </c>
      <c r="F292">
        <f t="shared" ref="F292:O301" si="112">LEN($B292)-LEN(SUBSTITUTE($B292,F$1,""))</f>
        <v>3</v>
      </c>
      <c r="G292">
        <f t="shared" si="112"/>
        <v>2</v>
      </c>
      <c r="H292">
        <f t="shared" si="112"/>
        <v>2</v>
      </c>
      <c r="I292">
        <f t="shared" si="112"/>
        <v>3</v>
      </c>
      <c r="J292">
        <f t="shared" si="112"/>
        <v>7</v>
      </c>
      <c r="K292">
        <f t="shared" si="112"/>
        <v>3</v>
      </c>
      <c r="L292">
        <f t="shared" si="112"/>
        <v>3</v>
      </c>
      <c r="M292">
        <f t="shared" si="112"/>
        <v>6</v>
      </c>
      <c r="N292">
        <f t="shared" si="112"/>
        <v>11</v>
      </c>
      <c r="O292">
        <f t="shared" si="112"/>
        <v>0</v>
      </c>
      <c r="P292">
        <f t="shared" ref="P292:Y301" si="113">LEN($B292)-LEN(SUBSTITUTE($B292,P$1,""))</f>
        <v>0</v>
      </c>
      <c r="Q292">
        <f t="shared" si="113"/>
        <v>2</v>
      </c>
      <c r="R292">
        <f t="shared" si="113"/>
        <v>2</v>
      </c>
      <c r="S292">
        <f t="shared" si="113"/>
        <v>3</v>
      </c>
      <c r="T292">
        <f t="shared" si="113"/>
        <v>6</v>
      </c>
      <c r="U292">
        <f t="shared" si="113"/>
        <v>2</v>
      </c>
      <c r="V292">
        <f t="shared" si="113"/>
        <v>0</v>
      </c>
      <c r="W292">
        <f t="shared" si="113"/>
        <v>4</v>
      </c>
      <c r="X292">
        <f t="shared" si="113"/>
        <v>5</v>
      </c>
      <c r="Y292">
        <f t="shared" si="113"/>
        <v>11</v>
      </c>
      <c r="Z292">
        <f t="shared" ref="Z292:AE301" si="114">LEN($B292)-LEN(SUBSTITUTE($B292,Z$1,""))</f>
        <v>2</v>
      </c>
      <c r="AA292">
        <f t="shared" si="114"/>
        <v>0</v>
      </c>
      <c r="AB292">
        <f t="shared" si="114"/>
        <v>3</v>
      </c>
      <c r="AC292">
        <f t="shared" si="114"/>
        <v>0</v>
      </c>
      <c r="AD292">
        <f t="shared" si="114"/>
        <v>1</v>
      </c>
      <c r="AE292">
        <f t="shared" si="114"/>
        <v>0</v>
      </c>
      <c r="AF292" s="56">
        <f t="shared" si="100"/>
        <v>20</v>
      </c>
      <c r="AG292" s="59">
        <f t="shared" si="101"/>
        <v>6.125</v>
      </c>
      <c r="AH292">
        <f t="shared" si="102"/>
        <v>0.30625000000000002</v>
      </c>
    </row>
    <row r="293" spans="1:34" ht="15" x14ac:dyDescent="0.2">
      <c r="A293">
        <v>164</v>
      </c>
      <c r="B293" s="57" t="s">
        <v>228</v>
      </c>
      <c r="C293" s="57"/>
      <c r="D293">
        <f t="shared" si="98"/>
        <v>97</v>
      </c>
      <c r="E293" s="1">
        <f t="shared" si="99"/>
        <v>19</v>
      </c>
      <c r="F293">
        <f t="shared" si="112"/>
        <v>8</v>
      </c>
      <c r="G293">
        <f t="shared" si="112"/>
        <v>1</v>
      </c>
      <c r="H293">
        <f t="shared" si="112"/>
        <v>1</v>
      </c>
      <c r="I293">
        <f t="shared" si="112"/>
        <v>4</v>
      </c>
      <c r="J293">
        <f t="shared" si="112"/>
        <v>8</v>
      </c>
      <c r="K293">
        <f t="shared" si="112"/>
        <v>0</v>
      </c>
      <c r="L293">
        <f t="shared" si="112"/>
        <v>1</v>
      </c>
      <c r="M293">
        <f t="shared" si="112"/>
        <v>4</v>
      </c>
      <c r="N293">
        <f t="shared" si="112"/>
        <v>2</v>
      </c>
      <c r="O293">
        <f t="shared" si="112"/>
        <v>0</v>
      </c>
      <c r="P293">
        <f t="shared" si="113"/>
        <v>0</v>
      </c>
      <c r="Q293">
        <f t="shared" si="113"/>
        <v>6</v>
      </c>
      <c r="R293">
        <f t="shared" si="113"/>
        <v>0</v>
      </c>
      <c r="S293">
        <f t="shared" si="113"/>
        <v>7</v>
      </c>
      <c r="T293">
        <f t="shared" si="113"/>
        <v>5</v>
      </c>
      <c r="U293">
        <f t="shared" si="113"/>
        <v>1</v>
      </c>
      <c r="V293">
        <f t="shared" si="113"/>
        <v>0</v>
      </c>
      <c r="W293">
        <f t="shared" si="113"/>
        <v>1</v>
      </c>
      <c r="X293">
        <f t="shared" si="113"/>
        <v>3</v>
      </c>
      <c r="Y293">
        <f t="shared" si="113"/>
        <v>9</v>
      </c>
      <c r="Z293">
        <f t="shared" si="114"/>
        <v>1</v>
      </c>
      <c r="AA293">
        <f t="shared" si="114"/>
        <v>0</v>
      </c>
      <c r="AB293">
        <f t="shared" si="114"/>
        <v>4</v>
      </c>
      <c r="AC293">
        <f t="shared" si="114"/>
        <v>1</v>
      </c>
      <c r="AD293">
        <f t="shared" si="114"/>
        <v>6</v>
      </c>
      <c r="AE293">
        <f t="shared" si="114"/>
        <v>0</v>
      </c>
      <c r="AF293" s="56">
        <f t="shared" si="100"/>
        <v>19</v>
      </c>
      <c r="AG293" s="59">
        <f t="shared" si="101"/>
        <v>5.1052631578947372</v>
      </c>
      <c r="AH293">
        <f t="shared" si="102"/>
        <v>0.2686980609418283</v>
      </c>
    </row>
    <row r="294" spans="1:34" ht="15" x14ac:dyDescent="0.2">
      <c r="A294">
        <v>169</v>
      </c>
      <c r="B294" s="57" t="s">
        <v>233</v>
      </c>
      <c r="C294" s="57"/>
      <c r="D294">
        <f t="shared" si="98"/>
        <v>97</v>
      </c>
      <c r="E294" s="1">
        <f t="shared" si="99"/>
        <v>17</v>
      </c>
      <c r="F294">
        <f t="shared" si="112"/>
        <v>6</v>
      </c>
      <c r="G294">
        <f t="shared" si="112"/>
        <v>1</v>
      </c>
      <c r="H294">
        <f t="shared" si="112"/>
        <v>3</v>
      </c>
      <c r="I294">
        <f t="shared" si="112"/>
        <v>3</v>
      </c>
      <c r="J294">
        <f t="shared" si="112"/>
        <v>9</v>
      </c>
      <c r="K294">
        <f t="shared" si="112"/>
        <v>3</v>
      </c>
      <c r="L294">
        <f t="shared" si="112"/>
        <v>0</v>
      </c>
      <c r="M294">
        <f t="shared" si="112"/>
        <v>2</v>
      </c>
      <c r="N294">
        <f t="shared" si="112"/>
        <v>9</v>
      </c>
      <c r="O294">
        <f t="shared" si="112"/>
        <v>1</v>
      </c>
      <c r="P294">
        <f t="shared" si="113"/>
        <v>1</v>
      </c>
      <c r="Q294">
        <f t="shared" si="113"/>
        <v>7</v>
      </c>
      <c r="R294">
        <f t="shared" si="113"/>
        <v>4</v>
      </c>
      <c r="S294">
        <f t="shared" si="113"/>
        <v>4</v>
      </c>
      <c r="T294">
        <f t="shared" si="113"/>
        <v>4</v>
      </c>
      <c r="U294">
        <f t="shared" si="113"/>
        <v>3</v>
      </c>
      <c r="V294">
        <f t="shared" si="113"/>
        <v>0</v>
      </c>
      <c r="W294">
        <f t="shared" si="113"/>
        <v>5</v>
      </c>
      <c r="X294">
        <f t="shared" si="113"/>
        <v>3</v>
      </c>
      <c r="Y294">
        <f t="shared" si="113"/>
        <v>5</v>
      </c>
      <c r="Z294">
        <f t="shared" si="114"/>
        <v>3</v>
      </c>
      <c r="AA294">
        <f t="shared" si="114"/>
        <v>0</v>
      </c>
      <c r="AB294">
        <f t="shared" si="114"/>
        <v>1</v>
      </c>
      <c r="AC294">
        <f t="shared" si="114"/>
        <v>0</v>
      </c>
      <c r="AD294">
        <f t="shared" si="114"/>
        <v>3</v>
      </c>
      <c r="AE294">
        <f t="shared" si="114"/>
        <v>0</v>
      </c>
      <c r="AF294" s="56">
        <f t="shared" si="100"/>
        <v>21</v>
      </c>
      <c r="AG294" s="59">
        <f t="shared" si="101"/>
        <v>5.7058823529411766</v>
      </c>
      <c r="AH294">
        <f t="shared" si="102"/>
        <v>0.27170868347338939</v>
      </c>
    </row>
    <row r="295" spans="1:34" ht="15" x14ac:dyDescent="0.2">
      <c r="A295">
        <v>306</v>
      </c>
      <c r="B295" s="57" t="s">
        <v>366</v>
      </c>
      <c r="C295" s="57"/>
      <c r="D295">
        <f t="shared" si="98"/>
        <v>96</v>
      </c>
      <c r="E295" s="1">
        <f t="shared" si="99"/>
        <v>17</v>
      </c>
      <c r="F295">
        <f t="shared" si="112"/>
        <v>11</v>
      </c>
      <c r="G295">
        <f t="shared" si="112"/>
        <v>2</v>
      </c>
      <c r="H295">
        <f t="shared" si="112"/>
        <v>5</v>
      </c>
      <c r="I295">
        <f t="shared" si="112"/>
        <v>0</v>
      </c>
      <c r="J295">
        <f t="shared" si="112"/>
        <v>7</v>
      </c>
      <c r="K295">
        <f t="shared" si="112"/>
        <v>0</v>
      </c>
      <c r="L295">
        <f t="shared" si="112"/>
        <v>2</v>
      </c>
      <c r="M295">
        <f t="shared" si="112"/>
        <v>6</v>
      </c>
      <c r="N295">
        <f t="shared" si="112"/>
        <v>5</v>
      </c>
      <c r="O295">
        <f t="shared" si="112"/>
        <v>0</v>
      </c>
      <c r="P295">
        <f t="shared" si="113"/>
        <v>4</v>
      </c>
      <c r="Q295">
        <f t="shared" si="113"/>
        <v>5</v>
      </c>
      <c r="R295">
        <f t="shared" si="113"/>
        <v>3</v>
      </c>
      <c r="S295">
        <f t="shared" si="113"/>
        <v>3</v>
      </c>
      <c r="T295">
        <f t="shared" si="113"/>
        <v>2</v>
      </c>
      <c r="U295">
        <f t="shared" si="113"/>
        <v>0</v>
      </c>
      <c r="V295">
        <f t="shared" si="113"/>
        <v>0</v>
      </c>
      <c r="W295">
        <f t="shared" si="113"/>
        <v>6</v>
      </c>
      <c r="X295">
        <f t="shared" si="113"/>
        <v>7</v>
      </c>
      <c r="Y295">
        <f t="shared" si="113"/>
        <v>4</v>
      </c>
      <c r="Z295">
        <f t="shared" si="114"/>
        <v>3</v>
      </c>
      <c r="AA295">
        <f t="shared" si="114"/>
        <v>0</v>
      </c>
      <c r="AB295">
        <f t="shared" si="114"/>
        <v>2</v>
      </c>
      <c r="AC295">
        <f t="shared" si="114"/>
        <v>0</v>
      </c>
      <c r="AD295">
        <f t="shared" si="114"/>
        <v>0</v>
      </c>
      <c r="AE295">
        <f t="shared" si="114"/>
        <v>0</v>
      </c>
      <c r="AF295" s="56">
        <f t="shared" si="100"/>
        <v>17</v>
      </c>
      <c r="AG295" s="59">
        <f t="shared" si="101"/>
        <v>5.6470588235294121</v>
      </c>
      <c r="AH295">
        <f t="shared" si="102"/>
        <v>0.33217993079584779</v>
      </c>
    </row>
    <row r="296" spans="1:34" ht="15" x14ac:dyDescent="0.2">
      <c r="A296">
        <v>115</v>
      </c>
      <c r="B296" s="57" t="s">
        <v>180</v>
      </c>
      <c r="C296" s="57"/>
      <c r="D296">
        <f t="shared" si="98"/>
        <v>96</v>
      </c>
      <c r="E296" s="1">
        <f t="shared" si="99"/>
        <v>18</v>
      </c>
      <c r="F296">
        <f t="shared" si="112"/>
        <v>4</v>
      </c>
      <c r="G296">
        <f t="shared" si="112"/>
        <v>0</v>
      </c>
      <c r="H296">
        <f t="shared" si="112"/>
        <v>3</v>
      </c>
      <c r="I296">
        <f t="shared" si="112"/>
        <v>5</v>
      </c>
      <c r="J296">
        <f t="shared" si="112"/>
        <v>15</v>
      </c>
      <c r="K296">
        <f t="shared" si="112"/>
        <v>3</v>
      </c>
      <c r="L296">
        <f t="shared" si="112"/>
        <v>0</v>
      </c>
      <c r="M296">
        <f t="shared" si="112"/>
        <v>4</v>
      </c>
      <c r="N296">
        <f t="shared" si="112"/>
        <v>4</v>
      </c>
      <c r="O296">
        <f t="shared" si="112"/>
        <v>0</v>
      </c>
      <c r="P296">
        <f t="shared" si="113"/>
        <v>0</v>
      </c>
      <c r="Q296">
        <f t="shared" si="113"/>
        <v>2</v>
      </c>
      <c r="R296">
        <f t="shared" si="113"/>
        <v>3</v>
      </c>
      <c r="S296">
        <f t="shared" si="113"/>
        <v>3</v>
      </c>
      <c r="T296">
        <f t="shared" si="113"/>
        <v>5</v>
      </c>
      <c r="U296">
        <f t="shared" si="113"/>
        <v>3</v>
      </c>
      <c r="V296">
        <f t="shared" si="113"/>
        <v>0</v>
      </c>
      <c r="W296">
        <f t="shared" si="113"/>
        <v>4</v>
      </c>
      <c r="X296">
        <f t="shared" si="113"/>
        <v>5</v>
      </c>
      <c r="Y296">
        <f t="shared" si="113"/>
        <v>9</v>
      </c>
      <c r="Z296">
        <f t="shared" si="114"/>
        <v>2</v>
      </c>
      <c r="AA296">
        <f t="shared" si="114"/>
        <v>0</v>
      </c>
      <c r="AB296">
        <f t="shared" si="114"/>
        <v>1</v>
      </c>
      <c r="AC296">
        <f t="shared" si="114"/>
        <v>0</v>
      </c>
      <c r="AD296">
        <f t="shared" si="114"/>
        <v>4</v>
      </c>
      <c r="AE296">
        <f t="shared" si="114"/>
        <v>0</v>
      </c>
      <c r="AF296" s="56">
        <f t="shared" si="100"/>
        <v>18</v>
      </c>
      <c r="AG296" s="59">
        <f t="shared" si="101"/>
        <v>5.333333333333333</v>
      </c>
      <c r="AH296">
        <f t="shared" si="102"/>
        <v>0.29629629629629628</v>
      </c>
    </row>
    <row r="297" spans="1:34" ht="15" x14ac:dyDescent="0.2">
      <c r="A297">
        <v>75</v>
      </c>
      <c r="B297" s="57" t="s">
        <v>140</v>
      </c>
      <c r="C297" s="57"/>
      <c r="D297">
        <f t="shared" si="98"/>
        <v>96</v>
      </c>
      <c r="E297" s="1">
        <f t="shared" si="99"/>
        <v>16</v>
      </c>
      <c r="F297">
        <f t="shared" si="112"/>
        <v>6</v>
      </c>
      <c r="G297">
        <f t="shared" si="112"/>
        <v>2</v>
      </c>
      <c r="H297">
        <f t="shared" si="112"/>
        <v>1</v>
      </c>
      <c r="I297">
        <f t="shared" si="112"/>
        <v>2</v>
      </c>
      <c r="J297">
        <f t="shared" si="112"/>
        <v>9</v>
      </c>
      <c r="K297">
        <f t="shared" si="112"/>
        <v>0</v>
      </c>
      <c r="L297">
        <f t="shared" si="112"/>
        <v>3</v>
      </c>
      <c r="M297">
        <f t="shared" si="112"/>
        <v>6</v>
      </c>
      <c r="N297">
        <f t="shared" si="112"/>
        <v>9</v>
      </c>
      <c r="O297">
        <f t="shared" si="112"/>
        <v>0</v>
      </c>
      <c r="P297">
        <f t="shared" si="113"/>
        <v>0</v>
      </c>
      <c r="Q297">
        <f t="shared" si="113"/>
        <v>2</v>
      </c>
      <c r="R297">
        <f t="shared" si="113"/>
        <v>1</v>
      </c>
      <c r="S297">
        <f t="shared" si="113"/>
        <v>4</v>
      </c>
      <c r="T297">
        <f t="shared" si="113"/>
        <v>6</v>
      </c>
      <c r="U297">
        <f t="shared" si="113"/>
        <v>0</v>
      </c>
      <c r="V297">
        <f t="shared" si="113"/>
        <v>0</v>
      </c>
      <c r="W297">
        <f t="shared" si="113"/>
        <v>7</v>
      </c>
      <c r="X297">
        <f t="shared" si="113"/>
        <v>6</v>
      </c>
      <c r="Y297">
        <f t="shared" si="113"/>
        <v>10</v>
      </c>
      <c r="Z297">
        <f t="shared" si="114"/>
        <v>2</v>
      </c>
      <c r="AA297">
        <f t="shared" si="114"/>
        <v>1</v>
      </c>
      <c r="AB297">
        <f t="shared" si="114"/>
        <v>2</v>
      </c>
      <c r="AC297">
        <f t="shared" si="114"/>
        <v>0</v>
      </c>
      <c r="AD297">
        <f t="shared" si="114"/>
        <v>0</v>
      </c>
      <c r="AE297">
        <f t="shared" si="114"/>
        <v>0</v>
      </c>
      <c r="AF297" s="56">
        <f t="shared" si="100"/>
        <v>18</v>
      </c>
      <c r="AG297" s="59">
        <f t="shared" si="101"/>
        <v>6</v>
      </c>
      <c r="AH297">
        <f t="shared" si="102"/>
        <v>0.33333333333333331</v>
      </c>
    </row>
    <row r="298" spans="1:34" ht="15" x14ac:dyDescent="0.2">
      <c r="A298">
        <v>461</v>
      </c>
      <c r="B298" s="57" t="s">
        <v>676</v>
      </c>
      <c r="C298" s="57"/>
      <c r="D298">
        <f t="shared" si="98"/>
        <v>96</v>
      </c>
      <c r="E298" s="1">
        <f t="shared" si="99"/>
        <v>19</v>
      </c>
      <c r="F298">
        <f t="shared" si="112"/>
        <v>8</v>
      </c>
      <c r="G298">
        <f t="shared" si="112"/>
        <v>1</v>
      </c>
      <c r="H298">
        <f t="shared" si="112"/>
        <v>2</v>
      </c>
      <c r="I298">
        <f t="shared" si="112"/>
        <v>4</v>
      </c>
      <c r="J298">
        <f t="shared" si="112"/>
        <v>12</v>
      </c>
      <c r="K298">
        <f t="shared" si="112"/>
        <v>2</v>
      </c>
      <c r="L298">
        <f t="shared" si="112"/>
        <v>0</v>
      </c>
      <c r="M298">
        <f t="shared" si="112"/>
        <v>2</v>
      </c>
      <c r="N298">
        <f t="shared" si="112"/>
        <v>2</v>
      </c>
      <c r="O298">
        <f t="shared" si="112"/>
        <v>1</v>
      </c>
      <c r="P298">
        <f t="shared" si="113"/>
        <v>0</v>
      </c>
      <c r="Q298">
        <f t="shared" si="113"/>
        <v>5</v>
      </c>
      <c r="R298">
        <f t="shared" si="113"/>
        <v>1</v>
      </c>
      <c r="S298">
        <f t="shared" si="113"/>
        <v>2</v>
      </c>
      <c r="T298">
        <f t="shared" si="113"/>
        <v>9</v>
      </c>
      <c r="U298">
        <f t="shared" si="113"/>
        <v>1</v>
      </c>
      <c r="V298">
        <f t="shared" si="113"/>
        <v>0</v>
      </c>
      <c r="W298">
        <f t="shared" si="113"/>
        <v>8</v>
      </c>
      <c r="X298">
        <f t="shared" si="113"/>
        <v>4</v>
      </c>
      <c r="Y298">
        <f t="shared" si="113"/>
        <v>8</v>
      </c>
      <c r="Z298">
        <f t="shared" si="114"/>
        <v>0</v>
      </c>
      <c r="AA298">
        <f t="shared" si="114"/>
        <v>0</v>
      </c>
      <c r="AB298">
        <f t="shared" si="114"/>
        <v>1</v>
      </c>
      <c r="AC298">
        <f t="shared" si="114"/>
        <v>0</v>
      </c>
      <c r="AD298">
        <f t="shared" si="114"/>
        <v>1</v>
      </c>
      <c r="AE298">
        <f t="shared" si="114"/>
        <v>0</v>
      </c>
      <c r="AF298" s="56">
        <f t="shared" si="100"/>
        <v>19</v>
      </c>
      <c r="AG298" s="59">
        <f t="shared" si="101"/>
        <v>5.0526315789473681</v>
      </c>
      <c r="AH298">
        <f t="shared" si="102"/>
        <v>0.26592797783933514</v>
      </c>
    </row>
    <row r="299" spans="1:34" ht="15" x14ac:dyDescent="0.2">
      <c r="A299">
        <v>356</v>
      </c>
      <c r="B299" s="57" t="s">
        <v>415</v>
      </c>
      <c r="C299" s="57"/>
      <c r="D299">
        <f t="shared" si="98"/>
        <v>96</v>
      </c>
      <c r="E299" s="1">
        <f t="shared" si="99"/>
        <v>18</v>
      </c>
      <c r="F299">
        <f t="shared" si="112"/>
        <v>7</v>
      </c>
      <c r="G299">
        <f t="shared" si="112"/>
        <v>0</v>
      </c>
      <c r="H299">
        <f t="shared" si="112"/>
        <v>4</v>
      </c>
      <c r="I299">
        <f t="shared" si="112"/>
        <v>0</v>
      </c>
      <c r="J299">
        <f t="shared" si="112"/>
        <v>9</v>
      </c>
      <c r="K299">
        <f t="shared" si="112"/>
        <v>1</v>
      </c>
      <c r="L299">
        <f t="shared" si="112"/>
        <v>0</v>
      </c>
      <c r="M299">
        <f t="shared" si="112"/>
        <v>2</v>
      </c>
      <c r="N299">
        <f t="shared" si="112"/>
        <v>2</v>
      </c>
      <c r="O299">
        <f t="shared" si="112"/>
        <v>0</v>
      </c>
      <c r="P299">
        <f t="shared" si="113"/>
        <v>3</v>
      </c>
      <c r="Q299">
        <f t="shared" si="113"/>
        <v>6</v>
      </c>
      <c r="R299">
        <f t="shared" si="113"/>
        <v>7</v>
      </c>
      <c r="S299">
        <f t="shared" si="113"/>
        <v>8</v>
      </c>
      <c r="T299">
        <f t="shared" si="113"/>
        <v>7</v>
      </c>
      <c r="U299">
        <f t="shared" si="113"/>
        <v>5</v>
      </c>
      <c r="V299">
        <f t="shared" si="113"/>
        <v>0</v>
      </c>
      <c r="W299">
        <f t="shared" si="113"/>
        <v>2</v>
      </c>
      <c r="X299">
        <f t="shared" si="113"/>
        <v>4</v>
      </c>
      <c r="Y299">
        <f t="shared" si="113"/>
        <v>3</v>
      </c>
      <c r="Z299">
        <f t="shared" si="114"/>
        <v>1</v>
      </c>
      <c r="AA299">
        <f t="shared" si="114"/>
        <v>0</v>
      </c>
      <c r="AB299">
        <f t="shared" si="114"/>
        <v>1</v>
      </c>
      <c r="AC299">
        <f t="shared" si="114"/>
        <v>2</v>
      </c>
      <c r="AD299">
        <f t="shared" si="114"/>
        <v>2</v>
      </c>
      <c r="AE299">
        <f t="shared" si="114"/>
        <v>0</v>
      </c>
      <c r="AF299" s="56">
        <f t="shared" si="100"/>
        <v>19</v>
      </c>
      <c r="AG299" s="59">
        <f t="shared" si="101"/>
        <v>5.333333333333333</v>
      </c>
      <c r="AH299">
        <f t="shared" si="102"/>
        <v>0.2807017543859649</v>
      </c>
    </row>
    <row r="300" spans="1:34" ht="15" x14ac:dyDescent="0.2">
      <c r="A300">
        <v>348</v>
      </c>
      <c r="B300" s="57" t="s">
        <v>408</v>
      </c>
      <c r="C300" s="57"/>
      <c r="D300">
        <f t="shared" si="98"/>
        <v>96</v>
      </c>
      <c r="E300" s="1">
        <f t="shared" si="99"/>
        <v>16</v>
      </c>
      <c r="F300">
        <f t="shared" si="112"/>
        <v>4</v>
      </c>
      <c r="G300">
        <f t="shared" si="112"/>
        <v>4</v>
      </c>
      <c r="H300">
        <f t="shared" si="112"/>
        <v>5</v>
      </c>
      <c r="I300">
        <f t="shared" si="112"/>
        <v>2</v>
      </c>
      <c r="J300">
        <f t="shared" si="112"/>
        <v>11</v>
      </c>
      <c r="K300">
        <f t="shared" si="112"/>
        <v>1</v>
      </c>
      <c r="L300">
        <f t="shared" si="112"/>
        <v>0</v>
      </c>
      <c r="M300">
        <f t="shared" si="112"/>
        <v>1</v>
      </c>
      <c r="N300">
        <f t="shared" si="112"/>
        <v>5</v>
      </c>
      <c r="O300">
        <f t="shared" si="112"/>
        <v>0</v>
      </c>
      <c r="P300">
        <f t="shared" si="113"/>
        <v>0</v>
      </c>
      <c r="Q300">
        <f t="shared" si="113"/>
        <v>8</v>
      </c>
      <c r="R300">
        <f t="shared" si="113"/>
        <v>3</v>
      </c>
      <c r="S300">
        <f t="shared" si="113"/>
        <v>7</v>
      </c>
      <c r="T300">
        <f t="shared" si="113"/>
        <v>7</v>
      </c>
      <c r="U300">
        <f t="shared" si="113"/>
        <v>3</v>
      </c>
      <c r="V300">
        <f t="shared" si="113"/>
        <v>0</v>
      </c>
      <c r="W300">
        <f t="shared" si="113"/>
        <v>5</v>
      </c>
      <c r="X300">
        <f t="shared" si="113"/>
        <v>4</v>
      </c>
      <c r="Y300">
        <f t="shared" si="113"/>
        <v>4</v>
      </c>
      <c r="Z300">
        <f t="shared" si="114"/>
        <v>2</v>
      </c>
      <c r="AA300">
        <f t="shared" si="114"/>
        <v>2</v>
      </c>
      <c r="AB300">
        <f t="shared" si="114"/>
        <v>0</v>
      </c>
      <c r="AC300">
        <f t="shared" si="114"/>
        <v>0</v>
      </c>
      <c r="AD300">
        <f t="shared" si="114"/>
        <v>1</v>
      </c>
      <c r="AE300">
        <f t="shared" si="114"/>
        <v>0</v>
      </c>
      <c r="AF300" s="56">
        <f t="shared" si="100"/>
        <v>19</v>
      </c>
      <c r="AG300" s="59">
        <f t="shared" si="101"/>
        <v>6</v>
      </c>
      <c r="AH300">
        <f t="shared" si="102"/>
        <v>0.31578947368421051</v>
      </c>
    </row>
    <row r="301" spans="1:34" ht="15" x14ac:dyDescent="0.2">
      <c r="A301">
        <v>554</v>
      </c>
      <c r="B301" s="57" t="s">
        <v>578</v>
      </c>
      <c r="C301" s="57"/>
      <c r="D301">
        <f t="shared" si="98"/>
        <v>96</v>
      </c>
      <c r="E301" s="1">
        <f t="shared" si="99"/>
        <v>14</v>
      </c>
      <c r="F301">
        <f t="shared" si="112"/>
        <v>5</v>
      </c>
      <c r="G301">
        <f t="shared" si="112"/>
        <v>1</v>
      </c>
      <c r="H301">
        <f t="shared" si="112"/>
        <v>4</v>
      </c>
      <c r="I301">
        <f t="shared" si="112"/>
        <v>1</v>
      </c>
      <c r="J301">
        <f t="shared" si="112"/>
        <v>7</v>
      </c>
      <c r="K301">
        <f t="shared" si="112"/>
        <v>1</v>
      </c>
      <c r="L301">
        <f t="shared" si="112"/>
        <v>1</v>
      </c>
      <c r="M301">
        <f t="shared" si="112"/>
        <v>6</v>
      </c>
      <c r="N301">
        <f t="shared" si="112"/>
        <v>4</v>
      </c>
      <c r="O301">
        <f t="shared" si="112"/>
        <v>0</v>
      </c>
      <c r="P301">
        <f t="shared" si="113"/>
        <v>1</v>
      </c>
      <c r="Q301">
        <f t="shared" si="113"/>
        <v>8</v>
      </c>
      <c r="R301">
        <f t="shared" si="113"/>
        <v>0</v>
      </c>
      <c r="S301">
        <f t="shared" si="113"/>
        <v>3</v>
      </c>
      <c r="T301">
        <f t="shared" si="113"/>
        <v>8</v>
      </c>
      <c r="U301">
        <f t="shared" si="113"/>
        <v>0</v>
      </c>
      <c r="V301">
        <f t="shared" si="113"/>
        <v>0</v>
      </c>
      <c r="W301">
        <f t="shared" si="113"/>
        <v>4</v>
      </c>
      <c r="X301">
        <f t="shared" si="113"/>
        <v>6</v>
      </c>
      <c r="Y301">
        <f t="shared" si="113"/>
        <v>8</v>
      </c>
      <c r="Z301">
        <f t="shared" si="114"/>
        <v>6</v>
      </c>
      <c r="AA301">
        <f t="shared" si="114"/>
        <v>1</v>
      </c>
      <c r="AB301">
        <f t="shared" si="114"/>
        <v>2</v>
      </c>
      <c r="AC301">
        <f t="shared" si="114"/>
        <v>0</v>
      </c>
      <c r="AD301">
        <f t="shared" si="114"/>
        <v>3</v>
      </c>
      <c r="AE301">
        <f t="shared" si="114"/>
        <v>0</v>
      </c>
      <c r="AF301" s="56">
        <f t="shared" si="100"/>
        <v>20</v>
      </c>
      <c r="AG301" s="59">
        <f t="shared" si="101"/>
        <v>6.8571428571428568</v>
      </c>
      <c r="AH301">
        <f t="shared" si="102"/>
        <v>0.34285714285714286</v>
      </c>
    </row>
    <row r="302" spans="1:34" ht="15" x14ac:dyDescent="0.2">
      <c r="A302">
        <v>489</v>
      </c>
      <c r="B302" s="57" t="s">
        <v>527</v>
      </c>
      <c r="C302" s="57"/>
      <c r="D302">
        <f t="shared" si="98"/>
        <v>95</v>
      </c>
      <c r="E302" s="1">
        <f t="shared" si="99"/>
        <v>21</v>
      </c>
      <c r="F302">
        <f t="shared" ref="F302:O311" si="115">LEN($B302)-LEN(SUBSTITUTE($B302,F$1,""))</f>
        <v>7</v>
      </c>
      <c r="G302">
        <f t="shared" si="115"/>
        <v>5</v>
      </c>
      <c r="H302">
        <f t="shared" si="115"/>
        <v>0</v>
      </c>
      <c r="I302">
        <f t="shared" si="115"/>
        <v>0</v>
      </c>
      <c r="J302">
        <f t="shared" si="115"/>
        <v>7</v>
      </c>
      <c r="K302">
        <f t="shared" si="115"/>
        <v>3</v>
      </c>
      <c r="L302">
        <f t="shared" si="115"/>
        <v>2</v>
      </c>
      <c r="M302">
        <f t="shared" si="115"/>
        <v>2</v>
      </c>
      <c r="N302">
        <f t="shared" si="115"/>
        <v>4</v>
      </c>
      <c r="O302">
        <f t="shared" si="115"/>
        <v>0</v>
      </c>
      <c r="P302">
        <f t="shared" ref="P302:Y311" si="116">LEN($B302)-LEN(SUBSTITUTE($B302,P$1,""))</f>
        <v>0</v>
      </c>
      <c r="Q302">
        <f t="shared" si="116"/>
        <v>2</v>
      </c>
      <c r="R302">
        <f t="shared" si="116"/>
        <v>1</v>
      </c>
      <c r="S302">
        <f t="shared" si="116"/>
        <v>7</v>
      </c>
      <c r="T302">
        <f t="shared" si="116"/>
        <v>10</v>
      </c>
      <c r="U302">
        <f t="shared" si="116"/>
        <v>0</v>
      </c>
      <c r="V302">
        <f t="shared" si="116"/>
        <v>0</v>
      </c>
      <c r="W302">
        <f t="shared" si="116"/>
        <v>3</v>
      </c>
      <c r="X302">
        <f t="shared" si="116"/>
        <v>3</v>
      </c>
      <c r="Y302">
        <f t="shared" si="116"/>
        <v>5</v>
      </c>
      <c r="Z302">
        <f t="shared" ref="Z302:AE311" si="117">LEN($B302)-LEN(SUBSTITUTE($B302,Z$1,""))</f>
        <v>4</v>
      </c>
      <c r="AA302">
        <f t="shared" si="117"/>
        <v>1</v>
      </c>
      <c r="AB302">
        <f t="shared" si="117"/>
        <v>1</v>
      </c>
      <c r="AC302">
        <f t="shared" si="117"/>
        <v>0</v>
      </c>
      <c r="AD302">
        <f t="shared" si="117"/>
        <v>5</v>
      </c>
      <c r="AE302">
        <f t="shared" si="117"/>
        <v>0</v>
      </c>
      <c r="AF302" s="56">
        <f t="shared" si="100"/>
        <v>18</v>
      </c>
      <c r="AG302" s="59">
        <f t="shared" si="101"/>
        <v>4.5238095238095237</v>
      </c>
      <c r="AH302">
        <f t="shared" si="102"/>
        <v>0.25132275132275134</v>
      </c>
    </row>
    <row r="303" spans="1:34" ht="15" x14ac:dyDescent="0.2">
      <c r="A303">
        <v>192</v>
      </c>
      <c r="B303" s="57" t="s">
        <v>256</v>
      </c>
      <c r="C303" s="57"/>
      <c r="D303">
        <f t="shared" si="98"/>
        <v>95</v>
      </c>
      <c r="E303" s="1">
        <f t="shared" si="99"/>
        <v>17</v>
      </c>
      <c r="F303">
        <f t="shared" si="115"/>
        <v>5</v>
      </c>
      <c r="G303">
        <f t="shared" si="115"/>
        <v>0</v>
      </c>
      <c r="H303">
        <f t="shared" si="115"/>
        <v>2</v>
      </c>
      <c r="I303">
        <f t="shared" si="115"/>
        <v>3</v>
      </c>
      <c r="J303">
        <f t="shared" si="115"/>
        <v>8</v>
      </c>
      <c r="K303">
        <f t="shared" si="115"/>
        <v>3</v>
      </c>
      <c r="L303">
        <f t="shared" si="115"/>
        <v>2</v>
      </c>
      <c r="M303">
        <f t="shared" si="115"/>
        <v>5</v>
      </c>
      <c r="N303">
        <f t="shared" si="115"/>
        <v>5</v>
      </c>
      <c r="O303">
        <f t="shared" si="115"/>
        <v>0</v>
      </c>
      <c r="P303">
        <f t="shared" si="116"/>
        <v>1</v>
      </c>
      <c r="Q303">
        <f t="shared" si="116"/>
        <v>4</v>
      </c>
      <c r="R303">
        <f t="shared" si="116"/>
        <v>0</v>
      </c>
      <c r="S303">
        <f t="shared" si="116"/>
        <v>6</v>
      </c>
      <c r="T303">
        <f t="shared" si="116"/>
        <v>7</v>
      </c>
      <c r="U303">
        <f t="shared" si="116"/>
        <v>0</v>
      </c>
      <c r="V303">
        <f t="shared" si="116"/>
        <v>0</v>
      </c>
      <c r="W303">
        <f t="shared" si="116"/>
        <v>4</v>
      </c>
      <c r="X303">
        <f t="shared" si="116"/>
        <v>0</v>
      </c>
      <c r="Y303">
        <f t="shared" si="116"/>
        <v>8</v>
      </c>
      <c r="Z303">
        <f t="shared" si="117"/>
        <v>5</v>
      </c>
      <c r="AA303">
        <f t="shared" si="117"/>
        <v>1</v>
      </c>
      <c r="AB303">
        <f t="shared" si="117"/>
        <v>2</v>
      </c>
      <c r="AC303">
        <f t="shared" si="117"/>
        <v>1</v>
      </c>
      <c r="AD303">
        <f t="shared" si="117"/>
        <v>4</v>
      </c>
      <c r="AE303">
        <f t="shared" si="117"/>
        <v>0</v>
      </c>
      <c r="AF303" s="56">
        <f t="shared" si="100"/>
        <v>19</v>
      </c>
      <c r="AG303" s="59">
        <f t="shared" si="101"/>
        <v>5.5882352941176467</v>
      </c>
      <c r="AH303">
        <f t="shared" si="102"/>
        <v>0.29411764705882354</v>
      </c>
    </row>
    <row r="304" spans="1:34" ht="15" x14ac:dyDescent="0.2">
      <c r="A304">
        <v>510</v>
      </c>
      <c r="B304" s="57" t="s">
        <v>545</v>
      </c>
      <c r="C304" s="57"/>
      <c r="D304">
        <f t="shared" si="98"/>
        <v>95</v>
      </c>
      <c r="E304" s="1">
        <f t="shared" si="99"/>
        <v>18</v>
      </c>
      <c r="F304">
        <f t="shared" si="115"/>
        <v>4</v>
      </c>
      <c r="G304">
        <f t="shared" si="115"/>
        <v>3</v>
      </c>
      <c r="H304">
        <f t="shared" si="115"/>
        <v>0</v>
      </c>
      <c r="I304">
        <f t="shared" si="115"/>
        <v>1</v>
      </c>
      <c r="J304">
        <f t="shared" si="115"/>
        <v>4</v>
      </c>
      <c r="K304">
        <f t="shared" si="115"/>
        <v>3</v>
      </c>
      <c r="L304">
        <f t="shared" si="115"/>
        <v>2</v>
      </c>
      <c r="M304">
        <f t="shared" si="115"/>
        <v>5</v>
      </c>
      <c r="N304">
        <f t="shared" si="115"/>
        <v>7</v>
      </c>
      <c r="O304">
        <f t="shared" si="115"/>
        <v>0</v>
      </c>
      <c r="P304">
        <f t="shared" si="116"/>
        <v>2</v>
      </c>
      <c r="Q304">
        <f t="shared" si="116"/>
        <v>7</v>
      </c>
      <c r="R304">
        <f t="shared" si="116"/>
        <v>2</v>
      </c>
      <c r="S304">
        <f t="shared" si="116"/>
        <v>4</v>
      </c>
      <c r="T304">
        <f t="shared" si="116"/>
        <v>3</v>
      </c>
      <c r="U304">
        <f t="shared" si="116"/>
        <v>4</v>
      </c>
      <c r="V304">
        <f t="shared" si="116"/>
        <v>0</v>
      </c>
      <c r="W304">
        <f t="shared" si="116"/>
        <v>4</v>
      </c>
      <c r="X304">
        <f t="shared" si="116"/>
        <v>4</v>
      </c>
      <c r="Y304">
        <f t="shared" si="116"/>
        <v>7</v>
      </c>
      <c r="Z304">
        <f t="shared" si="117"/>
        <v>4</v>
      </c>
      <c r="AA304">
        <f t="shared" si="117"/>
        <v>0</v>
      </c>
      <c r="AB304">
        <f t="shared" si="117"/>
        <v>2</v>
      </c>
      <c r="AC304">
        <f t="shared" si="117"/>
        <v>0</v>
      </c>
      <c r="AD304">
        <f t="shared" si="117"/>
        <v>2</v>
      </c>
      <c r="AE304">
        <f t="shared" si="117"/>
        <v>0</v>
      </c>
      <c r="AF304" s="56">
        <f t="shared" si="100"/>
        <v>20</v>
      </c>
      <c r="AG304" s="59">
        <f t="shared" si="101"/>
        <v>5.2777777777777777</v>
      </c>
      <c r="AH304">
        <f t="shared" si="102"/>
        <v>0.2638888888888889</v>
      </c>
    </row>
    <row r="305" spans="1:34" ht="15" x14ac:dyDescent="0.2">
      <c r="A305">
        <v>426</v>
      </c>
      <c r="B305" s="57" t="s">
        <v>472</v>
      </c>
      <c r="C305" s="57"/>
      <c r="D305">
        <f t="shared" si="98"/>
        <v>95</v>
      </c>
      <c r="E305" s="1">
        <f t="shared" si="99"/>
        <v>18</v>
      </c>
      <c r="F305">
        <f t="shared" si="115"/>
        <v>7</v>
      </c>
      <c r="G305">
        <f t="shared" si="115"/>
        <v>1</v>
      </c>
      <c r="H305">
        <f t="shared" si="115"/>
        <v>2</v>
      </c>
      <c r="I305">
        <f t="shared" si="115"/>
        <v>4</v>
      </c>
      <c r="J305">
        <f t="shared" si="115"/>
        <v>8</v>
      </c>
      <c r="K305">
        <f t="shared" si="115"/>
        <v>1</v>
      </c>
      <c r="L305">
        <f t="shared" si="115"/>
        <v>0</v>
      </c>
      <c r="M305">
        <f t="shared" si="115"/>
        <v>2</v>
      </c>
      <c r="N305">
        <f t="shared" si="115"/>
        <v>7</v>
      </c>
      <c r="O305">
        <f t="shared" si="115"/>
        <v>0</v>
      </c>
      <c r="P305">
        <f t="shared" si="116"/>
        <v>0</v>
      </c>
      <c r="Q305">
        <f t="shared" si="116"/>
        <v>4</v>
      </c>
      <c r="R305">
        <f t="shared" si="116"/>
        <v>2</v>
      </c>
      <c r="S305">
        <f t="shared" si="116"/>
        <v>7</v>
      </c>
      <c r="T305">
        <f t="shared" si="116"/>
        <v>7</v>
      </c>
      <c r="U305">
        <f t="shared" si="116"/>
        <v>0</v>
      </c>
      <c r="V305">
        <f t="shared" si="116"/>
        <v>0</v>
      </c>
      <c r="W305">
        <f t="shared" si="116"/>
        <v>4</v>
      </c>
      <c r="X305">
        <f t="shared" si="116"/>
        <v>3</v>
      </c>
      <c r="Y305">
        <f t="shared" si="116"/>
        <v>9</v>
      </c>
      <c r="Z305">
        <f t="shared" si="117"/>
        <v>1</v>
      </c>
      <c r="AA305">
        <f t="shared" si="117"/>
        <v>1</v>
      </c>
      <c r="AB305">
        <f t="shared" si="117"/>
        <v>2</v>
      </c>
      <c r="AC305">
        <f t="shared" si="117"/>
        <v>1</v>
      </c>
      <c r="AD305">
        <f t="shared" si="117"/>
        <v>1</v>
      </c>
      <c r="AE305">
        <f t="shared" si="117"/>
        <v>0</v>
      </c>
      <c r="AF305" s="56">
        <f t="shared" si="100"/>
        <v>20</v>
      </c>
      <c r="AG305" s="59">
        <f t="shared" si="101"/>
        <v>5.2777777777777777</v>
      </c>
      <c r="AH305">
        <f t="shared" si="102"/>
        <v>0.2638888888888889</v>
      </c>
    </row>
    <row r="306" spans="1:34" ht="15" x14ac:dyDescent="0.2">
      <c r="A306">
        <v>241</v>
      </c>
      <c r="B306" s="57" t="s">
        <v>304</v>
      </c>
      <c r="C306" s="57"/>
      <c r="D306">
        <f t="shared" si="98"/>
        <v>95</v>
      </c>
      <c r="E306" s="1">
        <f t="shared" si="99"/>
        <v>18</v>
      </c>
      <c r="F306">
        <f t="shared" si="115"/>
        <v>7</v>
      </c>
      <c r="G306">
        <f t="shared" si="115"/>
        <v>0</v>
      </c>
      <c r="H306">
        <f t="shared" si="115"/>
        <v>3</v>
      </c>
      <c r="I306">
        <f t="shared" si="115"/>
        <v>2</v>
      </c>
      <c r="J306">
        <f t="shared" si="115"/>
        <v>8</v>
      </c>
      <c r="K306">
        <f t="shared" si="115"/>
        <v>6</v>
      </c>
      <c r="L306">
        <f t="shared" si="115"/>
        <v>0</v>
      </c>
      <c r="M306">
        <f t="shared" si="115"/>
        <v>4</v>
      </c>
      <c r="N306">
        <f t="shared" si="115"/>
        <v>4</v>
      </c>
      <c r="O306">
        <f t="shared" si="115"/>
        <v>0</v>
      </c>
      <c r="P306">
        <f t="shared" si="116"/>
        <v>1</v>
      </c>
      <c r="Q306">
        <f t="shared" si="116"/>
        <v>6</v>
      </c>
      <c r="R306">
        <f t="shared" si="116"/>
        <v>1</v>
      </c>
      <c r="S306">
        <f t="shared" si="116"/>
        <v>2</v>
      </c>
      <c r="T306">
        <f t="shared" si="116"/>
        <v>5</v>
      </c>
      <c r="U306">
        <f t="shared" si="116"/>
        <v>1</v>
      </c>
      <c r="V306">
        <f t="shared" si="116"/>
        <v>0</v>
      </c>
      <c r="W306">
        <f t="shared" si="116"/>
        <v>5</v>
      </c>
      <c r="X306">
        <f t="shared" si="116"/>
        <v>3</v>
      </c>
      <c r="Y306">
        <f t="shared" si="116"/>
        <v>7</v>
      </c>
      <c r="Z306">
        <f t="shared" si="117"/>
        <v>1</v>
      </c>
      <c r="AA306">
        <f t="shared" si="117"/>
        <v>2</v>
      </c>
      <c r="AB306">
        <f t="shared" si="117"/>
        <v>1</v>
      </c>
      <c r="AC306">
        <f t="shared" si="117"/>
        <v>0</v>
      </c>
      <c r="AD306">
        <f t="shared" si="117"/>
        <v>2</v>
      </c>
      <c r="AE306">
        <f t="shared" si="117"/>
        <v>0</v>
      </c>
      <c r="AF306" s="56">
        <f t="shared" si="100"/>
        <v>20</v>
      </c>
      <c r="AG306" s="59">
        <f t="shared" si="101"/>
        <v>5.2777777777777777</v>
      </c>
      <c r="AH306">
        <f t="shared" si="102"/>
        <v>0.2638888888888889</v>
      </c>
    </row>
    <row r="307" spans="1:34" ht="15" x14ac:dyDescent="0.2">
      <c r="A307">
        <v>191</v>
      </c>
      <c r="B307" s="57" t="s">
        <v>255</v>
      </c>
      <c r="C307" s="57"/>
      <c r="D307">
        <f t="shared" si="98"/>
        <v>95</v>
      </c>
      <c r="E307" s="1">
        <f t="shared" si="99"/>
        <v>17</v>
      </c>
      <c r="F307">
        <f t="shared" si="115"/>
        <v>7</v>
      </c>
      <c r="G307">
        <f t="shared" si="115"/>
        <v>2</v>
      </c>
      <c r="H307">
        <f t="shared" si="115"/>
        <v>2</v>
      </c>
      <c r="I307">
        <f t="shared" si="115"/>
        <v>1</v>
      </c>
      <c r="J307">
        <f t="shared" si="115"/>
        <v>6</v>
      </c>
      <c r="K307">
        <f t="shared" si="115"/>
        <v>3</v>
      </c>
      <c r="L307">
        <f t="shared" si="115"/>
        <v>0</v>
      </c>
      <c r="M307">
        <f t="shared" si="115"/>
        <v>4</v>
      </c>
      <c r="N307">
        <f t="shared" si="115"/>
        <v>6</v>
      </c>
      <c r="O307">
        <f t="shared" si="115"/>
        <v>0</v>
      </c>
      <c r="P307">
        <f t="shared" si="116"/>
        <v>2</v>
      </c>
      <c r="Q307">
        <f t="shared" si="116"/>
        <v>1</v>
      </c>
      <c r="R307">
        <f t="shared" si="116"/>
        <v>6</v>
      </c>
      <c r="S307">
        <f t="shared" si="116"/>
        <v>3</v>
      </c>
      <c r="T307">
        <f t="shared" si="116"/>
        <v>6</v>
      </c>
      <c r="U307">
        <f t="shared" si="116"/>
        <v>1</v>
      </c>
      <c r="V307">
        <f t="shared" si="116"/>
        <v>0</v>
      </c>
      <c r="W307">
        <f t="shared" si="116"/>
        <v>6</v>
      </c>
      <c r="X307">
        <f t="shared" si="116"/>
        <v>4</v>
      </c>
      <c r="Y307">
        <f t="shared" si="116"/>
        <v>6</v>
      </c>
      <c r="Z307">
        <f t="shared" si="117"/>
        <v>1</v>
      </c>
      <c r="AA307">
        <f t="shared" si="117"/>
        <v>1</v>
      </c>
      <c r="AB307">
        <f t="shared" si="117"/>
        <v>2</v>
      </c>
      <c r="AC307">
        <f t="shared" si="117"/>
        <v>0</v>
      </c>
      <c r="AD307">
        <f t="shared" si="117"/>
        <v>1</v>
      </c>
      <c r="AE307">
        <f t="shared" si="117"/>
        <v>0</v>
      </c>
      <c r="AF307" s="56">
        <f t="shared" si="100"/>
        <v>21</v>
      </c>
      <c r="AG307" s="59">
        <f t="shared" si="101"/>
        <v>5.5882352941176467</v>
      </c>
      <c r="AH307">
        <f t="shared" si="102"/>
        <v>0.26610644257703081</v>
      </c>
    </row>
    <row r="308" spans="1:34" ht="15" x14ac:dyDescent="0.2">
      <c r="A308">
        <v>322</v>
      </c>
      <c r="B308" s="57" t="s">
        <v>382</v>
      </c>
      <c r="C308" s="57"/>
      <c r="D308">
        <f t="shared" si="98"/>
        <v>94</v>
      </c>
      <c r="E308" s="1">
        <f t="shared" si="99"/>
        <v>18</v>
      </c>
      <c r="F308">
        <f t="shared" si="115"/>
        <v>8</v>
      </c>
      <c r="G308">
        <f t="shared" si="115"/>
        <v>0</v>
      </c>
      <c r="H308">
        <f t="shared" si="115"/>
        <v>1</v>
      </c>
      <c r="I308">
        <f t="shared" si="115"/>
        <v>1</v>
      </c>
      <c r="J308">
        <f t="shared" si="115"/>
        <v>8</v>
      </c>
      <c r="K308">
        <f t="shared" si="115"/>
        <v>1</v>
      </c>
      <c r="L308">
        <f t="shared" si="115"/>
        <v>4</v>
      </c>
      <c r="M308">
        <f t="shared" si="115"/>
        <v>4</v>
      </c>
      <c r="N308">
        <f t="shared" si="115"/>
        <v>8</v>
      </c>
      <c r="O308">
        <f t="shared" si="115"/>
        <v>0</v>
      </c>
      <c r="P308">
        <f t="shared" si="116"/>
        <v>0</v>
      </c>
      <c r="Q308">
        <f t="shared" si="116"/>
        <v>6</v>
      </c>
      <c r="R308">
        <f t="shared" si="116"/>
        <v>5</v>
      </c>
      <c r="S308">
        <f t="shared" si="116"/>
        <v>7</v>
      </c>
      <c r="T308">
        <f t="shared" si="116"/>
        <v>6</v>
      </c>
      <c r="U308">
        <f t="shared" si="116"/>
        <v>0</v>
      </c>
      <c r="V308">
        <f t="shared" si="116"/>
        <v>0</v>
      </c>
      <c r="W308">
        <f t="shared" si="116"/>
        <v>4</v>
      </c>
      <c r="X308">
        <f t="shared" si="116"/>
        <v>2</v>
      </c>
      <c r="Y308">
        <f t="shared" si="116"/>
        <v>6</v>
      </c>
      <c r="Z308">
        <f t="shared" si="117"/>
        <v>1</v>
      </c>
      <c r="AA308">
        <f t="shared" si="117"/>
        <v>2</v>
      </c>
      <c r="AB308">
        <f t="shared" si="117"/>
        <v>0</v>
      </c>
      <c r="AC308">
        <f t="shared" si="117"/>
        <v>0</v>
      </c>
      <c r="AD308">
        <f t="shared" si="117"/>
        <v>0</v>
      </c>
      <c r="AE308">
        <f t="shared" si="117"/>
        <v>0</v>
      </c>
      <c r="AF308" s="56">
        <f t="shared" si="100"/>
        <v>17</v>
      </c>
      <c r="AG308" s="59">
        <f t="shared" si="101"/>
        <v>5.2222222222222223</v>
      </c>
      <c r="AH308">
        <f t="shared" si="102"/>
        <v>0.30718954248366015</v>
      </c>
    </row>
    <row r="309" spans="1:34" ht="15" x14ac:dyDescent="0.2">
      <c r="A309">
        <v>539</v>
      </c>
      <c r="B309" s="57" t="s">
        <v>568</v>
      </c>
      <c r="C309" s="57"/>
      <c r="D309">
        <f t="shared" si="98"/>
        <v>94</v>
      </c>
      <c r="E309" s="1">
        <f t="shared" si="99"/>
        <v>20</v>
      </c>
      <c r="F309">
        <f t="shared" si="115"/>
        <v>6</v>
      </c>
      <c r="G309">
        <f t="shared" si="115"/>
        <v>1</v>
      </c>
      <c r="H309">
        <f t="shared" si="115"/>
        <v>3</v>
      </c>
      <c r="I309">
        <f t="shared" si="115"/>
        <v>6</v>
      </c>
      <c r="J309">
        <f t="shared" si="115"/>
        <v>9</v>
      </c>
      <c r="K309">
        <f t="shared" si="115"/>
        <v>0</v>
      </c>
      <c r="L309">
        <f t="shared" si="115"/>
        <v>0</v>
      </c>
      <c r="M309">
        <f t="shared" si="115"/>
        <v>2</v>
      </c>
      <c r="N309">
        <f t="shared" si="115"/>
        <v>8</v>
      </c>
      <c r="O309">
        <f t="shared" si="115"/>
        <v>1</v>
      </c>
      <c r="P309">
        <f t="shared" si="116"/>
        <v>1</v>
      </c>
      <c r="Q309">
        <f t="shared" si="116"/>
        <v>3</v>
      </c>
      <c r="R309">
        <f t="shared" si="116"/>
        <v>2</v>
      </c>
      <c r="S309">
        <f t="shared" si="116"/>
        <v>9</v>
      </c>
      <c r="T309">
        <f t="shared" si="116"/>
        <v>4</v>
      </c>
      <c r="U309">
        <f t="shared" si="116"/>
        <v>0</v>
      </c>
      <c r="V309">
        <f t="shared" si="116"/>
        <v>0</v>
      </c>
      <c r="W309">
        <f t="shared" si="116"/>
        <v>2</v>
      </c>
      <c r="X309">
        <f t="shared" si="116"/>
        <v>0</v>
      </c>
      <c r="Y309">
        <f t="shared" si="116"/>
        <v>7</v>
      </c>
      <c r="Z309">
        <f t="shared" si="117"/>
        <v>1</v>
      </c>
      <c r="AA309">
        <f t="shared" si="117"/>
        <v>2</v>
      </c>
      <c r="AB309">
        <f t="shared" si="117"/>
        <v>0</v>
      </c>
      <c r="AC309">
        <f t="shared" si="117"/>
        <v>0</v>
      </c>
      <c r="AD309">
        <f t="shared" si="117"/>
        <v>2</v>
      </c>
      <c r="AE309">
        <f t="shared" si="117"/>
        <v>0</v>
      </c>
      <c r="AF309" s="56">
        <f t="shared" si="100"/>
        <v>18</v>
      </c>
      <c r="AG309" s="59">
        <f t="shared" si="101"/>
        <v>4.7</v>
      </c>
      <c r="AH309">
        <f t="shared" si="102"/>
        <v>0.26111111111111113</v>
      </c>
    </row>
    <row r="310" spans="1:34" ht="15" x14ac:dyDescent="0.2">
      <c r="A310">
        <v>471</v>
      </c>
      <c r="B310" s="57" t="s">
        <v>510</v>
      </c>
      <c r="C310" s="57"/>
      <c r="D310">
        <f t="shared" si="98"/>
        <v>94</v>
      </c>
      <c r="E310" s="1">
        <f t="shared" si="99"/>
        <v>18</v>
      </c>
      <c r="F310">
        <f t="shared" si="115"/>
        <v>7</v>
      </c>
      <c r="G310">
        <f t="shared" si="115"/>
        <v>3</v>
      </c>
      <c r="H310">
        <f t="shared" si="115"/>
        <v>3</v>
      </c>
      <c r="I310">
        <f t="shared" si="115"/>
        <v>0</v>
      </c>
      <c r="J310">
        <f t="shared" si="115"/>
        <v>12</v>
      </c>
      <c r="K310">
        <f t="shared" si="115"/>
        <v>2</v>
      </c>
      <c r="L310">
        <f t="shared" si="115"/>
        <v>0</v>
      </c>
      <c r="M310">
        <f t="shared" si="115"/>
        <v>4</v>
      </c>
      <c r="N310">
        <f t="shared" si="115"/>
        <v>4</v>
      </c>
      <c r="O310">
        <f t="shared" si="115"/>
        <v>0</v>
      </c>
      <c r="P310">
        <f t="shared" si="116"/>
        <v>0</v>
      </c>
      <c r="Q310">
        <f t="shared" si="116"/>
        <v>3</v>
      </c>
      <c r="R310">
        <f t="shared" si="116"/>
        <v>1</v>
      </c>
      <c r="S310">
        <f t="shared" si="116"/>
        <v>3</v>
      </c>
      <c r="T310">
        <f t="shared" si="116"/>
        <v>6</v>
      </c>
      <c r="U310">
        <f t="shared" si="116"/>
        <v>0</v>
      </c>
      <c r="V310">
        <f t="shared" si="116"/>
        <v>0</v>
      </c>
      <c r="W310">
        <f t="shared" si="116"/>
        <v>6</v>
      </c>
      <c r="X310">
        <f t="shared" si="116"/>
        <v>4</v>
      </c>
      <c r="Y310">
        <f t="shared" si="116"/>
        <v>8</v>
      </c>
      <c r="Z310">
        <f t="shared" si="117"/>
        <v>4</v>
      </c>
      <c r="AA310">
        <f t="shared" si="117"/>
        <v>1</v>
      </c>
      <c r="AB310">
        <f t="shared" si="117"/>
        <v>1</v>
      </c>
      <c r="AC310">
        <f t="shared" si="117"/>
        <v>1</v>
      </c>
      <c r="AD310">
        <f t="shared" si="117"/>
        <v>0</v>
      </c>
      <c r="AE310">
        <f t="shared" si="117"/>
        <v>0</v>
      </c>
      <c r="AF310" s="56">
        <f t="shared" si="100"/>
        <v>18</v>
      </c>
      <c r="AG310" s="59">
        <f t="shared" si="101"/>
        <v>5.2222222222222223</v>
      </c>
      <c r="AH310">
        <f t="shared" si="102"/>
        <v>0.29012345679012347</v>
      </c>
    </row>
    <row r="311" spans="1:34" ht="15" x14ac:dyDescent="0.2">
      <c r="A311">
        <v>144</v>
      </c>
      <c r="B311" s="57" t="s">
        <v>209</v>
      </c>
      <c r="C311" s="57"/>
      <c r="D311">
        <f t="shared" si="98"/>
        <v>94</v>
      </c>
      <c r="E311" s="1">
        <f t="shared" si="99"/>
        <v>16</v>
      </c>
      <c r="F311">
        <f t="shared" si="115"/>
        <v>7</v>
      </c>
      <c r="G311">
        <f t="shared" si="115"/>
        <v>4</v>
      </c>
      <c r="H311">
        <f t="shared" si="115"/>
        <v>1</v>
      </c>
      <c r="I311">
        <f t="shared" si="115"/>
        <v>0</v>
      </c>
      <c r="J311">
        <f t="shared" si="115"/>
        <v>9</v>
      </c>
      <c r="K311">
        <f t="shared" si="115"/>
        <v>1</v>
      </c>
      <c r="L311">
        <f t="shared" si="115"/>
        <v>3</v>
      </c>
      <c r="M311">
        <f t="shared" si="115"/>
        <v>5</v>
      </c>
      <c r="N311">
        <f t="shared" si="115"/>
        <v>5</v>
      </c>
      <c r="O311">
        <f t="shared" si="115"/>
        <v>0</v>
      </c>
      <c r="P311">
        <f t="shared" si="116"/>
        <v>1</v>
      </c>
      <c r="Q311">
        <f t="shared" si="116"/>
        <v>3</v>
      </c>
      <c r="R311">
        <f t="shared" si="116"/>
        <v>2</v>
      </c>
      <c r="S311">
        <f t="shared" si="116"/>
        <v>10</v>
      </c>
      <c r="T311">
        <f t="shared" si="116"/>
        <v>6</v>
      </c>
      <c r="U311">
        <f t="shared" si="116"/>
        <v>0</v>
      </c>
      <c r="V311">
        <f t="shared" si="116"/>
        <v>0</v>
      </c>
      <c r="W311">
        <f t="shared" si="116"/>
        <v>4</v>
      </c>
      <c r="X311">
        <f t="shared" si="116"/>
        <v>4</v>
      </c>
      <c r="Y311">
        <f t="shared" si="116"/>
        <v>6</v>
      </c>
      <c r="Z311">
        <f t="shared" si="117"/>
        <v>4</v>
      </c>
      <c r="AA311">
        <f t="shared" si="117"/>
        <v>0</v>
      </c>
      <c r="AB311">
        <f t="shared" si="117"/>
        <v>1</v>
      </c>
      <c r="AC311">
        <f t="shared" si="117"/>
        <v>0</v>
      </c>
      <c r="AD311">
        <f t="shared" si="117"/>
        <v>2</v>
      </c>
      <c r="AE311">
        <f t="shared" si="117"/>
        <v>0</v>
      </c>
      <c r="AF311" s="56">
        <f t="shared" si="100"/>
        <v>19</v>
      </c>
      <c r="AG311" s="59">
        <f t="shared" si="101"/>
        <v>5.875</v>
      </c>
      <c r="AH311">
        <f t="shared" si="102"/>
        <v>0.30921052631578949</v>
      </c>
    </row>
    <row r="312" spans="1:34" ht="15" x14ac:dyDescent="0.2">
      <c r="A312">
        <v>133</v>
      </c>
      <c r="B312" s="57" t="s">
        <v>198</v>
      </c>
      <c r="C312" s="57"/>
      <c r="D312">
        <f t="shared" si="98"/>
        <v>94</v>
      </c>
      <c r="E312" s="1">
        <f t="shared" si="99"/>
        <v>18</v>
      </c>
      <c r="F312">
        <f t="shared" ref="F312:O321" si="118">LEN($B312)-LEN(SUBSTITUTE($B312,F$1,""))</f>
        <v>8</v>
      </c>
      <c r="G312">
        <f t="shared" si="118"/>
        <v>0</v>
      </c>
      <c r="H312">
        <f t="shared" si="118"/>
        <v>1</v>
      </c>
      <c r="I312">
        <f t="shared" si="118"/>
        <v>1</v>
      </c>
      <c r="J312">
        <f t="shared" si="118"/>
        <v>6</v>
      </c>
      <c r="K312">
        <f t="shared" si="118"/>
        <v>2</v>
      </c>
      <c r="L312">
        <f t="shared" si="118"/>
        <v>4</v>
      </c>
      <c r="M312">
        <f t="shared" si="118"/>
        <v>7</v>
      </c>
      <c r="N312">
        <f t="shared" si="118"/>
        <v>4</v>
      </c>
      <c r="O312">
        <f t="shared" si="118"/>
        <v>0</v>
      </c>
      <c r="P312">
        <f t="shared" ref="P312:Y321" si="119">LEN($B312)-LEN(SUBSTITUTE($B312,P$1,""))</f>
        <v>0</v>
      </c>
      <c r="Q312">
        <f t="shared" si="119"/>
        <v>5</v>
      </c>
      <c r="R312">
        <f t="shared" si="119"/>
        <v>2</v>
      </c>
      <c r="S312">
        <f t="shared" si="119"/>
        <v>7</v>
      </c>
      <c r="T312">
        <f t="shared" si="119"/>
        <v>3</v>
      </c>
      <c r="U312">
        <f t="shared" si="119"/>
        <v>1</v>
      </c>
      <c r="V312">
        <f t="shared" si="119"/>
        <v>0</v>
      </c>
      <c r="W312">
        <f t="shared" si="119"/>
        <v>3</v>
      </c>
      <c r="X312">
        <f t="shared" si="119"/>
        <v>2</v>
      </c>
      <c r="Y312">
        <f t="shared" si="119"/>
        <v>7</v>
      </c>
      <c r="Z312">
        <f t="shared" ref="Z312:AE321" si="120">LEN($B312)-LEN(SUBSTITUTE($B312,Z$1,""))</f>
        <v>3</v>
      </c>
      <c r="AA312">
        <f t="shared" si="120"/>
        <v>3</v>
      </c>
      <c r="AB312">
        <f t="shared" si="120"/>
        <v>0</v>
      </c>
      <c r="AC312">
        <f t="shared" si="120"/>
        <v>0</v>
      </c>
      <c r="AD312">
        <f t="shared" si="120"/>
        <v>2</v>
      </c>
      <c r="AE312">
        <f t="shared" si="120"/>
        <v>0</v>
      </c>
      <c r="AF312" s="56">
        <f t="shared" si="100"/>
        <v>19</v>
      </c>
      <c r="AG312" s="59">
        <f t="shared" si="101"/>
        <v>5.2222222222222223</v>
      </c>
      <c r="AH312">
        <f t="shared" si="102"/>
        <v>0.27485380116959063</v>
      </c>
    </row>
    <row r="313" spans="1:34" ht="15" x14ac:dyDescent="0.2">
      <c r="A313">
        <v>264</v>
      </c>
      <c r="B313" s="57" t="s">
        <v>326</v>
      </c>
      <c r="C313" s="57"/>
      <c r="D313">
        <f t="shared" si="98"/>
        <v>94</v>
      </c>
      <c r="E313" s="1">
        <f t="shared" si="99"/>
        <v>11</v>
      </c>
      <c r="F313">
        <f t="shared" si="118"/>
        <v>6</v>
      </c>
      <c r="G313">
        <f t="shared" si="118"/>
        <v>1</v>
      </c>
      <c r="H313">
        <f t="shared" si="118"/>
        <v>2</v>
      </c>
      <c r="I313">
        <f t="shared" si="118"/>
        <v>2</v>
      </c>
      <c r="J313">
        <f t="shared" si="118"/>
        <v>9</v>
      </c>
      <c r="K313">
        <f t="shared" si="118"/>
        <v>1</v>
      </c>
      <c r="L313">
        <f t="shared" si="118"/>
        <v>1</v>
      </c>
      <c r="M313">
        <f t="shared" si="118"/>
        <v>3</v>
      </c>
      <c r="N313">
        <f t="shared" si="118"/>
        <v>9</v>
      </c>
      <c r="O313">
        <f t="shared" si="118"/>
        <v>0</v>
      </c>
      <c r="P313">
        <f t="shared" si="119"/>
        <v>1</v>
      </c>
      <c r="Q313">
        <f t="shared" si="119"/>
        <v>5</v>
      </c>
      <c r="R313">
        <f t="shared" si="119"/>
        <v>2</v>
      </c>
      <c r="S313">
        <f t="shared" si="119"/>
        <v>5</v>
      </c>
      <c r="T313">
        <f t="shared" si="119"/>
        <v>4</v>
      </c>
      <c r="U313">
        <f t="shared" si="119"/>
        <v>2</v>
      </c>
      <c r="V313">
        <f t="shared" si="119"/>
        <v>0</v>
      </c>
      <c r="W313">
        <f t="shared" si="119"/>
        <v>6</v>
      </c>
      <c r="X313">
        <f t="shared" si="119"/>
        <v>5</v>
      </c>
      <c r="Y313">
        <f t="shared" si="119"/>
        <v>3</v>
      </c>
      <c r="Z313">
        <f t="shared" si="120"/>
        <v>0</v>
      </c>
      <c r="AA313">
        <f t="shared" si="120"/>
        <v>2</v>
      </c>
      <c r="AB313">
        <f t="shared" si="120"/>
        <v>0</v>
      </c>
      <c r="AC313">
        <f t="shared" si="120"/>
        <v>0</v>
      </c>
      <c r="AD313">
        <f t="shared" si="120"/>
        <v>3</v>
      </c>
      <c r="AE313">
        <f t="shared" si="120"/>
        <v>0</v>
      </c>
      <c r="AF313" s="56">
        <f t="shared" si="100"/>
        <v>20</v>
      </c>
      <c r="AG313" s="59">
        <f t="shared" si="101"/>
        <v>8.545454545454545</v>
      </c>
      <c r="AH313">
        <f t="shared" si="102"/>
        <v>0.42727272727272725</v>
      </c>
    </row>
    <row r="314" spans="1:34" ht="15" x14ac:dyDescent="0.2">
      <c r="A314">
        <v>101</v>
      </c>
      <c r="B314" s="57" t="s">
        <v>166</v>
      </c>
      <c r="C314" s="57"/>
      <c r="D314">
        <f t="shared" si="98"/>
        <v>93</v>
      </c>
      <c r="E314" s="1">
        <f t="shared" si="99"/>
        <v>18</v>
      </c>
      <c r="F314">
        <f t="shared" si="118"/>
        <v>5</v>
      </c>
      <c r="G314">
        <f t="shared" si="118"/>
        <v>1</v>
      </c>
      <c r="H314">
        <f t="shared" si="118"/>
        <v>3</v>
      </c>
      <c r="I314">
        <f t="shared" si="118"/>
        <v>3</v>
      </c>
      <c r="J314">
        <f t="shared" si="118"/>
        <v>10</v>
      </c>
      <c r="K314">
        <f t="shared" si="118"/>
        <v>2</v>
      </c>
      <c r="L314">
        <f t="shared" si="118"/>
        <v>2</v>
      </c>
      <c r="M314">
        <f t="shared" si="118"/>
        <v>6</v>
      </c>
      <c r="N314">
        <f t="shared" si="118"/>
        <v>2</v>
      </c>
      <c r="O314">
        <f t="shared" si="118"/>
        <v>0</v>
      </c>
      <c r="P314">
        <f t="shared" si="119"/>
        <v>0</v>
      </c>
      <c r="Q314">
        <f t="shared" si="119"/>
        <v>9</v>
      </c>
      <c r="R314">
        <f t="shared" si="119"/>
        <v>1</v>
      </c>
      <c r="S314">
        <f t="shared" si="119"/>
        <v>5</v>
      </c>
      <c r="T314">
        <f t="shared" si="119"/>
        <v>6</v>
      </c>
      <c r="U314">
        <f t="shared" si="119"/>
        <v>1</v>
      </c>
      <c r="V314">
        <f t="shared" si="119"/>
        <v>0</v>
      </c>
      <c r="W314">
        <f t="shared" si="119"/>
        <v>1</v>
      </c>
      <c r="X314">
        <f t="shared" si="119"/>
        <v>2</v>
      </c>
      <c r="Y314">
        <f t="shared" si="119"/>
        <v>8</v>
      </c>
      <c r="Z314">
        <f t="shared" si="120"/>
        <v>2</v>
      </c>
      <c r="AA314">
        <f t="shared" si="120"/>
        <v>0</v>
      </c>
      <c r="AB314">
        <f t="shared" si="120"/>
        <v>3</v>
      </c>
      <c r="AC314">
        <f t="shared" si="120"/>
        <v>0</v>
      </c>
      <c r="AD314">
        <f t="shared" si="120"/>
        <v>1</v>
      </c>
      <c r="AE314">
        <f t="shared" si="120"/>
        <v>0</v>
      </c>
      <c r="AF314" s="56">
        <f t="shared" si="100"/>
        <v>20</v>
      </c>
      <c r="AG314" s="59">
        <f t="shared" si="101"/>
        <v>5.166666666666667</v>
      </c>
      <c r="AH314">
        <f t="shared" si="102"/>
        <v>0.25833333333333336</v>
      </c>
    </row>
    <row r="315" spans="1:34" ht="15" x14ac:dyDescent="0.2">
      <c r="A315">
        <v>529</v>
      </c>
      <c r="B315" s="57" t="s">
        <v>559</v>
      </c>
      <c r="C315" s="57"/>
      <c r="D315">
        <f t="shared" si="98"/>
        <v>93</v>
      </c>
      <c r="E315" s="1">
        <f t="shared" si="99"/>
        <v>19</v>
      </c>
      <c r="F315">
        <f t="shared" si="118"/>
        <v>4</v>
      </c>
      <c r="G315">
        <f t="shared" si="118"/>
        <v>3</v>
      </c>
      <c r="H315">
        <f t="shared" si="118"/>
        <v>3</v>
      </c>
      <c r="I315">
        <f t="shared" si="118"/>
        <v>5</v>
      </c>
      <c r="J315">
        <f t="shared" si="118"/>
        <v>9</v>
      </c>
      <c r="K315">
        <f t="shared" si="118"/>
        <v>1</v>
      </c>
      <c r="L315">
        <f t="shared" si="118"/>
        <v>1</v>
      </c>
      <c r="M315">
        <f t="shared" si="118"/>
        <v>3</v>
      </c>
      <c r="N315">
        <f t="shared" si="118"/>
        <v>5</v>
      </c>
      <c r="O315">
        <f t="shared" si="118"/>
        <v>0</v>
      </c>
      <c r="P315">
        <f t="shared" si="119"/>
        <v>1</v>
      </c>
      <c r="Q315">
        <f t="shared" si="119"/>
        <v>2</v>
      </c>
      <c r="R315">
        <f t="shared" si="119"/>
        <v>0</v>
      </c>
      <c r="S315">
        <f t="shared" si="119"/>
        <v>5</v>
      </c>
      <c r="T315">
        <f t="shared" si="119"/>
        <v>8</v>
      </c>
      <c r="U315">
        <f t="shared" si="119"/>
        <v>1</v>
      </c>
      <c r="V315">
        <f t="shared" si="119"/>
        <v>0</v>
      </c>
      <c r="W315">
        <f t="shared" si="119"/>
        <v>5</v>
      </c>
      <c r="X315">
        <f t="shared" si="119"/>
        <v>1</v>
      </c>
      <c r="Y315">
        <f t="shared" si="119"/>
        <v>7</v>
      </c>
      <c r="Z315">
        <f t="shared" si="120"/>
        <v>2</v>
      </c>
      <c r="AA315">
        <f t="shared" si="120"/>
        <v>3</v>
      </c>
      <c r="AB315">
        <f t="shared" si="120"/>
        <v>1</v>
      </c>
      <c r="AC315">
        <f t="shared" si="120"/>
        <v>0</v>
      </c>
      <c r="AD315">
        <f t="shared" si="120"/>
        <v>1</v>
      </c>
      <c r="AE315">
        <f t="shared" si="120"/>
        <v>0</v>
      </c>
      <c r="AF315" s="56">
        <f t="shared" si="100"/>
        <v>21</v>
      </c>
      <c r="AG315" s="59">
        <f t="shared" si="101"/>
        <v>4.8947368421052628</v>
      </c>
      <c r="AH315">
        <f t="shared" si="102"/>
        <v>0.23308270676691728</v>
      </c>
    </row>
    <row r="316" spans="1:34" ht="15" x14ac:dyDescent="0.2">
      <c r="A316">
        <v>67</v>
      </c>
      <c r="B316" s="57" t="s">
        <v>132</v>
      </c>
      <c r="C316" s="57"/>
      <c r="D316">
        <f t="shared" si="98"/>
        <v>93</v>
      </c>
      <c r="E316" s="1">
        <f t="shared" si="99"/>
        <v>17</v>
      </c>
      <c r="F316">
        <f t="shared" si="118"/>
        <v>8</v>
      </c>
      <c r="G316">
        <f t="shared" si="118"/>
        <v>2</v>
      </c>
      <c r="H316">
        <f t="shared" si="118"/>
        <v>1</v>
      </c>
      <c r="I316">
        <f t="shared" si="118"/>
        <v>5</v>
      </c>
      <c r="J316">
        <f t="shared" si="118"/>
        <v>8</v>
      </c>
      <c r="K316">
        <f t="shared" si="118"/>
        <v>3</v>
      </c>
      <c r="L316">
        <f t="shared" si="118"/>
        <v>0</v>
      </c>
      <c r="M316">
        <f t="shared" si="118"/>
        <v>2</v>
      </c>
      <c r="N316">
        <f t="shared" si="118"/>
        <v>6</v>
      </c>
      <c r="O316">
        <f t="shared" si="118"/>
        <v>1</v>
      </c>
      <c r="P316">
        <f t="shared" si="119"/>
        <v>0</v>
      </c>
      <c r="Q316">
        <f t="shared" si="119"/>
        <v>7</v>
      </c>
      <c r="R316">
        <f t="shared" si="119"/>
        <v>1</v>
      </c>
      <c r="S316">
        <f t="shared" si="119"/>
        <v>5</v>
      </c>
      <c r="T316">
        <f t="shared" si="119"/>
        <v>6</v>
      </c>
      <c r="U316">
        <f t="shared" si="119"/>
        <v>1</v>
      </c>
      <c r="V316">
        <f t="shared" si="119"/>
        <v>0</v>
      </c>
      <c r="W316">
        <f t="shared" si="119"/>
        <v>4</v>
      </c>
      <c r="X316">
        <f t="shared" si="119"/>
        <v>5</v>
      </c>
      <c r="Y316">
        <f t="shared" si="119"/>
        <v>2</v>
      </c>
      <c r="Z316">
        <f t="shared" si="120"/>
        <v>2</v>
      </c>
      <c r="AA316">
        <f t="shared" si="120"/>
        <v>2</v>
      </c>
      <c r="AB316">
        <f t="shared" si="120"/>
        <v>3</v>
      </c>
      <c r="AC316">
        <f t="shared" si="120"/>
        <v>0</v>
      </c>
      <c r="AD316">
        <f t="shared" si="120"/>
        <v>1</v>
      </c>
      <c r="AE316">
        <f t="shared" si="120"/>
        <v>0</v>
      </c>
      <c r="AF316" s="56">
        <f t="shared" si="100"/>
        <v>21</v>
      </c>
      <c r="AG316" s="59">
        <f t="shared" si="101"/>
        <v>5.4705882352941178</v>
      </c>
      <c r="AH316">
        <f t="shared" si="102"/>
        <v>0.26050420168067229</v>
      </c>
    </row>
    <row r="317" spans="1:34" ht="15" x14ac:dyDescent="0.2">
      <c r="A317">
        <v>46</v>
      </c>
      <c r="B317" s="57" t="s">
        <v>111</v>
      </c>
      <c r="C317" s="57"/>
      <c r="D317">
        <f t="shared" si="98"/>
        <v>93</v>
      </c>
      <c r="E317" s="1">
        <f t="shared" si="99"/>
        <v>17</v>
      </c>
      <c r="F317">
        <f t="shared" si="118"/>
        <v>4</v>
      </c>
      <c r="G317">
        <f t="shared" si="118"/>
        <v>2</v>
      </c>
      <c r="H317">
        <f t="shared" si="118"/>
        <v>1</v>
      </c>
      <c r="I317">
        <f t="shared" si="118"/>
        <v>2</v>
      </c>
      <c r="J317">
        <f t="shared" si="118"/>
        <v>10</v>
      </c>
      <c r="K317">
        <f t="shared" si="118"/>
        <v>3</v>
      </c>
      <c r="L317">
        <f t="shared" si="118"/>
        <v>2</v>
      </c>
      <c r="M317">
        <f t="shared" si="118"/>
        <v>4</v>
      </c>
      <c r="N317">
        <f t="shared" si="118"/>
        <v>5</v>
      </c>
      <c r="O317">
        <f t="shared" si="118"/>
        <v>0</v>
      </c>
      <c r="P317">
        <f t="shared" si="119"/>
        <v>1</v>
      </c>
      <c r="Q317">
        <f t="shared" si="119"/>
        <v>2</v>
      </c>
      <c r="R317">
        <f t="shared" si="119"/>
        <v>1</v>
      </c>
      <c r="S317">
        <f t="shared" si="119"/>
        <v>4</v>
      </c>
      <c r="T317">
        <f t="shared" si="119"/>
        <v>7</v>
      </c>
      <c r="U317">
        <f t="shared" si="119"/>
        <v>1</v>
      </c>
      <c r="V317">
        <f t="shared" si="119"/>
        <v>0</v>
      </c>
      <c r="W317">
        <f t="shared" si="119"/>
        <v>4</v>
      </c>
      <c r="X317">
        <f t="shared" si="119"/>
        <v>6</v>
      </c>
      <c r="Y317">
        <f t="shared" si="119"/>
        <v>7</v>
      </c>
      <c r="Z317">
        <f t="shared" si="120"/>
        <v>5</v>
      </c>
      <c r="AA317">
        <f t="shared" si="120"/>
        <v>0</v>
      </c>
      <c r="AB317">
        <f t="shared" si="120"/>
        <v>1</v>
      </c>
      <c r="AC317">
        <f t="shared" si="120"/>
        <v>0</v>
      </c>
      <c r="AD317">
        <f t="shared" si="120"/>
        <v>2</v>
      </c>
      <c r="AE317">
        <f t="shared" si="120"/>
        <v>0</v>
      </c>
      <c r="AF317" s="56">
        <f t="shared" si="100"/>
        <v>21</v>
      </c>
      <c r="AG317" s="59">
        <f t="shared" si="101"/>
        <v>5.4705882352941178</v>
      </c>
      <c r="AH317">
        <f t="shared" si="102"/>
        <v>0.26050420168067229</v>
      </c>
    </row>
    <row r="318" spans="1:34" ht="15" x14ac:dyDescent="0.2">
      <c r="A318">
        <v>29</v>
      </c>
      <c r="B318" s="57" t="s">
        <v>94</v>
      </c>
      <c r="C318" s="57"/>
      <c r="D318">
        <f t="shared" si="98"/>
        <v>93</v>
      </c>
      <c r="E318" s="1">
        <f t="shared" si="99"/>
        <v>17</v>
      </c>
      <c r="F318">
        <f t="shared" si="118"/>
        <v>6</v>
      </c>
      <c r="G318">
        <f t="shared" si="118"/>
        <v>3</v>
      </c>
      <c r="H318">
        <f t="shared" si="118"/>
        <v>2</v>
      </c>
      <c r="I318">
        <f t="shared" si="118"/>
        <v>1</v>
      </c>
      <c r="J318">
        <f t="shared" si="118"/>
        <v>7</v>
      </c>
      <c r="K318">
        <f t="shared" si="118"/>
        <v>0</v>
      </c>
      <c r="L318">
        <f t="shared" si="118"/>
        <v>5</v>
      </c>
      <c r="M318">
        <f t="shared" si="118"/>
        <v>2</v>
      </c>
      <c r="N318">
        <f t="shared" si="118"/>
        <v>6</v>
      </c>
      <c r="O318">
        <f t="shared" si="118"/>
        <v>0</v>
      </c>
      <c r="P318">
        <f t="shared" si="119"/>
        <v>2</v>
      </c>
      <c r="Q318">
        <f t="shared" si="119"/>
        <v>3</v>
      </c>
      <c r="R318">
        <f t="shared" si="119"/>
        <v>2</v>
      </c>
      <c r="S318">
        <f t="shared" si="119"/>
        <v>6</v>
      </c>
      <c r="T318">
        <f t="shared" si="119"/>
        <v>8</v>
      </c>
      <c r="U318">
        <f t="shared" si="119"/>
        <v>1</v>
      </c>
      <c r="V318">
        <f t="shared" si="119"/>
        <v>0</v>
      </c>
      <c r="W318">
        <f t="shared" si="119"/>
        <v>4</v>
      </c>
      <c r="X318">
        <f t="shared" si="119"/>
        <v>6</v>
      </c>
      <c r="Y318">
        <f t="shared" si="119"/>
        <v>4</v>
      </c>
      <c r="Z318">
        <f t="shared" si="120"/>
        <v>2</v>
      </c>
      <c r="AA318">
        <f t="shared" si="120"/>
        <v>0</v>
      </c>
      <c r="AB318">
        <f t="shared" si="120"/>
        <v>2</v>
      </c>
      <c r="AC318">
        <f t="shared" si="120"/>
        <v>1</v>
      </c>
      <c r="AD318">
        <f t="shared" si="120"/>
        <v>1</v>
      </c>
      <c r="AE318">
        <f t="shared" si="120"/>
        <v>0</v>
      </c>
      <c r="AF318" s="56">
        <f t="shared" si="100"/>
        <v>21</v>
      </c>
      <c r="AG318" s="59">
        <f t="shared" si="101"/>
        <v>5.4705882352941178</v>
      </c>
      <c r="AH318">
        <f t="shared" si="102"/>
        <v>0.26050420168067229</v>
      </c>
    </row>
    <row r="319" spans="1:34" ht="15" x14ac:dyDescent="0.2">
      <c r="A319">
        <v>297</v>
      </c>
      <c r="B319" s="57" t="s">
        <v>358</v>
      </c>
      <c r="C319" s="57"/>
      <c r="D319">
        <f t="shared" si="98"/>
        <v>93</v>
      </c>
      <c r="E319" s="1">
        <f t="shared" si="99"/>
        <v>16</v>
      </c>
      <c r="F319">
        <f t="shared" si="118"/>
        <v>7</v>
      </c>
      <c r="G319">
        <f t="shared" si="118"/>
        <v>1</v>
      </c>
      <c r="H319">
        <f t="shared" si="118"/>
        <v>4</v>
      </c>
      <c r="I319">
        <f t="shared" si="118"/>
        <v>2</v>
      </c>
      <c r="J319">
        <f t="shared" si="118"/>
        <v>9</v>
      </c>
      <c r="K319">
        <f t="shared" si="118"/>
        <v>3</v>
      </c>
      <c r="L319">
        <f t="shared" si="118"/>
        <v>1</v>
      </c>
      <c r="M319">
        <f t="shared" si="118"/>
        <v>2</v>
      </c>
      <c r="N319">
        <f t="shared" si="118"/>
        <v>3</v>
      </c>
      <c r="O319">
        <f t="shared" si="118"/>
        <v>1</v>
      </c>
      <c r="P319">
        <f t="shared" si="119"/>
        <v>1</v>
      </c>
      <c r="Q319">
        <f t="shared" si="119"/>
        <v>4</v>
      </c>
      <c r="R319">
        <f t="shared" si="119"/>
        <v>3</v>
      </c>
      <c r="S319">
        <f t="shared" si="119"/>
        <v>4</v>
      </c>
      <c r="T319">
        <f t="shared" si="119"/>
        <v>7</v>
      </c>
      <c r="U319">
        <f t="shared" si="119"/>
        <v>4</v>
      </c>
      <c r="V319">
        <f t="shared" si="119"/>
        <v>1</v>
      </c>
      <c r="W319">
        <f t="shared" si="119"/>
        <v>6</v>
      </c>
      <c r="X319">
        <f t="shared" si="119"/>
        <v>3</v>
      </c>
      <c r="Y319">
        <f t="shared" si="119"/>
        <v>6</v>
      </c>
      <c r="Z319">
        <f t="shared" si="120"/>
        <v>2</v>
      </c>
      <c r="AA319">
        <f t="shared" si="120"/>
        <v>0</v>
      </c>
      <c r="AB319">
        <f t="shared" si="120"/>
        <v>0</v>
      </c>
      <c r="AC319">
        <f t="shared" si="120"/>
        <v>0</v>
      </c>
      <c r="AD319">
        <f t="shared" si="120"/>
        <v>1</v>
      </c>
      <c r="AE319">
        <f t="shared" si="120"/>
        <v>0</v>
      </c>
      <c r="AF319" s="56">
        <f t="shared" si="100"/>
        <v>22</v>
      </c>
      <c r="AG319" s="59">
        <f t="shared" si="101"/>
        <v>5.8125</v>
      </c>
      <c r="AH319">
        <f t="shared" si="102"/>
        <v>0.26420454545454547</v>
      </c>
    </row>
    <row r="320" spans="1:34" ht="15" x14ac:dyDescent="0.2">
      <c r="A320">
        <v>572</v>
      </c>
      <c r="B320" s="57" t="s">
        <v>593</v>
      </c>
      <c r="C320" s="57"/>
      <c r="D320">
        <f t="shared" si="98"/>
        <v>92</v>
      </c>
      <c r="E320" s="1">
        <f t="shared" si="99"/>
        <v>17</v>
      </c>
      <c r="F320">
        <f t="shared" si="118"/>
        <v>7</v>
      </c>
      <c r="G320">
        <f t="shared" si="118"/>
        <v>0</v>
      </c>
      <c r="H320">
        <f t="shared" si="118"/>
        <v>1</v>
      </c>
      <c r="I320">
        <f t="shared" si="118"/>
        <v>2</v>
      </c>
      <c r="J320">
        <f t="shared" si="118"/>
        <v>9</v>
      </c>
      <c r="K320">
        <f t="shared" si="118"/>
        <v>1</v>
      </c>
      <c r="L320">
        <f t="shared" si="118"/>
        <v>3</v>
      </c>
      <c r="M320">
        <f t="shared" si="118"/>
        <v>2</v>
      </c>
      <c r="N320">
        <f t="shared" si="118"/>
        <v>8</v>
      </c>
      <c r="O320">
        <f t="shared" si="118"/>
        <v>0</v>
      </c>
      <c r="P320">
        <f t="shared" si="119"/>
        <v>1</v>
      </c>
      <c r="Q320">
        <f t="shared" si="119"/>
        <v>1</v>
      </c>
      <c r="R320">
        <f t="shared" si="119"/>
        <v>2</v>
      </c>
      <c r="S320">
        <f t="shared" si="119"/>
        <v>3</v>
      </c>
      <c r="T320">
        <f t="shared" si="119"/>
        <v>5</v>
      </c>
      <c r="U320">
        <f t="shared" si="119"/>
        <v>3</v>
      </c>
      <c r="V320">
        <f t="shared" si="119"/>
        <v>0</v>
      </c>
      <c r="W320">
        <f t="shared" si="119"/>
        <v>9</v>
      </c>
      <c r="X320">
        <f t="shared" si="119"/>
        <v>8</v>
      </c>
      <c r="Y320">
        <f t="shared" si="119"/>
        <v>6</v>
      </c>
      <c r="Z320">
        <f t="shared" si="120"/>
        <v>0</v>
      </c>
      <c r="AA320">
        <f t="shared" si="120"/>
        <v>1</v>
      </c>
      <c r="AB320">
        <f t="shared" si="120"/>
        <v>0</v>
      </c>
      <c r="AC320">
        <f t="shared" si="120"/>
        <v>0</v>
      </c>
      <c r="AD320">
        <f t="shared" si="120"/>
        <v>0</v>
      </c>
      <c r="AE320">
        <f t="shared" si="120"/>
        <v>0</v>
      </c>
      <c r="AF320" s="56">
        <f t="shared" si="100"/>
        <v>18</v>
      </c>
      <c r="AG320" s="59">
        <f t="shared" si="101"/>
        <v>5.4117647058823533</v>
      </c>
      <c r="AH320">
        <f t="shared" si="102"/>
        <v>0.30065359477124187</v>
      </c>
    </row>
    <row r="321" spans="1:34" ht="15" x14ac:dyDescent="0.2">
      <c r="A321">
        <v>82</v>
      </c>
      <c r="B321" s="57" t="s">
        <v>147</v>
      </c>
      <c r="C321" s="57"/>
      <c r="D321">
        <f t="shared" si="98"/>
        <v>92</v>
      </c>
      <c r="E321" s="1">
        <f t="shared" si="99"/>
        <v>16</v>
      </c>
      <c r="F321">
        <f t="shared" si="118"/>
        <v>7</v>
      </c>
      <c r="G321">
        <f t="shared" si="118"/>
        <v>0</v>
      </c>
      <c r="H321">
        <f t="shared" si="118"/>
        <v>2</v>
      </c>
      <c r="I321">
        <f t="shared" si="118"/>
        <v>1</v>
      </c>
      <c r="J321">
        <f t="shared" si="118"/>
        <v>8</v>
      </c>
      <c r="K321">
        <f t="shared" si="118"/>
        <v>4</v>
      </c>
      <c r="L321">
        <f t="shared" si="118"/>
        <v>4</v>
      </c>
      <c r="M321">
        <f t="shared" si="118"/>
        <v>3</v>
      </c>
      <c r="N321">
        <f t="shared" si="118"/>
        <v>8</v>
      </c>
      <c r="O321">
        <f t="shared" si="118"/>
        <v>0</v>
      </c>
      <c r="P321">
        <f t="shared" si="119"/>
        <v>0</v>
      </c>
      <c r="Q321">
        <f t="shared" si="119"/>
        <v>3</v>
      </c>
      <c r="R321">
        <f t="shared" si="119"/>
        <v>2</v>
      </c>
      <c r="S321">
        <f t="shared" si="119"/>
        <v>4</v>
      </c>
      <c r="T321">
        <f t="shared" si="119"/>
        <v>5</v>
      </c>
      <c r="U321">
        <f t="shared" si="119"/>
        <v>0</v>
      </c>
      <c r="V321">
        <f t="shared" si="119"/>
        <v>0</v>
      </c>
      <c r="W321">
        <f t="shared" si="119"/>
        <v>6</v>
      </c>
      <c r="X321">
        <f t="shared" si="119"/>
        <v>5</v>
      </c>
      <c r="Y321">
        <f t="shared" si="119"/>
        <v>8</v>
      </c>
      <c r="Z321">
        <f t="shared" si="120"/>
        <v>3</v>
      </c>
      <c r="AA321">
        <f t="shared" si="120"/>
        <v>1</v>
      </c>
      <c r="AB321">
        <f t="shared" si="120"/>
        <v>0</v>
      </c>
      <c r="AC321">
        <f t="shared" si="120"/>
        <v>0</v>
      </c>
      <c r="AD321">
        <f t="shared" si="120"/>
        <v>2</v>
      </c>
      <c r="AE321">
        <f t="shared" si="120"/>
        <v>0</v>
      </c>
      <c r="AF321" s="56">
        <f t="shared" si="100"/>
        <v>18</v>
      </c>
      <c r="AG321" s="59">
        <f t="shared" si="101"/>
        <v>5.75</v>
      </c>
      <c r="AH321">
        <f t="shared" si="102"/>
        <v>0.31944444444444442</v>
      </c>
    </row>
    <row r="322" spans="1:34" ht="15" x14ac:dyDescent="0.2">
      <c r="A322">
        <v>541</v>
      </c>
      <c r="B322" s="57" t="s">
        <v>570</v>
      </c>
      <c r="C322" s="57"/>
      <c r="D322">
        <f t="shared" ref="D322:D385" si="121">LEN(B322)</f>
        <v>92</v>
      </c>
      <c r="E322" s="1">
        <f t="shared" ref="E322:E385" si="122">IF(LEN(TRIM(B322))=0,0,LEN(TRIM(B322))-LEN(SUBSTITUTE(B322," ",""))+1)</f>
        <v>19</v>
      </c>
      <c r="F322">
        <f t="shared" ref="F322:O331" si="123">LEN($B322)-LEN(SUBSTITUTE($B322,F$1,""))</f>
        <v>7</v>
      </c>
      <c r="G322">
        <f t="shared" si="123"/>
        <v>0</v>
      </c>
      <c r="H322">
        <f t="shared" si="123"/>
        <v>1</v>
      </c>
      <c r="I322">
        <f t="shared" si="123"/>
        <v>1</v>
      </c>
      <c r="J322">
        <f t="shared" si="123"/>
        <v>7</v>
      </c>
      <c r="K322">
        <f t="shared" si="123"/>
        <v>3</v>
      </c>
      <c r="L322">
        <f t="shared" si="123"/>
        <v>3</v>
      </c>
      <c r="M322">
        <f t="shared" si="123"/>
        <v>4</v>
      </c>
      <c r="N322">
        <f t="shared" si="123"/>
        <v>6</v>
      </c>
      <c r="O322">
        <f t="shared" si="123"/>
        <v>0</v>
      </c>
      <c r="P322">
        <f t="shared" ref="P322:Y331" si="124">LEN($B322)-LEN(SUBSTITUTE($B322,P$1,""))</f>
        <v>1</v>
      </c>
      <c r="Q322">
        <f t="shared" si="124"/>
        <v>3</v>
      </c>
      <c r="R322">
        <f t="shared" si="124"/>
        <v>2</v>
      </c>
      <c r="S322">
        <f t="shared" si="124"/>
        <v>6</v>
      </c>
      <c r="T322">
        <f t="shared" si="124"/>
        <v>6</v>
      </c>
      <c r="U322">
        <f t="shared" si="124"/>
        <v>1</v>
      </c>
      <c r="V322">
        <f t="shared" si="124"/>
        <v>0</v>
      </c>
      <c r="W322">
        <f t="shared" si="124"/>
        <v>2</v>
      </c>
      <c r="X322">
        <f t="shared" si="124"/>
        <v>1</v>
      </c>
      <c r="Y322">
        <f t="shared" si="124"/>
        <v>7</v>
      </c>
      <c r="Z322">
        <f t="shared" ref="Z322:AE331" si="125">LEN($B322)-LEN(SUBSTITUTE($B322,Z$1,""))</f>
        <v>3</v>
      </c>
      <c r="AA322">
        <f t="shared" si="125"/>
        <v>0</v>
      </c>
      <c r="AB322">
        <f t="shared" si="125"/>
        <v>0</v>
      </c>
      <c r="AC322">
        <f t="shared" si="125"/>
        <v>0</v>
      </c>
      <c r="AD322">
        <f t="shared" si="125"/>
        <v>3</v>
      </c>
      <c r="AE322">
        <f t="shared" si="125"/>
        <v>0</v>
      </c>
      <c r="AF322" s="56">
        <f t="shared" ref="AF322:AF385" si="126">26-COUNTIF(F322:AE322,0)</f>
        <v>19</v>
      </c>
      <c r="AG322" s="59">
        <f t="shared" ref="AG322:AG385" si="127">D322/E322</f>
        <v>4.8421052631578947</v>
      </c>
      <c r="AH322">
        <f t="shared" ref="AH322:AH385" si="128">AG322/AF322</f>
        <v>0.25484764542936289</v>
      </c>
    </row>
    <row r="323" spans="1:34" ht="15" x14ac:dyDescent="0.2">
      <c r="A323">
        <v>313</v>
      </c>
      <c r="B323" s="57" t="s">
        <v>373</v>
      </c>
      <c r="C323" s="57"/>
      <c r="D323">
        <f t="shared" si="121"/>
        <v>92</v>
      </c>
      <c r="E323" s="1">
        <f t="shared" si="122"/>
        <v>13</v>
      </c>
      <c r="F323">
        <f t="shared" si="123"/>
        <v>10</v>
      </c>
      <c r="G323">
        <f t="shared" si="123"/>
        <v>1</v>
      </c>
      <c r="H323">
        <f t="shared" si="123"/>
        <v>1</v>
      </c>
      <c r="I323">
        <f t="shared" si="123"/>
        <v>0</v>
      </c>
      <c r="J323">
        <f t="shared" si="123"/>
        <v>9</v>
      </c>
      <c r="K323">
        <f t="shared" si="123"/>
        <v>0</v>
      </c>
      <c r="L323">
        <f t="shared" si="123"/>
        <v>1</v>
      </c>
      <c r="M323">
        <f t="shared" si="123"/>
        <v>1</v>
      </c>
      <c r="N323">
        <f t="shared" si="123"/>
        <v>5</v>
      </c>
      <c r="O323">
        <f t="shared" si="123"/>
        <v>1</v>
      </c>
      <c r="P323">
        <f t="shared" si="124"/>
        <v>0</v>
      </c>
      <c r="Q323">
        <f t="shared" si="124"/>
        <v>3</v>
      </c>
      <c r="R323">
        <f t="shared" si="124"/>
        <v>3</v>
      </c>
      <c r="S323">
        <f t="shared" si="124"/>
        <v>5</v>
      </c>
      <c r="T323">
        <f t="shared" si="124"/>
        <v>5</v>
      </c>
      <c r="U323">
        <f t="shared" si="124"/>
        <v>4</v>
      </c>
      <c r="V323">
        <f t="shared" si="124"/>
        <v>0</v>
      </c>
      <c r="W323">
        <f t="shared" si="124"/>
        <v>8</v>
      </c>
      <c r="X323">
        <f t="shared" si="124"/>
        <v>4</v>
      </c>
      <c r="Y323">
        <f t="shared" si="124"/>
        <v>7</v>
      </c>
      <c r="Z323">
        <f t="shared" si="125"/>
        <v>5</v>
      </c>
      <c r="AA323">
        <f t="shared" si="125"/>
        <v>1</v>
      </c>
      <c r="AB323">
        <f t="shared" si="125"/>
        <v>1</v>
      </c>
      <c r="AC323">
        <f t="shared" si="125"/>
        <v>0</v>
      </c>
      <c r="AD323">
        <f t="shared" si="125"/>
        <v>1</v>
      </c>
      <c r="AE323">
        <f t="shared" si="125"/>
        <v>2</v>
      </c>
      <c r="AF323" s="56">
        <f t="shared" si="126"/>
        <v>21</v>
      </c>
      <c r="AG323" s="59">
        <f t="shared" si="127"/>
        <v>7.0769230769230766</v>
      </c>
      <c r="AH323">
        <f t="shared" si="128"/>
        <v>0.33699633699633696</v>
      </c>
    </row>
    <row r="324" spans="1:34" ht="15" x14ac:dyDescent="0.2">
      <c r="A324">
        <v>280</v>
      </c>
      <c r="B324" s="57" t="s">
        <v>342</v>
      </c>
      <c r="C324" s="57"/>
      <c r="D324">
        <f t="shared" si="121"/>
        <v>91</v>
      </c>
      <c r="E324" s="1">
        <f t="shared" si="122"/>
        <v>14</v>
      </c>
      <c r="F324">
        <f t="shared" si="123"/>
        <v>11</v>
      </c>
      <c r="G324">
        <f t="shared" si="123"/>
        <v>0</v>
      </c>
      <c r="H324">
        <f t="shared" si="123"/>
        <v>1</v>
      </c>
      <c r="I324">
        <f t="shared" si="123"/>
        <v>0</v>
      </c>
      <c r="J324">
        <f t="shared" si="123"/>
        <v>4</v>
      </c>
      <c r="K324">
        <f t="shared" si="123"/>
        <v>0</v>
      </c>
      <c r="L324">
        <f t="shared" si="123"/>
        <v>5</v>
      </c>
      <c r="M324">
        <f t="shared" si="123"/>
        <v>1</v>
      </c>
      <c r="N324">
        <f t="shared" si="123"/>
        <v>7</v>
      </c>
      <c r="O324">
        <f t="shared" si="123"/>
        <v>1</v>
      </c>
      <c r="P324">
        <f t="shared" si="124"/>
        <v>0</v>
      </c>
      <c r="Q324">
        <f t="shared" si="124"/>
        <v>5</v>
      </c>
      <c r="R324">
        <f t="shared" si="124"/>
        <v>4</v>
      </c>
      <c r="S324">
        <f t="shared" si="124"/>
        <v>8</v>
      </c>
      <c r="T324">
        <f t="shared" si="124"/>
        <v>2</v>
      </c>
      <c r="U324">
        <f t="shared" si="124"/>
        <v>4</v>
      </c>
      <c r="V324">
        <f t="shared" si="124"/>
        <v>0</v>
      </c>
      <c r="W324">
        <f t="shared" si="124"/>
        <v>7</v>
      </c>
      <c r="X324">
        <f t="shared" si="124"/>
        <v>3</v>
      </c>
      <c r="Y324">
        <f t="shared" si="124"/>
        <v>4</v>
      </c>
      <c r="Z324">
        <f t="shared" si="125"/>
        <v>5</v>
      </c>
      <c r="AA324">
        <f t="shared" si="125"/>
        <v>0</v>
      </c>
      <c r="AB324">
        <f t="shared" si="125"/>
        <v>1</v>
      </c>
      <c r="AC324">
        <f t="shared" si="125"/>
        <v>0</v>
      </c>
      <c r="AD324">
        <f t="shared" si="125"/>
        <v>0</v>
      </c>
      <c r="AE324">
        <f t="shared" si="125"/>
        <v>0</v>
      </c>
      <c r="AF324" s="56">
        <f t="shared" si="126"/>
        <v>17</v>
      </c>
      <c r="AG324" s="59">
        <f t="shared" si="127"/>
        <v>6.5</v>
      </c>
      <c r="AH324">
        <f t="shared" si="128"/>
        <v>0.38235294117647056</v>
      </c>
    </row>
    <row r="325" spans="1:34" ht="15" x14ac:dyDescent="0.2">
      <c r="A325">
        <v>139</v>
      </c>
      <c r="B325" s="57" t="s">
        <v>204</v>
      </c>
      <c r="C325" s="57"/>
      <c r="D325">
        <f t="shared" si="121"/>
        <v>91</v>
      </c>
      <c r="E325" s="1">
        <f t="shared" si="122"/>
        <v>21</v>
      </c>
      <c r="F325">
        <f t="shared" si="123"/>
        <v>7</v>
      </c>
      <c r="G325">
        <f t="shared" si="123"/>
        <v>0</v>
      </c>
      <c r="H325">
        <f t="shared" si="123"/>
        <v>1</v>
      </c>
      <c r="I325">
        <f t="shared" si="123"/>
        <v>3</v>
      </c>
      <c r="J325">
        <f t="shared" si="123"/>
        <v>6</v>
      </c>
      <c r="K325">
        <f t="shared" si="123"/>
        <v>0</v>
      </c>
      <c r="L325">
        <f t="shared" si="123"/>
        <v>0</v>
      </c>
      <c r="M325">
        <f t="shared" si="123"/>
        <v>5</v>
      </c>
      <c r="N325">
        <f t="shared" si="123"/>
        <v>4</v>
      </c>
      <c r="O325">
        <f t="shared" si="123"/>
        <v>0</v>
      </c>
      <c r="P325">
        <f t="shared" si="124"/>
        <v>1</v>
      </c>
      <c r="Q325">
        <f t="shared" si="124"/>
        <v>7</v>
      </c>
      <c r="R325">
        <f t="shared" si="124"/>
        <v>3</v>
      </c>
      <c r="S325">
        <f t="shared" si="124"/>
        <v>5</v>
      </c>
      <c r="T325">
        <f t="shared" si="124"/>
        <v>2</v>
      </c>
      <c r="U325">
        <f t="shared" si="124"/>
        <v>0</v>
      </c>
      <c r="V325">
        <f t="shared" si="124"/>
        <v>0</v>
      </c>
      <c r="W325">
        <f t="shared" si="124"/>
        <v>2</v>
      </c>
      <c r="X325">
        <f t="shared" si="124"/>
        <v>7</v>
      </c>
      <c r="Y325">
        <f t="shared" si="124"/>
        <v>3</v>
      </c>
      <c r="Z325">
        <f t="shared" si="125"/>
        <v>4</v>
      </c>
      <c r="AA325">
        <f t="shared" si="125"/>
        <v>0</v>
      </c>
      <c r="AB325">
        <f t="shared" si="125"/>
        <v>4</v>
      </c>
      <c r="AC325">
        <f t="shared" si="125"/>
        <v>0</v>
      </c>
      <c r="AD325">
        <f t="shared" si="125"/>
        <v>2</v>
      </c>
      <c r="AE325">
        <f t="shared" si="125"/>
        <v>0</v>
      </c>
      <c r="AF325" s="56">
        <f t="shared" si="126"/>
        <v>17</v>
      </c>
      <c r="AG325" s="59">
        <f t="shared" si="127"/>
        <v>4.333333333333333</v>
      </c>
      <c r="AH325">
        <f t="shared" si="128"/>
        <v>0.25490196078431371</v>
      </c>
    </row>
    <row r="326" spans="1:34" ht="15" x14ac:dyDescent="0.2">
      <c r="A326">
        <v>350</v>
      </c>
      <c r="B326" s="57" t="s">
        <v>410</v>
      </c>
      <c r="C326" s="57"/>
      <c r="D326">
        <f t="shared" si="121"/>
        <v>91</v>
      </c>
      <c r="E326" s="1">
        <f t="shared" si="122"/>
        <v>19</v>
      </c>
      <c r="F326">
        <f t="shared" si="123"/>
        <v>5</v>
      </c>
      <c r="G326">
        <f t="shared" si="123"/>
        <v>2</v>
      </c>
      <c r="H326">
        <f t="shared" si="123"/>
        <v>1</v>
      </c>
      <c r="I326">
        <f t="shared" si="123"/>
        <v>2</v>
      </c>
      <c r="J326">
        <f t="shared" si="123"/>
        <v>12</v>
      </c>
      <c r="K326">
        <f t="shared" si="123"/>
        <v>2</v>
      </c>
      <c r="L326">
        <f t="shared" si="123"/>
        <v>2</v>
      </c>
      <c r="M326">
        <f t="shared" si="123"/>
        <v>5</v>
      </c>
      <c r="N326">
        <f t="shared" si="123"/>
        <v>3</v>
      </c>
      <c r="O326">
        <f t="shared" si="123"/>
        <v>0</v>
      </c>
      <c r="P326">
        <f t="shared" si="124"/>
        <v>0</v>
      </c>
      <c r="Q326">
        <f t="shared" si="124"/>
        <v>3</v>
      </c>
      <c r="R326">
        <f t="shared" si="124"/>
        <v>2</v>
      </c>
      <c r="S326">
        <f t="shared" si="124"/>
        <v>5</v>
      </c>
      <c r="T326">
        <f t="shared" si="124"/>
        <v>6</v>
      </c>
      <c r="U326">
        <f t="shared" si="124"/>
        <v>0</v>
      </c>
      <c r="V326">
        <f t="shared" si="124"/>
        <v>0</v>
      </c>
      <c r="W326">
        <f t="shared" si="124"/>
        <v>5</v>
      </c>
      <c r="X326">
        <f t="shared" si="124"/>
        <v>2</v>
      </c>
      <c r="Y326">
        <f t="shared" si="124"/>
        <v>7</v>
      </c>
      <c r="Z326">
        <f t="shared" si="125"/>
        <v>0</v>
      </c>
      <c r="AA326">
        <f t="shared" si="125"/>
        <v>1</v>
      </c>
      <c r="AB326">
        <f t="shared" si="125"/>
        <v>3</v>
      </c>
      <c r="AC326">
        <f t="shared" si="125"/>
        <v>0</v>
      </c>
      <c r="AD326">
        <f t="shared" si="125"/>
        <v>1</v>
      </c>
      <c r="AE326">
        <f t="shared" si="125"/>
        <v>0</v>
      </c>
      <c r="AF326" s="56">
        <f t="shared" si="126"/>
        <v>19</v>
      </c>
      <c r="AG326" s="59">
        <f t="shared" si="127"/>
        <v>4.7894736842105265</v>
      </c>
      <c r="AH326">
        <f t="shared" si="128"/>
        <v>0.25207756232686984</v>
      </c>
    </row>
    <row r="327" spans="1:34" ht="15" x14ac:dyDescent="0.2">
      <c r="A327">
        <v>116</v>
      </c>
      <c r="B327" s="57" t="s">
        <v>181</v>
      </c>
      <c r="C327" s="57"/>
      <c r="D327">
        <f t="shared" si="121"/>
        <v>91</v>
      </c>
      <c r="E327" s="1">
        <f t="shared" si="122"/>
        <v>16</v>
      </c>
      <c r="F327">
        <f t="shared" si="123"/>
        <v>5</v>
      </c>
      <c r="G327">
        <f t="shared" si="123"/>
        <v>1</v>
      </c>
      <c r="H327">
        <f t="shared" si="123"/>
        <v>1</v>
      </c>
      <c r="I327">
        <f t="shared" si="123"/>
        <v>1</v>
      </c>
      <c r="J327">
        <f t="shared" si="123"/>
        <v>9</v>
      </c>
      <c r="K327">
        <f t="shared" si="123"/>
        <v>1</v>
      </c>
      <c r="L327">
        <f t="shared" si="123"/>
        <v>1</v>
      </c>
      <c r="M327">
        <f t="shared" si="123"/>
        <v>4</v>
      </c>
      <c r="N327">
        <f t="shared" si="123"/>
        <v>5</v>
      </c>
      <c r="O327">
        <f t="shared" si="123"/>
        <v>0</v>
      </c>
      <c r="P327">
        <f t="shared" si="124"/>
        <v>0</v>
      </c>
      <c r="Q327">
        <f t="shared" si="124"/>
        <v>5</v>
      </c>
      <c r="R327">
        <f t="shared" si="124"/>
        <v>1</v>
      </c>
      <c r="S327">
        <f t="shared" si="124"/>
        <v>4</v>
      </c>
      <c r="T327">
        <f t="shared" si="124"/>
        <v>5</v>
      </c>
      <c r="U327">
        <f t="shared" si="124"/>
        <v>2</v>
      </c>
      <c r="V327">
        <f t="shared" si="124"/>
        <v>0</v>
      </c>
      <c r="W327">
        <f t="shared" si="124"/>
        <v>3</v>
      </c>
      <c r="X327">
        <f t="shared" si="124"/>
        <v>4</v>
      </c>
      <c r="Y327">
        <f t="shared" si="124"/>
        <v>12</v>
      </c>
      <c r="Z327">
        <f t="shared" si="125"/>
        <v>2</v>
      </c>
      <c r="AA327">
        <f t="shared" si="125"/>
        <v>1</v>
      </c>
      <c r="AB327">
        <f t="shared" si="125"/>
        <v>0</v>
      </c>
      <c r="AC327">
        <f t="shared" si="125"/>
        <v>0</v>
      </c>
      <c r="AD327">
        <f t="shared" si="125"/>
        <v>0</v>
      </c>
      <c r="AE327">
        <f t="shared" si="125"/>
        <v>0</v>
      </c>
      <c r="AF327" s="56">
        <f t="shared" si="126"/>
        <v>19</v>
      </c>
      <c r="AG327" s="59">
        <f t="shared" si="127"/>
        <v>5.6875</v>
      </c>
      <c r="AH327">
        <f t="shared" si="128"/>
        <v>0.29934210526315791</v>
      </c>
    </row>
    <row r="328" spans="1:34" ht="15" x14ac:dyDescent="0.2">
      <c r="A328">
        <v>103</v>
      </c>
      <c r="B328" s="57" t="s">
        <v>168</v>
      </c>
      <c r="C328" s="57"/>
      <c r="D328">
        <f t="shared" si="121"/>
        <v>91</v>
      </c>
      <c r="E328" s="1">
        <f t="shared" si="122"/>
        <v>15</v>
      </c>
      <c r="F328">
        <f t="shared" si="123"/>
        <v>5</v>
      </c>
      <c r="G328">
        <f t="shared" si="123"/>
        <v>3</v>
      </c>
      <c r="H328">
        <f t="shared" si="123"/>
        <v>2</v>
      </c>
      <c r="I328">
        <f t="shared" si="123"/>
        <v>1</v>
      </c>
      <c r="J328">
        <f t="shared" si="123"/>
        <v>8</v>
      </c>
      <c r="K328">
        <f t="shared" si="123"/>
        <v>1</v>
      </c>
      <c r="L328">
        <f t="shared" si="123"/>
        <v>1</v>
      </c>
      <c r="M328">
        <f t="shared" si="123"/>
        <v>4</v>
      </c>
      <c r="N328">
        <f t="shared" si="123"/>
        <v>6</v>
      </c>
      <c r="O328">
        <f t="shared" si="123"/>
        <v>1</v>
      </c>
      <c r="P328">
        <f t="shared" si="124"/>
        <v>1</v>
      </c>
      <c r="Q328">
        <f t="shared" si="124"/>
        <v>3</v>
      </c>
      <c r="R328">
        <f t="shared" si="124"/>
        <v>0</v>
      </c>
      <c r="S328">
        <f t="shared" si="124"/>
        <v>6</v>
      </c>
      <c r="T328">
        <f t="shared" si="124"/>
        <v>5</v>
      </c>
      <c r="U328">
        <f t="shared" si="124"/>
        <v>4</v>
      </c>
      <c r="V328">
        <f t="shared" si="124"/>
        <v>0</v>
      </c>
      <c r="W328">
        <f t="shared" si="124"/>
        <v>4</v>
      </c>
      <c r="X328">
        <f t="shared" si="124"/>
        <v>3</v>
      </c>
      <c r="Y328">
        <f t="shared" si="124"/>
        <v>10</v>
      </c>
      <c r="Z328">
        <f t="shared" si="125"/>
        <v>3</v>
      </c>
      <c r="AA328">
        <f t="shared" si="125"/>
        <v>0</v>
      </c>
      <c r="AB328">
        <f t="shared" si="125"/>
        <v>1</v>
      </c>
      <c r="AC328">
        <f t="shared" si="125"/>
        <v>0</v>
      </c>
      <c r="AD328">
        <f t="shared" si="125"/>
        <v>1</v>
      </c>
      <c r="AE328">
        <f t="shared" si="125"/>
        <v>0</v>
      </c>
      <c r="AF328" s="56">
        <f t="shared" si="126"/>
        <v>21</v>
      </c>
      <c r="AG328" s="59">
        <f t="shared" si="127"/>
        <v>6.0666666666666664</v>
      </c>
      <c r="AH328">
        <f t="shared" si="128"/>
        <v>0.28888888888888886</v>
      </c>
    </row>
    <row r="329" spans="1:34" ht="15" x14ac:dyDescent="0.2">
      <c r="A329">
        <v>576</v>
      </c>
      <c r="B329" s="57" t="s">
        <v>597</v>
      </c>
      <c r="C329" s="57"/>
      <c r="D329">
        <f t="shared" si="121"/>
        <v>91</v>
      </c>
      <c r="E329" s="1">
        <f t="shared" si="122"/>
        <v>15</v>
      </c>
      <c r="F329">
        <f t="shared" si="123"/>
        <v>2</v>
      </c>
      <c r="G329">
        <f t="shared" si="123"/>
        <v>1</v>
      </c>
      <c r="H329">
        <f t="shared" si="123"/>
        <v>2</v>
      </c>
      <c r="I329">
        <f t="shared" si="123"/>
        <v>3</v>
      </c>
      <c r="J329">
        <f t="shared" si="123"/>
        <v>12</v>
      </c>
      <c r="K329">
        <f t="shared" si="123"/>
        <v>3</v>
      </c>
      <c r="L329">
        <f t="shared" si="123"/>
        <v>1</v>
      </c>
      <c r="M329">
        <f t="shared" si="123"/>
        <v>2</v>
      </c>
      <c r="N329">
        <f t="shared" si="123"/>
        <v>6</v>
      </c>
      <c r="O329">
        <f t="shared" si="123"/>
        <v>0</v>
      </c>
      <c r="P329">
        <f t="shared" si="124"/>
        <v>0</v>
      </c>
      <c r="Q329">
        <f t="shared" si="124"/>
        <v>4</v>
      </c>
      <c r="R329">
        <f t="shared" si="124"/>
        <v>2</v>
      </c>
      <c r="S329">
        <f t="shared" si="124"/>
        <v>2</v>
      </c>
      <c r="T329">
        <f t="shared" si="124"/>
        <v>8</v>
      </c>
      <c r="U329">
        <f t="shared" si="124"/>
        <v>5</v>
      </c>
      <c r="V329">
        <f t="shared" si="124"/>
        <v>0</v>
      </c>
      <c r="W329">
        <f t="shared" si="124"/>
        <v>4</v>
      </c>
      <c r="X329">
        <f t="shared" si="124"/>
        <v>5</v>
      </c>
      <c r="Y329">
        <f t="shared" si="124"/>
        <v>5</v>
      </c>
      <c r="Z329">
        <f t="shared" si="125"/>
        <v>1</v>
      </c>
      <c r="AA329">
        <f t="shared" si="125"/>
        <v>2</v>
      </c>
      <c r="AB329">
        <f t="shared" si="125"/>
        <v>1</v>
      </c>
      <c r="AC329">
        <f t="shared" si="125"/>
        <v>1</v>
      </c>
      <c r="AD329">
        <f t="shared" si="125"/>
        <v>1</v>
      </c>
      <c r="AE329">
        <f t="shared" si="125"/>
        <v>0</v>
      </c>
      <c r="AF329" s="56">
        <f t="shared" si="126"/>
        <v>22</v>
      </c>
      <c r="AG329" s="59">
        <f t="shared" si="127"/>
        <v>6.0666666666666664</v>
      </c>
      <c r="AH329">
        <f t="shared" si="128"/>
        <v>0.27575757575757576</v>
      </c>
    </row>
    <row r="330" spans="1:34" ht="15" x14ac:dyDescent="0.2">
      <c r="A330">
        <v>210</v>
      </c>
      <c r="B330" s="57" t="s">
        <v>274</v>
      </c>
      <c r="C330" s="57"/>
      <c r="D330">
        <f t="shared" si="121"/>
        <v>90</v>
      </c>
      <c r="E330" s="1">
        <f t="shared" si="122"/>
        <v>15</v>
      </c>
      <c r="F330">
        <f t="shared" si="123"/>
        <v>3</v>
      </c>
      <c r="G330">
        <f t="shared" si="123"/>
        <v>2</v>
      </c>
      <c r="H330">
        <f t="shared" si="123"/>
        <v>5</v>
      </c>
      <c r="I330">
        <f t="shared" si="123"/>
        <v>2</v>
      </c>
      <c r="J330">
        <f t="shared" si="123"/>
        <v>14</v>
      </c>
      <c r="K330">
        <f t="shared" si="123"/>
        <v>2</v>
      </c>
      <c r="L330">
        <f t="shared" si="123"/>
        <v>0</v>
      </c>
      <c r="M330">
        <f t="shared" si="123"/>
        <v>4</v>
      </c>
      <c r="N330">
        <f t="shared" si="123"/>
        <v>7</v>
      </c>
      <c r="O330">
        <f t="shared" si="123"/>
        <v>0</v>
      </c>
      <c r="P330">
        <f t="shared" si="124"/>
        <v>0</v>
      </c>
      <c r="Q330">
        <f t="shared" si="124"/>
        <v>0</v>
      </c>
      <c r="R330">
        <f t="shared" si="124"/>
        <v>0</v>
      </c>
      <c r="S330">
        <f t="shared" si="124"/>
        <v>6</v>
      </c>
      <c r="T330">
        <f t="shared" si="124"/>
        <v>3</v>
      </c>
      <c r="U330">
        <f t="shared" si="124"/>
        <v>2</v>
      </c>
      <c r="V330">
        <f t="shared" si="124"/>
        <v>0</v>
      </c>
      <c r="W330">
        <f t="shared" si="124"/>
        <v>7</v>
      </c>
      <c r="X330">
        <f t="shared" si="124"/>
        <v>2</v>
      </c>
      <c r="Y330">
        <f t="shared" si="124"/>
        <v>8</v>
      </c>
      <c r="Z330">
        <f t="shared" si="125"/>
        <v>1</v>
      </c>
      <c r="AA330">
        <f t="shared" si="125"/>
        <v>0</v>
      </c>
      <c r="AB330">
        <f t="shared" si="125"/>
        <v>1</v>
      </c>
      <c r="AC330">
        <f t="shared" si="125"/>
        <v>0</v>
      </c>
      <c r="AD330">
        <f t="shared" si="125"/>
        <v>2</v>
      </c>
      <c r="AE330">
        <f t="shared" si="125"/>
        <v>0</v>
      </c>
      <c r="AF330" s="56">
        <f t="shared" si="126"/>
        <v>17</v>
      </c>
      <c r="AG330" s="59">
        <f t="shared" si="127"/>
        <v>6</v>
      </c>
      <c r="AH330">
        <f t="shared" si="128"/>
        <v>0.35294117647058826</v>
      </c>
    </row>
    <row r="331" spans="1:34" ht="15" x14ac:dyDescent="0.2">
      <c r="A331">
        <v>248</v>
      </c>
      <c r="B331" s="57" t="s">
        <v>311</v>
      </c>
      <c r="C331" s="57"/>
      <c r="D331">
        <f t="shared" si="121"/>
        <v>90</v>
      </c>
      <c r="E331" s="1">
        <f t="shared" si="122"/>
        <v>15</v>
      </c>
      <c r="F331">
        <f t="shared" si="123"/>
        <v>7</v>
      </c>
      <c r="G331">
        <f t="shared" si="123"/>
        <v>1</v>
      </c>
      <c r="H331">
        <f t="shared" si="123"/>
        <v>0</v>
      </c>
      <c r="I331">
        <f t="shared" si="123"/>
        <v>3</v>
      </c>
      <c r="J331">
        <f t="shared" si="123"/>
        <v>6</v>
      </c>
      <c r="K331">
        <f t="shared" si="123"/>
        <v>3</v>
      </c>
      <c r="L331">
        <f t="shared" si="123"/>
        <v>3</v>
      </c>
      <c r="M331">
        <f t="shared" si="123"/>
        <v>4</v>
      </c>
      <c r="N331">
        <f t="shared" si="123"/>
        <v>5</v>
      </c>
      <c r="O331">
        <f t="shared" si="123"/>
        <v>0</v>
      </c>
      <c r="P331">
        <f t="shared" si="124"/>
        <v>0</v>
      </c>
      <c r="Q331">
        <f t="shared" si="124"/>
        <v>4</v>
      </c>
      <c r="R331">
        <f t="shared" si="124"/>
        <v>0</v>
      </c>
      <c r="S331">
        <f t="shared" si="124"/>
        <v>4</v>
      </c>
      <c r="T331">
        <f t="shared" si="124"/>
        <v>5</v>
      </c>
      <c r="U331">
        <f t="shared" si="124"/>
        <v>1</v>
      </c>
      <c r="V331">
        <f t="shared" si="124"/>
        <v>0</v>
      </c>
      <c r="W331">
        <f t="shared" si="124"/>
        <v>6</v>
      </c>
      <c r="X331">
        <f t="shared" si="124"/>
        <v>3</v>
      </c>
      <c r="Y331">
        <f t="shared" si="124"/>
        <v>8</v>
      </c>
      <c r="Z331">
        <f t="shared" si="125"/>
        <v>3</v>
      </c>
      <c r="AA331">
        <f t="shared" si="125"/>
        <v>1</v>
      </c>
      <c r="AB331">
        <f t="shared" si="125"/>
        <v>1</v>
      </c>
      <c r="AC331">
        <f t="shared" si="125"/>
        <v>0</v>
      </c>
      <c r="AD331">
        <f t="shared" si="125"/>
        <v>6</v>
      </c>
      <c r="AE331">
        <f t="shared" si="125"/>
        <v>0</v>
      </c>
      <c r="AF331" s="56">
        <f t="shared" si="126"/>
        <v>19</v>
      </c>
      <c r="AG331" s="59">
        <f t="shared" si="127"/>
        <v>6</v>
      </c>
      <c r="AH331">
        <f t="shared" si="128"/>
        <v>0.31578947368421051</v>
      </c>
    </row>
    <row r="332" spans="1:34" ht="15" x14ac:dyDescent="0.2">
      <c r="A332">
        <v>158</v>
      </c>
      <c r="B332" s="57" t="s">
        <v>223</v>
      </c>
      <c r="C332" s="57"/>
      <c r="D332">
        <f t="shared" si="121"/>
        <v>90</v>
      </c>
      <c r="E332" s="1">
        <f t="shared" si="122"/>
        <v>17</v>
      </c>
      <c r="F332">
        <f t="shared" ref="F332:O341" si="129">LEN($B332)-LEN(SUBSTITUTE($B332,F$1,""))</f>
        <v>4</v>
      </c>
      <c r="G332">
        <f t="shared" si="129"/>
        <v>1</v>
      </c>
      <c r="H332">
        <f t="shared" si="129"/>
        <v>0</v>
      </c>
      <c r="I332">
        <f t="shared" si="129"/>
        <v>4</v>
      </c>
      <c r="J332">
        <f t="shared" si="129"/>
        <v>12</v>
      </c>
      <c r="K332">
        <f t="shared" si="129"/>
        <v>1</v>
      </c>
      <c r="L332">
        <f t="shared" si="129"/>
        <v>0</v>
      </c>
      <c r="M332">
        <f t="shared" si="129"/>
        <v>0</v>
      </c>
      <c r="N332">
        <f t="shared" si="129"/>
        <v>6</v>
      </c>
      <c r="O332">
        <f t="shared" si="129"/>
        <v>0</v>
      </c>
      <c r="P332">
        <f t="shared" ref="P332:Y341" si="130">LEN($B332)-LEN(SUBSTITUTE($B332,P$1,""))</f>
        <v>0</v>
      </c>
      <c r="Q332">
        <f t="shared" si="130"/>
        <v>4</v>
      </c>
      <c r="R332">
        <f t="shared" si="130"/>
        <v>1</v>
      </c>
      <c r="S332">
        <f t="shared" si="130"/>
        <v>9</v>
      </c>
      <c r="T332">
        <f t="shared" si="130"/>
        <v>6</v>
      </c>
      <c r="U332">
        <f t="shared" si="130"/>
        <v>1</v>
      </c>
      <c r="V332">
        <f t="shared" si="130"/>
        <v>0</v>
      </c>
      <c r="W332">
        <f t="shared" si="130"/>
        <v>4</v>
      </c>
      <c r="X332">
        <f t="shared" si="130"/>
        <v>2</v>
      </c>
      <c r="Y332">
        <f t="shared" si="130"/>
        <v>3</v>
      </c>
      <c r="Z332">
        <f t="shared" ref="Z332:AE341" si="131">LEN($B332)-LEN(SUBSTITUTE($B332,Z$1,""))</f>
        <v>3</v>
      </c>
      <c r="AA332">
        <f t="shared" si="131"/>
        <v>2</v>
      </c>
      <c r="AB332">
        <f t="shared" si="131"/>
        <v>2</v>
      </c>
      <c r="AC332">
        <f t="shared" si="131"/>
        <v>1</v>
      </c>
      <c r="AD332">
        <f t="shared" si="131"/>
        <v>5</v>
      </c>
      <c r="AE332">
        <f t="shared" si="131"/>
        <v>0</v>
      </c>
      <c r="AF332" s="56">
        <f t="shared" si="126"/>
        <v>19</v>
      </c>
      <c r="AG332" s="59">
        <f t="shared" si="127"/>
        <v>5.2941176470588234</v>
      </c>
      <c r="AH332">
        <f t="shared" si="128"/>
        <v>0.27863777089783281</v>
      </c>
    </row>
    <row r="333" spans="1:34" ht="15" x14ac:dyDescent="0.2">
      <c r="A333">
        <v>132</v>
      </c>
      <c r="B333" s="57" t="s">
        <v>197</v>
      </c>
      <c r="C333" s="57"/>
      <c r="D333">
        <f t="shared" si="121"/>
        <v>90</v>
      </c>
      <c r="E333" s="1">
        <f t="shared" si="122"/>
        <v>18</v>
      </c>
      <c r="F333">
        <f t="shared" si="129"/>
        <v>1</v>
      </c>
      <c r="G333">
        <f t="shared" si="129"/>
        <v>0</v>
      </c>
      <c r="H333">
        <f t="shared" si="129"/>
        <v>1</v>
      </c>
      <c r="I333">
        <f t="shared" si="129"/>
        <v>0</v>
      </c>
      <c r="J333">
        <f t="shared" si="129"/>
        <v>9</v>
      </c>
      <c r="K333">
        <f t="shared" si="129"/>
        <v>2</v>
      </c>
      <c r="L333">
        <f t="shared" si="129"/>
        <v>3</v>
      </c>
      <c r="M333">
        <f t="shared" si="129"/>
        <v>3</v>
      </c>
      <c r="N333">
        <f t="shared" si="129"/>
        <v>5</v>
      </c>
      <c r="O333">
        <f t="shared" si="129"/>
        <v>1</v>
      </c>
      <c r="P333">
        <f t="shared" si="130"/>
        <v>1</v>
      </c>
      <c r="Q333">
        <f t="shared" si="130"/>
        <v>4</v>
      </c>
      <c r="R333">
        <f t="shared" si="130"/>
        <v>0</v>
      </c>
      <c r="S333">
        <f t="shared" si="130"/>
        <v>3</v>
      </c>
      <c r="T333">
        <f t="shared" si="130"/>
        <v>6</v>
      </c>
      <c r="U333">
        <f t="shared" si="130"/>
        <v>0</v>
      </c>
      <c r="V333">
        <f t="shared" si="130"/>
        <v>0</v>
      </c>
      <c r="W333">
        <f t="shared" si="130"/>
        <v>8</v>
      </c>
      <c r="X333">
        <f t="shared" si="130"/>
        <v>3</v>
      </c>
      <c r="Y333">
        <f t="shared" si="130"/>
        <v>7</v>
      </c>
      <c r="Z333">
        <f t="shared" si="131"/>
        <v>5</v>
      </c>
      <c r="AA333">
        <f t="shared" si="131"/>
        <v>2</v>
      </c>
      <c r="AB333">
        <f t="shared" si="131"/>
        <v>1</v>
      </c>
      <c r="AC333">
        <f t="shared" si="131"/>
        <v>0</v>
      </c>
      <c r="AD333">
        <f t="shared" si="131"/>
        <v>3</v>
      </c>
      <c r="AE333">
        <f t="shared" si="131"/>
        <v>0</v>
      </c>
      <c r="AF333" s="56">
        <f t="shared" si="126"/>
        <v>19</v>
      </c>
      <c r="AG333" s="59">
        <f t="shared" si="127"/>
        <v>5</v>
      </c>
      <c r="AH333">
        <f t="shared" si="128"/>
        <v>0.26315789473684209</v>
      </c>
    </row>
    <row r="334" spans="1:34" ht="15" x14ac:dyDescent="0.2">
      <c r="A334">
        <v>432</v>
      </c>
      <c r="B334" s="57" t="s">
        <v>477</v>
      </c>
      <c r="C334" s="57"/>
      <c r="D334">
        <f t="shared" si="121"/>
        <v>90</v>
      </c>
      <c r="E334" s="1">
        <f t="shared" si="122"/>
        <v>14</v>
      </c>
      <c r="F334">
        <f t="shared" si="129"/>
        <v>7</v>
      </c>
      <c r="G334">
        <f t="shared" si="129"/>
        <v>0</v>
      </c>
      <c r="H334">
        <f t="shared" si="129"/>
        <v>4</v>
      </c>
      <c r="I334">
        <f t="shared" si="129"/>
        <v>1</v>
      </c>
      <c r="J334">
        <f t="shared" si="129"/>
        <v>8</v>
      </c>
      <c r="K334">
        <f t="shared" si="129"/>
        <v>3</v>
      </c>
      <c r="L334">
        <f t="shared" si="129"/>
        <v>0</v>
      </c>
      <c r="M334">
        <f t="shared" si="129"/>
        <v>4</v>
      </c>
      <c r="N334">
        <f t="shared" si="129"/>
        <v>10</v>
      </c>
      <c r="O334">
        <f t="shared" si="129"/>
        <v>0</v>
      </c>
      <c r="P334">
        <f t="shared" si="130"/>
        <v>2</v>
      </c>
      <c r="Q334">
        <f t="shared" si="130"/>
        <v>1</v>
      </c>
      <c r="R334">
        <f t="shared" si="130"/>
        <v>10</v>
      </c>
      <c r="S334">
        <f t="shared" si="130"/>
        <v>5</v>
      </c>
      <c r="T334">
        <f t="shared" si="130"/>
        <v>2</v>
      </c>
      <c r="U334">
        <f t="shared" si="130"/>
        <v>1</v>
      </c>
      <c r="V334">
        <f t="shared" si="130"/>
        <v>0</v>
      </c>
      <c r="W334">
        <f t="shared" si="130"/>
        <v>1</v>
      </c>
      <c r="X334">
        <f t="shared" si="130"/>
        <v>3</v>
      </c>
      <c r="Y334">
        <f t="shared" si="130"/>
        <v>5</v>
      </c>
      <c r="Z334">
        <f t="shared" si="131"/>
        <v>2</v>
      </c>
      <c r="AA334">
        <f t="shared" si="131"/>
        <v>1</v>
      </c>
      <c r="AB334">
        <f t="shared" si="131"/>
        <v>2</v>
      </c>
      <c r="AC334">
        <f t="shared" si="131"/>
        <v>1</v>
      </c>
      <c r="AD334">
        <f t="shared" si="131"/>
        <v>1</v>
      </c>
      <c r="AE334">
        <f t="shared" si="131"/>
        <v>0</v>
      </c>
      <c r="AF334" s="56">
        <f t="shared" si="126"/>
        <v>21</v>
      </c>
      <c r="AG334" s="59">
        <f t="shared" si="127"/>
        <v>6.4285714285714288</v>
      </c>
      <c r="AH334">
        <f t="shared" si="128"/>
        <v>0.30612244897959184</v>
      </c>
    </row>
    <row r="335" spans="1:34" ht="15" x14ac:dyDescent="0.2">
      <c r="A335">
        <v>312</v>
      </c>
      <c r="B335" s="57" t="s">
        <v>372</v>
      </c>
      <c r="C335" s="57"/>
      <c r="D335">
        <f t="shared" si="121"/>
        <v>90</v>
      </c>
      <c r="E335" s="1">
        <f t="shared" si="122"/>
        <v>13</v>
      </c>
      <c r="F335">
        <f t="shared" si="129"/>
        <v>8</v>
      </c>
      <c r="G335">
        <f t="shared" si="129"/>
        <v>1</v>
      </c>
      <c r="H335">
        <f t="shared" si="129"/>
        <v>1</v>
      </c>
      <c r="I335">
        <f t="shared" si="129"/>
        <v>1</v>
      </c>
      <c r="J335">
        <f t="shared" si="129"/>
        <v>9</v>
      </c>
      <c r="K335">
        <f t="shared" si="129"/>
        <v>0</v>
      </c>
      <c r="L335">
        <f t="shared" si="129"/>
        <v>1</v>
      </c>
      <c r="M335">
        <f t="shared" si="129"/>
        <v>1</v>
      </c>
      <c r="N335">
        <f t="shared" si="129"/>
        <v>8</v>
      </c>
      <c r="O335">
        <f t="shared" si="129"/>
        <v>0</v>
      </c>
      <c r="P335">
        <f t="shared" si="130"/>
        <v>1</v>
      </c>
      <c r="Q335">
        <f t="shared" si="130"/>
        <v>2</v>
      </c>
      <c r="R335">
        <f t="shared" si="130"/>
        <v>3</v>
      </c>
      <c r="S335">
        <f t="shared" si="130"/>
        <v>5</v>
      </c>
      <c r="T335">
        <f t="shared" si="130"/>
        <v>4</v>
      </c>
      <c r="U335">
        <f t="shared" si="130"/>
        <v>3</v>
      </c>
      <c r="V335">
        <f t="shared" si="130"/>
        <v>1</v>
      </c>
      <c r="W335">
        <f t="shared" si="130"/>
        <v>6</v>
      </c>
      <c r="X335">
        <f t="shared" si="130"/>
        <v>6</v>
      </c>
      <c r="Y335">
        <f t="shared" si="130"/>
        <v>7</v>
      </c>
      <c r="Z335">
        <f t="shared" si="131"/>
        <v>4</v>
      </c>
      <c r="AA335">
        <f t="shared" si="131"/>
        <v>2</v>
      </c>
      <c r="AB335">
        <f t="shared" si="131"/>
        <v>0</v>
      </c>
      <c r="AC335">
        <f t="shared" si="131"/>
        <v>0</v>
      </c>
      <c r="AD335">
        <f t="shared" si="131"/>
        <v>1</v>
      </c>
      <c r="AE335">
        <f t="shared" si="131"/>
        <v>1</v>
      </c>
      <c r="AF335" s="56">
        <f t="shared" si="126"/>
        <v>22</v>
      </c>
      <c r="AG335" s="59">
        <f t="shared" si="127"/>
        <v>6.9230769230769234</v>
      </c>
      <c r="AH335">
        <f t="shared" si="128"/>
        <v>0.31468531468531469</v>
      </c>
    </row>
    <row r="336" spans="1:34" ht="15" x14ac:dyDescent="0.2">
      <c r="A336">
        <v>145</v>
      </c>
      <c r="B336" s="57" t="s">
        <v>210</v>
      </c>
      <c r="C336" s="57"/>
      <c r="D336">
        <f t="shared" si="121"/>
        <v>90</v>
      </c>
      <c r="E336" s="1">
        <f t="shared" si="122"/>
        <v>16</v>
      </c>
      <c r="F336">
        <f t="shared" si="129"/>
        <v>2</v>
      </c>
      <c r="G336">
        <f t="shared" si="129"/>
        <v>0</v>
      </c>
      <c r="H336">
        <f t="shared" si="129"/>
        <v>2</v>
      </c>
      <c r="I336">
        <f t="shared" si="129"/>
        <v>2</v>
      </c>
      <c r="J336">
        <f t="shared" si="129"/>
        <v>13</v>
      </c>
      <c r="K336">
        <f t="shared" si="129"/>
        <v>0</v>
      </c>
      <c r="L336">
        <f t="shared" si="129"/>
        <v>1</v>
      </c>
      <c r="M336">
        <f t="shared" si="129"/>
        <v>4</v>
      </c>
      <c r="N336">
        <f t="shared" si="129"/>
        <v>4</v>
      </c>
      <c r="O336">
        <f t="shared" si="129"/>
        <v>1</v>
      </c>
      <c r="P336">
        <f t="shared" si="130"/>
        <v>1</v>
      </c>
      <c r="Q336">
        <f t="shared" si="130"/>
        <v>2</v>
      </c>
      <c r="R336">
        <f t="shared" si="130"/>
        <v>1</v>
      </c>
      <c r="S336">
        <f t="shared" si="130"/>
        <v>5</v>
      </c>
      <c r="T336">
        <f t="shared" si="130"/>
        <v>4</v>
      </c>
      <c r="U336">
        <f t="shared" si="130"/>
        <v>4</v>
      </c>
      <c r="V336">
        <f t="shared" si="130"/>
        <v>1</v>
      </c>
      <c r="W336">
        <f t="shared" si="130"/>
        <v>5</v>
      </c>
      <c r="X336">
        <f t="shared" si="130"/>
        <v>4</v>
      </c>
      <c r="Y336">
        <f t="shared" si="130"/>
        <v>6</v>
      </c>
      <c r="Z336">
        <f t="shared" si="131"/>
        <v>3</v>
      </c>
      <c r="AA336">
        <f t="shared" si="131"/>
        <v>2</v>
      </c>
      <c r="AB336">
        <f t="shared" si="131"/>
        <v>2</v>
      </c>
      <c r="AC336">
        <f t="shared" si="131"/>
        <v>0</v>
      </c>
      <c r="AD336">
        <f t="shared" si="131"/>
        <v>1</v>
      </c>
      <c r="AE336">
        <f t="shared" si="131"/>
        <v>0</v>
      </c>
      <c r="AF336" s="56">
        <f t="shared" si="126"/>
        <v>22</v>
      </c>
      <c r="AG336" s="59">
        <f t="shared" si="127"/>
        <v>5.625</v>
      </c>
      <c r="AH336">
        <f t="shared" si="128"/>
        <v>0.25568181818181818</v>
      </c>
    </row>
    <row r="337" spans="1:34" ht="15" x14ac:dyDescent="0.2">
      <c r="A337">
        <v>274</v>
      </c>
      <c r="B337" s="57" t="s">
        <v>336</v>
      </c>
      <c r="C337" s="57"/>
      <c r="D337">
        <f t="shared" si="121"/>
        <v>89</v>
      </c>
      <c r="E337" s="1">
        <f t="shared" si="122"/>
        <v>18</v>
      </c>
      <c r="F337">
        <f t="shared" si="129"/>
        <v>4</v>
      </c>
      <c r="G337">
        <f t="shared" si="129"/>
        <v>3</v>
      </c>
      <c r="H337">
        <f t="shared" si="129"/>
        <v>4</v>
      </c>
      <c r="I337">
        <f t="shared" si="129"/>
        <v>3</v>
      </c>
      <c r="J337">
        <f t="shared" si="129"/>
        <v>11</v>
      </c>
      <c r="K337">
        <f t="shared" si="129"/>
        <v>0</v>
      </c>
      <c r="L337">
        <f t="shared" si="129"/>
        <v>0</v>
      </c>
      <c r="M337">
        <f t="shared" si="129"/>
        <v>4</v>
      </c>
      <c r="N337">
        <f t="shared" si="129"/>
        <v>2</v>
      </c>
      <c r="O337">
        <f t="shared" si="129"/>
        <v>0</v>
      </c>
      <c r="P337">
        <f t="shared" si="130"/>
        <v>1</v>
      </c>
      <c r="Q337">
        <f t="shared" si="130"/>
        <v>3</v>
      </c>
      <c r="R337">
        <f t="shared" si="130"/>
        <v>3</v>
      </c>
      <c r="S337">
        <f t="shared" si="130"/>
        <v>2</v>
      </c>
      <c r="T337">
        <f t="shared" si="130"/>
        <v>9</v>
      </c>
      <c r="U337">
        <f t="shared" si="130"/>
        <v>1</v>
      </c>
      <c r="V337">
        <f t="shared" si="130"/>
        <v>0</v>
      </c>
      <c r="W337">
        <f t="shared" si="130"/>
        <v>5</v>
      </c>
      <c r="X337">
        <f t="shared" si="130"/>
        <v>3</v>
      </c>
      <c r="Y337">
        <f t="shared" si="130"/>
        <v>3</v>
      </c>
      <c r="Z337">
        <f t="shared" si="131"/>
        <v>1</v>
      </c>
      <c r="AA337">
        <f t="shared" si="131"/>
        <v>3</v>
      </c>
      <c r="AB337">
        <f t="shared" si="131"/>
        <v>2</v>
      </c>
      <c r="AC337">
        <f t="shared" si="131"/>
        <v>0</v>
      </c>
      <c r="AD337">
        <f t="shared" si="131"/>
        <v>1</v>
      </c>
      <c r="AE337">
        <f t="shared" si="131"/>
        <v>0</v>
      </c>
      <c r="AF337" s="56">
        <f t="shared" si="126"/>
        <v>20</v>
      </c>
      <c r="AG337" s="59">
        <f t="shared" si="127"/>
        <v>4.9444444444444446</v>
      </c>
      <c r="AH337">
        <f t="shared" si="128"/>
        <v>0.24722222222222223</v>
      </c>
    </row>
    <row r="338" spans="1:34" ht="15" x14ac:dyDescent="0.2">
      <c r="A338">
        <v>131</v>
      </c>
      <c r="B338" s="57" t="s">
        <v>196</v>
      </c>
      <c r="C338" s="57"/>
      <c r="D338">
        <f t="shared" si="121"/>
        <v>88</v>
      </c>
      <c r="E338" s="1">
        <f t="shared" si="122"/>
        <v>17</v>
      </c>
      <c r="F338">
        <f t="shared" si="129"/>
        <v>6</v>
      </c>
      <c r="G338">
        <f t="shared" si="129"/>
        <v>1</v>
      </c>
      <c r="H338">
        <f t="shared" si="129"/>
        <v>2</v>
      </c>
      <c r="I338">
        <f t="shared" si="129"/>
        <v>2</v>
      </c>
      <c r="J338">
        <f t="shared" si="129"/>
        <v>9</v>
      </c>
      <c r="K338">
        <f t="shared" si="129"/>
        <v>1</v>
      </c>
      <c r="L338">
        <f t="shared" si="129"/>
        <v>2</v>
      </c>
      <c r="M338">
        <f t="shared" si="129"/>
        <v>4</v>
      </c>
      <c r="N338">
        <f t="shared" si="129"/>
        <v>3</v>
      </c>
      <c r="O338">
        <f t="shared" si="129"/>
        <v>0</v>
      </c>
      <c r="P338">
        <f t="shared" si="130"/>
        <v>1</v>
      </c>
      <c r="Q338">
        <f t="shared" si="130"/>
        <v>3</v>
      </c>
      <c r="R338">
        <f t="shared" si="130"/>
        <v>0</v>
      </c>
      <c r="S338">
        <f t="shared" si="130"/>
        <v>5</v>
      </c>
      <c r="T338">
        <f t="shared" si="130"/>
        <v>8</v>
      </c>
      <c r="U338">
        <f t="shared" si="130"/>
        <v>0</v>
      </c>
      <c r="V338">
        <f t="shared" si="130"/>
        <v>0</v>
      </c>
      <c r="W338">
        <f t="shared" si="130"/>
        <v>5</v>
      </c>
      <c r="X338">
        <f t="shared" si="130"/>
        <v>4</v>
      </c>
      <c r="Y338">
        <f t="shared" si="130"/>
        <v>7</v>
      </c>
      <c r="Z338">
        <f t="shared" si="131"/>
        <v>2</v>
      </c>
      <c r="AA338">
        <f t="shared" si="131"/>
        <v>0</v>
      </c>
      <c r="AB338">
        <f t="shared" si="131"/>
        <v>2</v>
      </c>
      <c r="AC338">
        <f t="shared" si="131"/>
        <v>0</v>
      </c>
      <c r="AD338">
        <f t="shared" si="131"/>
        <v>2</v>
      </c>
      <c r="AE338">
        <f t="shared" si="131"/>
        <v>0</v>
      </c>
      <c r="AF338" s="56">
        <f t="shared" si="126"/>
        <v>19</v>
      </c>
      <c r="AG338" s="59">
        <f t="shared" si="127"/>
        <v>5.1764705882352944</v>
      </c>
      <c r="AH338">
        <f t="shared" si="128"/>
        <v>0.27244582043343657</v>
      </c>
    </row>
    <row r="339" spans="1:34" ht="15" x14ac:dyDescent="0.2">
      <c r="A339">
        <v>523</v>
      </c>
      <c r="B339" s="57" t="s">
        <v>554</v>
      </c>
      <c r="C339" s="57"/>
      <c r="D339">
        <f t="shared" si="121"/>
        <v>88</v>
      </c>
      <c r="E339" s="1">
        <f t="shared" si="122"/>
        <v>12</v>
      </c>
      <c r="F339">
        <f t="shared" si="129"/>
        <v>7</v>
      </c>
      <c r="G339">
        <f t="shared" si="129"/>
        <v>1</v>
      </c>
      <c r="H339">
        <f t="shared" si="129"/>
        <v>6</v>
      </c>
      <c r="I339">
        <f t="shared" si="129"/>
        <v>3</v>
      </c>
      <c r="J339">
        <f t="shared" si="129"/>
        <v>5</v>
      </c>
      <c r="K339">
        <f t="shared" si="129"/>
        <v>3</v>
      </c>
      <c r="L339">
        <f t="shared" si="129"/>
        <v>3</v>
      </c>
      <c r="M339">
        <f t="shared" si="129"/>
        <v>3</v>
      </c>
      <c r="N339">
        <f t="shared" si="129"/>
        <v>7</v>
      </c>
      <c r="O339">
        <f t="shared" si="129"/>
        <v>0</v>
      </c>
      <c r="P339">
        <f t="shared" si="130"/>
        <v>1</v>
      </c>
      <c r="Q339">
        <f t="shared" si="130"/>
        <v>4</v>
      </c>
      <c r="R339">
        <f t="shared" si="130"/>
        <v>2</v>
      </c>
      <c r="S339">
        <f t="shared" si="130"/>
        <v>6</v>
      </c>
      <c r="T339">
        <f t="shared" si="130"/>
        <v>3</v>
      </c>
      <c r="U339">
        <f t="shared" si="130"/>
        <v>0</v>
      </c>
      <c r="V339">
        <f t="shared" si="130"/>
        <v>0</v>
      </c>
      <c r="W339">
        <f t="shared" si="130"/>
        <v>4</v>
      </c>
      <c r="X339">
        <f t="shared" si="130"/>
        <v>4</v>
      </c>
      <c r="Y339">
        <f t="shared" si="130"/>
        <v>4</v>
      </c>
      <c r="Z339">
        <f t="shared" si="131"/>
        <v>4</v>
      </c>
      <c r="AA339">
        <f t="shared" si="131"/>
        <v>1</v>
      </c>
      <c r="AB339">
        <f t="shared" si="131"/>
        <v>0</v>
      </c>
      <c r="AC339">
        <f t="shared" si="131"/>
        <v>0</v>
      </c>
      <c r="AD339">
        <f t="shared" si="131"/>
        <v>3</v>
      </c>
      <c r="AE339">
        <f t="shared" si="131"/>
        <v>0</v>
      </c>
      <c r="AF339" s="56">
        <f t="shared" si="126"/>
        <v>20</v>
      </c>
      <c r="AG339" s="59">
        <f t="shared" si="127"/>
        <v>7.333333333333333</v>
      </c>
      <c r="AH339">
        <f t="shared" si="128"/>
        <v>0.36666666666666664</v>
      </c>
    </row>
    <row r="340" spans="1:34" ht="15" x14ac:dyDescent="0.2">
      <c r="A340">
        <v>331</v>
      </c>
      <c r="B340" s="57" t="s">
        <v>391</v>
      </c>
      <c r="C340" s="57"/>
      <c r="D340">
        <f t="shared" si="121"/>
        <v>88</v>
      </c>
      <c r="E340" s="1">
        <f t="shared" si="122"/>
        <v>20</v>
      </c>
      <c r="F340">
        <f t="shared" si="129"/>
        <v>8</v>
      </c>
      <c r="G340">
        <f t="shared" si="129"/>
        <v>1</v>
      </c>
      <c r="H340">
        <f t="shared" si="129"/>
        <v>1</v>
      </c>
      <c r="I340">
        <f t="shared" si="129"/>
        <v>5</v>
      </c>
      <c r="J340">
        <f t="shared" si="129"/>
        <v>2</v>
      </c>
      <c r="K340">
        <f t="shared" si="129"/>
        <v>1</v>
      </c>
      <c r="L340">
        <f t="shared" si="129"/>
        <v>1</v>
      </c>
      <c r="M340">
        <f t="shared" si="129"/>
        <v>1</v>
      </c>
      <c r="N340">
        <f t="shared" si="129"/>
        <v>6</v>
      </c>
      <c r="O340">
        <f t="shared" si="129"/>
        <v>0</v>
      </c>
      <c r="P340">
        <f t="shared" si="130"/>
        <v>0</v>
      </c>
      <c r="Q340">
        <f t="shared" si="130"/>
        <v>4</v>
      </c>
      <c r="R340">
        <f t="shared" si="130"/>
        <v>4</v>
      </c>
      <c r="S340">
        <f t="shared" si="130"/>
        <v>4</v>
      </c>
      <c r="T340">
        <f t="shared" si="130"/>
        <v>5</v>
      </c>
      <c r="U340">
        <f t="shared" si="130"/>
        <v>1</v>
      </c>
      <c r="V340">
        <f t="shared" si="130"/>
        <v>0</v>
      </c>
      <c r="W340">
        <f t="shared" si="130"/>
        <v>3</v>
      </c>
      <c r="X340">
        <f t="shared" si="130"/>
        <v>2</v>
      </c>
      <c r="Y340">
        <f t="shared" si="130"/>
        <v>6</v>
      </c>
      <c r="Z340">
        <f t="shared" si="131"/>
        <v>1</v>
      </c>
      <c r="AA340">
        <f t="shared" si="131"/>
        <v>1</v>
      </c>
      <c r="AB340">
        <f t="shared" si="131"/>
        <v>2</v>
      </c>
      <c r="AC340">
        <f t="shared" si="131"/>
        <v>0</v>
      </c>
      <c r="AD340">
        <f t="shared" si="131"/>
        <v>0</v>
      </c>
      <c r="AE340">
        <f t="shared" si="131"/>
        <v>0</v>
      </c>
      <c r="AF340" s="56">
        <f t="shared" si="126"/>
        <v>20</v>
      </c>
      <c r="AG340" s="59">
        <f t="shared" si="127"/>
        <v>4.4000000000000004</v>
      </c>
      <c r="AH340">
        <f t="shared" si="128"/>
        <v>0.22000000000000003</v>
      </c>
    </row>
    <row r="341" spans="1:34" ht="15" x14ac:dyDescent="0.2">
      <c r="A341">
        <v>407</v>
      </c>
      <c r="B341" s="57" t="s">
        <v>458</v>
      </c>
      <c r="C341" s="57"/>
      <c r="D341">
        <f t="shared" si="121"/>
        <v>88</v>
      </c>
      <c r="E341" s="1">
        <f t="shared" si="122"/>
        <v>18</v>
      </c>
      <c r="F341">
        <f t="shared" si="129"/>
        <v>5</v>
      </c>
      <c r="G341">
        <f t="shared" si="129"/>
        <v>1</v>
      </c>
      <c r="H341">
        <f t="shared" si="129"/>
        <v>4</v>
      </c>
      <c r="I341">
        <f t="shared" si="129"/>
        <v>3</v>
      </c>
      <c r="J341">
        <f t="shared" si="129"/>
        <v>7</v>
      </c>
      <c r="K341">
        <f t="shared" si="129"/>
        <v>1</v>
      </c>
      <c r="L341">
        <f t="shared" si="129"/>
        <v>2</v>
      </c>
      <c r="M341">
        <f t="shared" si="129"/>
        <v>4</v>
      </c>
      <c r="N341">
        <f t="shared" si="129"/>
        <v>5</v>
      </c>
      <c r="O341">
        <f t="shared" si="129"/>
        <v>1</v>
      </c>
      <c r="P341">
        <f t="shared" si="130"/>
        <v>0</v>
      </c>
      <c r="Q341">
        <f t="shared" si="130"/>
        <v>3</v>
      </c>
      <c r="R341">
        <f t="shared" si="130"/>
        <v>2</v>
      </c>
      <c r="S341">
        <f t="shared" si="130"/>
        <v>9</v>
      </c>
      <c r="T341">
        <f t="shared" si="130"/>
        <v>6</v>
      </c>
      <c r="U341">
        <f t="shared" si="130"/>
        <v>0</v>
      </c>
      <c r="V341">
        <f t="shared" si="130"/>
        <v>0</v>
      </c>
      <c r="W341">
        <f t="shared" si="130"/>
        <v>2</v>
      </c>
      <c r="X341">
        <f t="shared" si="130"/>
        <v>3</v>
      </c>
      <c r="Y341">
        <f t="shared" si="130"/>
        <v>2</v>
      </c>
      <c r="Z341">
        <f t="shared" si="131"/>
        <v>1</v>
      </c>
      <c r="AA341">
        <f t="shared" si="131"/>
        <v>2</v>
      </c>
      <c r="AB341">
        <f t="shared" si="131"/>
        <v>1</v>
      </c>
      <c r="AC341">
        <f t="shared" si="131"/>
        <v>0</v>
      </c>
      <c r="AD341">
        <f t="shared" si="131"/>
        <v>1</v>
      </c>
      <c r="AE341">
        <f t="shared" si="131"/>
        <v>0</v>
      </c>
      <c r="AF341" s="56">
        <f t="shared" si="126"/>
        <v>21</v>
      </c>
      <c r="AG341" s="59">
        <f t="shared" si="127"/>
        <v>4.8888888888888893</v>
      </c>
      <c r="AH341">
        <f t="shared" si="128"/>
        <v>0.23280423280423282</v>
      </c>
    </row>
    <row r="342" spans="1:34" ht="15" x14ac:dyDescent="0.2">
      <c r="A342">
        <v>606</v>
      </c>
      <c r="B342" s="57" t="s">
        <v>626</v>
      </c>
      <c r="C342" s="57"/>
      <c r="D342">
        <f t="shared" si="121"/>
        <v>87</v>
      </c>
      <c r="E342" s="1">
        <f t="shared" si="122"/>
        <v>14</v>
      </c>
      <c r="F342">
        <f t="shared" ref="F342:O351" si="132">LEN($B342)-LEN(SUBSTITUTE($B342,F$1,""))</f>
        <v>3</v>
      </c>
      <c r="G342">
        <f t="shared" si="132"/>
        <v>2</v>
      </c>
      <c r="H342">
        <f t="shared" si="132"/>
        <v>3</v>
      </c>
      <c r="I342">
        <f t="shared" si="132"/>
        <v>0</v>
      </c>
      <c r="J342">
        <f t="shared" si="132"/>
        <v>15</v>
      </c>
      <c r="K342">
        <f t="shared" si="132"/>
        <v>3</v>
      </c>
      <c r="L342">
        <f t="shared" si="132"/>
        <v>2</v>
      </c>
      <c r="M342">
        <f t="shared" si="132"/>
        <v>2</v>
      </c>
      <c r="N342">
        <f t="shared" si="132"/>
        <v>6</v>
      </c>
      <c r="O342">
        <f t="shared" si="132"/>
        <v>0</v>
      </c>
      <c r="P342">
        <f t="shared" ref="P342:Y351" si="133">LEN($B342)-LEN(SUBSTITUTE($B342,P$1,""))</f>
        <v>0</v>
      </c>
      <c r="Q342">
        <f t="shared" si="133"/>
        <v>5</v>
      </c>
      <c r="R342">
        <f t="shared" si="133"/>
        <v>1</v>
      </c>
      <c r="S342">
        <f t="shared" si="133"/>
        <v>3</v>
      </c>
      <c r="T342">
        <f t="shared" si="133"/>
        <v>1</v>
      </c>
      <c r="U342">
        <f t="shared" si="133"/>
        <v>1</v>
      </c>
      <c r="V342">
        <f t="shared" si="133"/>
        <v>0</v>
      </c>
      <c r="W342">
        <f t="shared" si="133"/>
        <v>5</v>
      </c>
      <c r="X342">
        <f t="shared" si="133"/>
        <v>5</v>
      </c>
      <c r="Y342">
        <f t="shared" si="133"/>
        <v>7</v>
      </c>
      <c r="Z342">
        <f t="shared" ref="Z342:AE351" si="134">LEN($B342)-LEN(SUBSTITUTE($B342,Z$1,""))</f>
        <v>4</v>
      </c>
      <c r="AA342">
        <f t="shared" si="134"/>
        <v>0</v>
      </c>
      <c r="AB342">
        <f t="shared" si="134"/>
        <v>1</v>
      </c>
      <c r="AC342">
        <f t="shared" si="134"/>
        <v>0</v>
      </c>
      <c r="AD342">
        <f t="shared" si="134"/>
        <v>1</v>
      </c>
      <c r="AE342">
        <f t="shared" si="134"/>
        <v>0</v>
      </c>
      <c r="AF342" s="56">
        <f t="shared" si="126"/>
        <v>19</v>
      </c>
      <c r="AG342" s="59">
        <f t="shared" si="127"/>
        <v>6.2142857142857144</v>
      </c>
      <c r="AH342">
        <f t="shared" si="128"/>
        <v>0.32706766917293234</v>
      </c>
    </row>
    <row r="343" spans="1:34" ht="15" x14ac:dyDescent="0.2">
      <c r="A343">
        <v>481</v>
      </c>
      <c r="B343" s="57" t="s">
        <v>519</v>
      </c>
      <c r="C343" s="57"/>
      <c r="D343">
        <f t="shared" si="121"/>
        <v>87</v>
      </c>
      <c r="E343" s="1">
        <f t="shared" si="122"/>
        <v>17</v>
      </c>
      <c r="F343">
        <f t="shared" si="132"/>
        <v>5</v>
      </c>
      <c r="G343">
        <f t="shared" si="132"/>
        <v>2</v>
      </c>
      <c r="H343">
        <f t="shared" si="132"/>
        <v>3</v>
      </c>
      <c r="I343">
        <f t="shared" si="132"/>
        <v>2</v>
      </c>
      <c r="J343">
        <f t="shared" si="132"/>
        <v>8</v>
      </c>
      <c r="K343">
        <f t="shared" si="132"/>
        <v>3</v>
      </c>
      <c r="L343">
        <f t="shared" si="132"/>
        <v>2</v>
      </c>
      <c r="M343">
        <f t="shared" si="132"/>
        <v>3</v>
      </c>
      <c r="N343">
        <f t="shared" si="132"/>
        <v>3</v>
      </c>
      <c r="O343">
        <f t="shared" si="132"/>
        <v>0</v>
      </c>
      <c r="P343">
        <f t="shared" si="133"/>
        <v>1</v>
      </c>
      <c r="Q343">
        <f t="shared" si="133"/>
        <v>2</v>
      </c>
      <c r="R343">
        <f t="shared" si="133"/>
        <v>3</v>
      </c>
      <c r="S343">
        <f t="shared" si="133"/>
        <v>2</v>
      </c>
      <c r="T343">
        <f t="shared" si="133"/>
        <v>10</v>
      </c>
      <c r="U343">
        <f t="shared" si="133"/>
        <v>4</v>
      </c>
      <c r="V343">
        <f t="shared" si="133"/>
        <v>0</v>
      </c>
      <c r="W343">
        <f t="shared" si="133"/>
        <v>3</v>
      </c>
      <c r="X343">
        <f t="shared" si="133"/>
        <v>3</v>
      </c>
      <c r="Y343">
        <f t="shared" si="133"/>
        <v>6</v>
      </c>
      <c r="Z343">
        <f t="shared" si="134"/>
        <v>1</v>
      </c>
      <c r="AA343">
        <f t="shared" si="134"/>
        <v>0</v>
      </c>
      <c r="AB343">
        <f t="shared" si="134"/>
        <v>1</v>
      </c>
      <c r="AC343">
        <f t="shared" si="134"/>
        <v>1</v>
      </c>
      <c r="AD343">
        <f t="shared" si="134"/>
        <v>1</v>
      </c>
      <c r="AE343">
        <f t="shared" si="134"/>
        <v>0</v>
      </c>
      <c r="AF343" s="56">
        <f t="shared" si="126"/>
        <v>22</v>
      </c>
      <c r="AG343" s="59">
        <f t="shared" si="127"/>
        <v>5.117647058823529</v>
      </c>
      <c r="AH343">
        <f t="shared" si="128"/>
        <v>0.23262032085561496</v>
      </c>
    </row>
    <row r="344" spans="1:34" ht="15" x14ac:dyDescent="0.2">
      <c r="A344">
        <v>416</v>
      </c>
      <c r="B344" s="57" t="s">
        <v>677</v>
      </c>
      <c r="C344" s="57"/>
      <c r="D344">
        <f t="shared" si="121"/>
        <v>87</v>
      </c>
      <c r="E344" s="1">
        <f t="shared" si="122"/>
        <v>16</v>
      </c>
      <c r="F344">
        <f t="shared" si="132"/>
        <v>4</v>
      </c>
      <c r="G344">
        <f t="shared" si="132"/>
        <v>1</v>
      </c>
      <c r="H344">
        <f t="shared" si="132"/>
        <v>2</v>
      </c>
      <c r="I344">
        <f t="shared" si="132"/>
        <v>2</v>
      </c>
      <c r="J344">
        <f t="shared" si="132"/>
        <v>7</v>
      </c>
      <c r="K344">
        <f t="shared" si="132"/>
        <v>1</v>
      </c>
      <c r="L344">
        <f t="shared" si="132"/>
        <v>1</v>
      </c>
      <c r="M344">
        <f t="shared" si="132"/>
        <v>1</v>
      </c>
      <c r="N344">
        <f t="shared" si="132"/>
        <v>5</v>
      </c>
      <c r="O344">
        <f t="shared" si="132"/>
        <v>0</v>
      </c>
      <c r="P344">
        <f t="shared" si="133"/>
        <v>0</v>
      </c>
      <c r="Q344">
        <f t="shared" si="133"/>
        <v>1</v>
      </c>
      <c r="R344">
        <f t="shared" si="133"/>
        <v>1</v>
      </c>
      <c r="S344">
        <f t="shared" si="133"/>
        <v>5</v>
      </c>
      <c r="T344">
        <f t="shared" si="133"/>
        <v>7</v>
      </c>
      <c r="U344">
        <f t="shared" si="133"/>
        <v>1</v>
      </c>
      <c r="V344">
        <f t="shared" si="133"/>
        <v>0</v>
      </c>
      <c r="W344">
        <f t="shared" si="133"/>
        <v>4</v>
      </c>
      <c r="X344">
        <f t="shared" si="133"/>
        <v>3</v>
      </c>
      <c r="Y344">
        <f t="shared" si="133"/>
        <v>9</v>
      </c>
      <c r="Z344">
        <f t="shared" si="134"/>
        <v>2</v>
      </c>
      <c r="AA344">
        <f t="shared" si="134"/>
        <v>2</v>
      </c>
      <c r="AB344">
        <f t="shared" si="134"/>
        <v>1</v>
      </c>
      <c r="AC344">
        <f t="shared" si="134"/>
        <v>1</v>
      </c>
      <c r="AD344">
        <f t="shared" si="134"/>
        <v>2</v>
      </c>
      <c r="AE344">
        <f t="shared" si="134"/>
        <v>0</v>
      </c>
      <c r="AF344" s="56">
        <f t="shared" si="126"/>
        <v>22</v>
      </c>
      <c r="AG344" s="59">
        <f t="shared" si="127"/>
        <v>5.4375</v>
      </c>
      <c r="AH344">
        <f t="shared" si="128"/>
        <v>0.24715909090909091</v>
      </c>
    </row>
    <row r="345" spans="1:34" ht="15" x14ac:dyDescent="0.2">
      <c r="A345">
        <v>301</v>
      </c>
      <c r="B345" s="57" t="s">
        <v>361</v>
      </c>
      <c r="C345" s="57"/>
      <c r="D345">
        <f t="shared" si="121"/>
        <v>87</v>
      </c>
      <c r="E345" s="1">
        <f t="shared" si="122"/>
        <v>16</v>
      </c>
      <c r="F345">
        <f t="shared" si="132"/>
        <v>4</v>
      </c>
      <c r="G345">
        <f t="shared" si="132"/>
        <v>1</v>
      </c>
      <c r="H345">
        <f t="shared" si="132"/>
        <v>1</v>
      </c>
      <c r="I345">
        <f t="shared" si="132"/>
        <v>0</v>
      </c>
      <c r="J345">
        <f t="shared" si="132"/>
        <v>7</v>
      </c>
      <c r="K345">
        <f t="shared" si="132"/>
        <v>2</v>
      </c>
      <c r="L345">
        <f t="shared" si="132"/>
        <v>3</v>
      </c>
      <c r="M345">
        <f t="shared" si="132"/>
        <v>4</v>
      </c>
      <c r="N345">
        <f t="shared" si="132"/>
        <v>4</v>
      </c>
      <c r="O345">
        <f t="shared" si="132"/>
        <v>1</v>
      </c>
      <c r="P345">
        <f t="shared" si="133"/>
        <v>1</v>
      </c>
      <c r="Q345">
        <f t="shared" si="133"/>
        <v>4</v>
      </c>
      <c r="R345">
        <f t="shared" si="133"/>
        <v>2</v>
      </c>
      <c r="S345">
        <f t="shared" si="133"/>
        <v>5</v>
      </c>
      <c r="T345">
        <f t="shared" si="133"/>
        <v>6</v>
      </c>
      <c r="U345">
        <f t="shared" si="133"/>
        <v>3</v>
      </c>
      <c r="V345">
        <f t="shared" si="133"/>
        <v>0</v>
      </c>
      <c r="W345">
        <f t="shared" si="133"/>
        <v>5</v>
      </c>
      <c r="X345">
        <f t="shared" si="133"/>
        <v>4</v>
      </c>
      <c r="Y345">
        <f t="shared" si="133"/>
        <v>6</v>
      </c>
      <c r="Z345">
        <f t="shared" si="134"/>
        <v>2</v>
      </c>
      <c r="AA345">
        <f t="shared" si="134"/>
        <v>2</v>
      </c>
      <c r="AB345">
        <f t="shared" si="134"/>
        <v>1</v>
      </c>
      <c r="AC345">
        <f t="shared" si="134"/>
        <v>0</v>
      </c>
      <c r="AD345">
        <f t="shared" si="134"/>
        <v>1</v>
      </c>
      <c r="AE345">
        <f t="shared" si="134"/>
        <v>0</v>
      </c>
      <c r="AF345" s="56">
        <f t="shared" si="126"/>
        <v>22</v>
      </c>
      <c r="AG345" s="59">
        <f t="shared" si="127"/>
        <v>5.4375</v>
      </c>
      <c r="AH345">
        <f t="shared" si="128"/>
        <v>0.24715909090909091</v>
      </c>
    </row>
    <row r="346" spans="1:34" ht="15" x14ac:dyDescent="0.2">
      <c r="A346">
        <v>202</v>
      </c>
      <c r="B346" s="57" t="s">
        <v>266</v>
      </c>
      <c r="C346" s="57"/>
      <c r="D346">
        <f t="shared" si="121"/>
        <v>86</v>
      </c>
      <c r="E346" s="1">
        <f t="shared" si="122"/>
        <v>17</v>
      </c>
      <c r="F346">
        <f t="shared" si="132"/>
        <v>5</v>
      </c>
      <c r="G346">
        <f t="shared" si="132"/>
        <v>0</v>
      </c>
      <c r="H346">
        <f t="shared" si="132"/>
        <v>1</v>
      </c>
      <c r="I346">
        <f t="shared" si="132"/>
        <v>8</v>
      </c>
      <c r="J346">
        <f t="shared" si="132"/>
        <v>6</v>
      </c>
      <c r="K346">
        <f t="shared" si="132"/>
        <v>1</v>
      </c>
      <c r="L346">
        <f t="shared" si="132"/>
        <v>0</v>
      </c>
      <c r="M346">
        <f t="shared" si="132"/>
        <v>0</v>
      </c>
      <c r="N346">
        <f t="shared" si="132"/>
        <v>4</v>
      </c>
      <c r="O346">
        <f t="shared" si="132"/>
        <v>0</v>
      </c>
      <c r="P346">
        <f t="shared" si="133"/>
        <v>1</v>
      </c>
      <c r="Q346">
        <f t="shared" si="133"/>
        <v>4</v>
      </c>
      <c r="R346">
        <f t="shared" si="133"/>
        <v>1</v>
      </c>
      <c r="S346">
        <f t="shared" si="133"/>
        <v>6</v>
      </c>
      <c r="T346">
        <f t="shared" si="133"/>
        <v>9</v>
      </c>
      <c r="U346">
        <f t="shared" si="133"/>
        <v>0</v>
      </c>
      <c r="V346">
        <f t="shared" si="133"/>
        <v>0</v>
      </c>
      <c r="W346">
        <f t="shared" si="133"/>
        <v>1</v>
      </c>
      <c r="X346">
        <f t="shared" si="133"/>
        <v>3</v>
      </c>
      <c r="Y346">
        <f t="shared" si="133"/>
        <v>6</v>
      </c>
      <c r="Z346">
        <f t="shared" si="134"/>
        <v>1</v>
      </c>
      <c r="AA346">
        <f t="shared" si="134"/>
        <v>0</v>
      </c>
      <c r="AB346">
        <f t="shared" si="134"/>
        <v>4</v>
      </c>
      <c r="AC346">
        <f t="shared" si="134"/>
        <v>0</v>
      </c>
      <c r="AD346">
        <f t="shared" si="134"/>
        <v>3</v>
      </c>
      <c r="AE346">
        <f t="shared" si="134"/>
        <v>0</v>
      </c>
      <c r="AF346" s="56">
        <f t="shared" si="126"/>
        <v>17</v>
      </c>
      <c r="AG346" s="59">
        <f t="shared" si="127"/>
        <v>5.0588235294117645</v>
      </c>
      <c r="AH346">
        <f t="shared" si="128"/>
        <v>0.29757785467128028</v>
      </c>
    </row>
    <row r="347" spans="1:34" ht="15" x14ac:dyDescent="0.2">
      <c r="A347">
        <v>581</v>
      </c>
      <c r="B347" s="57" t="s">
        <v>602</v>
      </c>
      <c r="C347" s="57"/>
      <c r="D347">
        <f t="shared" si="121"/>
        <v>86</v>
      </c>
      <c r="E347" s="1">
        <f t="shared" si="122"/>
        <v>16</v>
      </c>
      <c r="F347">
        <f t="shared" si="132"/>
        <v>5</v>
      </c>
      <c r="G347">
        <f t="shared" si="132"/>
        <v>2</v>
      </c>
      <c r="H347">
        <f t="shared" si="132"/>
        <v>5</v>
      </c>
      <c r="I347">
        <f t="shared" si="132"/>
        <v>4</v>
      </c>
      <c r="J347">
        <f t="shared" si="132"/>
        <v>9</v>
      </c>
      <c r="K347">
        <f t="shared" si="132"/>
        <v>2</v>
      </c>
      <c r="L347">
        <f t="shared" si="132"/>
        <v>1</v>
      </c>
      <c r="M347">
        <f t="shared" si="132"/>
        <v>4</v>
      </c>
      <c r="N347">
        <f t="shared" si="132"/>
        <v>2</v>
      </c>
      <c r="O347">
        <f t="shared" si="132"/>
        <v>0</v>
      </c>
      <c r="P347">
        <f t="shared" si="133"/>
        <v>0</v>
      </c>
      <c r="Q347">
        <f t="shared" si="133"/>
        <v>0</v>
      </c>
      <c r="R347">
        <f t="shared" si="133"/>
        <v>3</v>
      </c>
      <c r="S347">
        <f t="shared" si="133"/>
        <v>4</v>
      </c>
      <c r="T347">
        <f t="shared" si="133"/>
        <v>7</v>
      </c>
      <c r="U347">
        <f t="shared" si="133"/>
        <v>3</v>
      </c>
      <c r="V347">
        <f t="shared" si="133"/>
        <v>0</v>
      </c>
      <c r="W347">
        <f t="shared" si="133"/>
        <v>3</v>
      </c>
      <c r="X347">
        <f t="shared" si="133"/>
        <v>4</v>
      </c>
      <c r="Y347">
        <f t="shared" si="133"/>
        <v>7</v>
      </c>
      <c r="Z347">
        <f t="shared" si="134"/>
        <v>3</v>
      </c>
      <c r="AA347">
        <f t="shared" si="134"/>
        <v>0</v>
      </c>
      <c r="AB347">
        <f t="shared" si="134"/>
        <v>0</v>
      </c>
      <c r="AC347">
        <f t="shared" si="134"/>
        <v>0</v>
      </c>
      <c r="AD347">
        <f t="shared" si="134"/>
        <v>1</v>
      </c>
      <c r="AE347">
        <f t="shared" si="134"/>
        <v>0</v>
      </c>
      <c r="AF347" s="56">
        <f t="shared" si="126"/>
        <v>18</v>
      </c>
      <c r="AG347" s="59">
        <f t="shared" si="127"/>
        <v>5.375</v>
      </c>
      <c r="AH347">
        <f t="shared" si="128"/>
        <v>0.2986111111111111</v>
      </c>
    </row>
    <row r="348" spans="1:34" ht="15" x14ac:dyDescent="0.2">
      <c r="A348">
        <v>170</v>
      </c>
      <c r="B348" s="57" t="s">
        <v>234</v>
      </c>
      <c r="C348" s="57"/>
      <c r="D348">
        <f t="shared" si="121"/>
        <v>86</v>
      </c>
      <c r="E348" s="1">
        <f t="shared" si="122"/>
        <v>14</v>
      </c>
      <c r="F348">
        <f t="shared" si="132"/>
        <v>5</v>
      </c>
      <c r="G348">
        <f t="shared" si="132"/>
        <v>0</v>
      </c>
      <c r="H348">
        <f t="shared" si="132"/>
        <v>2</v>
      </c>
      <c r="I348">
        <f t="shared" si="132"/>
        <v>3</v>
      </c>
      <c r="J348">
        <f t="shared" si="132"/>
        <v>9</v>
      </c>
      <c r="K348">
        <f t="shared" si="132"/>
        <v>0</v>
      </c>
      <c r="L348">
        <f t="shared" si="132"/>
        <v>1</v>
      </c>
      <c r="M348">
        <f t="shared" si="132"/>
        <v>3</v>
      </c>
      <c r="N348">
        <f t="shared" si="132"/>
        <v>6</v>
      </c>
      <c r="O348">
        <f t="shared" si="132"/>
        <v>0</v>
      </c>
      <c r="P348">
        <f t="shared" si="133"/>
        <v>0</v>
      </c>
      <c r="Q348">
        <f t="shared" si="133"/>
        <v>1</v>
      </c>
      <c r="R348">
        <f t="shared" si="133"/>
        <v>5</v>
      </c>
      <c r="S348">
        <f t="shared" si="133"/>
        <v>6</v>
      </c>
      <c r="T348">
        <f t="shared" si="133"/>
        <v>6</v>
      </c>
      <c r="U348">
        <f t="shared" si="133"/>
        <v>1</v>
      </c>
      <c r="V348">
        <f t="shared" si="133"/>
        <v>0</v>
      </c>
      <c r="W348">
        <f t="shared" si="133"/>
        <v>3</v>
      </c>
      <c r="X348">
        <f t="shared" si="133"/>
        <v>6</v>
      </c>
      <c r="Y348">
        <f t="shared" si="133"/>
        <v>7</v>
      </c>
      <c r="Z348">
        <f t="shared" si="134"/>
        <v>2</v>
      </c>
      <c r="AA348">
        <f t="shared" si="134"/>
        <v>2</v>
      </c>
      <c r="AB348">
        <f t="shared" si="134"/>
        <v>1</v>
      </c>
      <c r="AC348">
        <f t="shared" si="134"/>
        <v>0</v>
      </c>
      <c r="AD348">
        <f t="shared" si="134"/>
        <v>2</v>
      </c>
      <c r="AE348">
        <f t="shared" si="134"/>
        <v>0</v>
      </c>
      <c r="AF348" s="56">
        <f t="shared" si="126"/>
        <v>19</v>
      </c>
      <c r="AG348" s="59">
        <f t="shared" si="127"/>
        <v>6.1428571428571432</v>
      </c>
      <c r="AH348">
        <f t="shared" si="128"/>
        <v>0.32330827067669177</v>
      </c>
    </row>
    <row r="349" spans="1:34" ht="15" x14ac:dyDescent="0.2">
      <c r="A349">
        <v>137</v>
      </c>
      <c r="B349" s="57" t="s">
        <v>202</v>
      </c>
      <c r="C349" s="57"/>
      <c r="D349">
        <f t="shared" si="121"/>
        <v>86</v>
      </c>
      <c r="E349" s="1">
        <f t="shared" si="122"/>
        <v>15</v>
      </c>
      <c r="F349">
        <f t="shared" si="132"/>
        <v>4</v>
      </c>
      <c r="G349">
        <f t="shared" si="132"/>
        <v>1</v>
      </c>
      <c r="H349">
        <f t="shared" si="132"/>
        <v>1</v>
      </c>
      <c r="I349">
        <f t="shared" si="132"/>
        <v>5</v>
      </c>
      <c r="J349">
        <f t="shared" si="132"/>
        <v>9</v>
      </c>
      <c r="K349">
        <f t="shared" si="132"/>
        <v>0</v>
      </c>
      <c r="L349">
        <f t="shared" si="132"/>
        <v>1</v>
      </c>
      <c r="M349">
        <f t="shared" si="132"/>
        <v>2</v>
      </c>
      <c r="N349">
        <f t="shared" si="132"/>
        <v>3</v>
      </c>
      <c r="O349">
        <f t="shared" si="132"/>
        <v>1</v>
      </c>
      <c r="P349">
        <f t="shared" si="133"/>
        <v>0</v>
      </c>
      <c r="Q349">
        <f t="shared" si="133"/>
        <v>2</v>
      </c>
      <c r="R349">
        <f t="shared" si="133"/>
        <v>2</v>
      </c>
      <c r="S349">
        <f t="shared" si="133"/>
        <v>6</v>
      </c>
      <c r="T349">
        <f t="shared" si="133"/>
        <v>7</v>
      </c>
      <c r="U349">
        <f t="shared" si="133"/>
        <v>1</v>
      </c>
      <c r="V349">
        <f t="shared" si="133"/>
        <v>0</v>
      </c>
      <c r="W349">
        <f t="shared" si="133"/>
        <v>0</v>
      </c>
      <c r="X349">
        <f t="shared" si="133"/>
        <v>9</v>
      </c>
      <c r="Y349">
        <f t="shared" si="133"/>
        <v>8</v>
      </c>
      <c r="Z349">
        <f t="shared" si="134"/>
        <v>4</v>
      </c>
      <c r="AA349">
        <f t="shared" si="134"/>
        <v>0</v>
      </c>
      <c r="AB349">
        <f t="shared" si="134"/>
        <v>1</v>
      </c>
      <c r="AC349">
        <f t="shared" si="134"/>
        <v>0</v>
      </c>
      <c r="AD349">
        <f t="shared" si="134"/>
        <v>1</v>
      </c>
      <c r="AE349">
        <f t="shared" si="134"/>
        <v>0</v>
      </c>
      <c r="AF349" s="56">
        <f t="shared" si="126"/>
        <v>19</v>
      </c>
      <c r="AG349" s="59">
        <f t="shared" si="127"/>
        <v>5.7333333333333334</v>
      </c>
      <c r="AH349">
        <f t="shared" si="128"/>
        <v>0.30175438596491228</v>
      </c>
    </row>
    <row r="350" spans="1:34" ht="15" x14ac:dyDescent="0.2">
      <c r="A350">
        <v>233</v>
      </c>
      <c r="B350" s="57" t="s">
        <v>296</v>
      </c>
      <c r="C350" s="57"/>
      <c r="D350">
        <f t="shared" si="121"/>
        <v>86</v>
      </c>
      <c r="E350" s="1">
        <f t="shared" si="122"/>
        <v>14</v>
      </c>
      <c r="F350">
        <f t="shared" si="132"/>
        <v>4</v>
      </c>
      <c r="G350">
        <f t="shared" si="132"/>
        <v>2</v>
      </c>
      <c r="H350">
        <f t="shared" si="132"/>
        <v>3</v>
      </c>
      <c r="I350">
        <f t="shared" si="132"/>
        <v>1</v>
      </c>
      <c r="J350">
        <f t="shared" si="132"/>
        <v>10</v>
      </c>
      <c r="K350">
        <f t="shared" si="132"/>
        <v>1</v>
      </c>
      <c r="L350">
        <f t="shared" si="132"/>
        <v>1</v>
      </c>
      <c r="M350">
        <f t="shared" si="132"/>
        <v>7</v>
      </c>
      <c r="N350">
        <f t="shared" si="132"/>
        <v>4</v>
      </c>
      <c r="O350">
        <f t="shared" si="132"/>
        <v>0</v>
      </c>
      <c r="P350">
        <f t="shared" si="133"/>
        <v>0</v>
      </c>
      <c r="Q350">
        <f t="shared" si="133"/>
        <v>1</v>
      </c>
      <c r="R350">
        <f t="shared" si="133"/>
        <v>2</v>
      </c>
      <c r="S350">
        <f t="shared" si="133"/>
        <v>4</v>
      </c>
      <c r="T350">
        <f t="shared" si="133"/>
        <v>4</v>
      </c>
      <c r="U350">
        <f t="shared" si="133"/>
        <v>2</v>
      </c>
      <c r="V350">
        <f t="shared" si="133"/>
        <v>0</v>
      </c>
      <c r="W350">
        <f t="shared" si="133"/>
        <v>5</v>
      </c>
      <c r="X350">
        <f t="shared" si="133"/>
        <v>4</v>
      </c>
      <c r="Y350">
        <f t="shared" si="133"/>
        <v>6</v>
      </c>
      <c r="Z350">
        <f t="shared" si="134"/>
        <v>0</v>
      </c>
      <c r="AA350">
        <f t="shared" si="134"/>
        <v>1</v>
      </c>
      <c r="AB350">
        <f t="shared" si="134"/>
        <v>3</v>
      </c>
      <c r="AC350">
        <f t="shared" si="134"/>
        <v>1</v>
      </c>
      <c r="AD350">
        <f t="shared" si="134"/>
        <v>2</v>
      </c>
      <c r="AE350">
        <f t="shared" si="134"/>
        <v>0</v>
      </c>
      <c r="AF350" s="56">
        <f t="shared" si="126"/>
        <v>21</v>
      </c>
      <c r="AG350" s="59">
        <f t="shared" si="127"/>
        <v>6.1428571428571432</v>
      </c>
      <c r="AH350">
        <f t="shared" si="128"/>
        <v>0.29251700680272108</v>
      </c>
    </row>
    <row r="351" spans="1:34" ht="15" x14ac:dyDescent="0.2">
      <c r="B351" s="57" t="s">
        <v>635</v>
      </c>
      <c r="C351" s="57"/>
      <c r="D351">
        <f t="shared" si="121"/>
        <v>86</v>
      </c>
      <c r="E351" s="1">
        <f t="shared" si="122"/>
        <v>16</v>
      </c>
      <c r="F351">
        <f t="shared" si="132"/>
        <v>3</v>
      </c>
      <c r="G351">
        <f t="shared" si="132"/>
        <v>0</v>
      </c>
      <c r="H351">
        <f t="shared" si="132"/>
        <v>1</v>
      </c>
      <c r="I351">
        <f t="shared" si="132"/>
        <v>1</v>
      </c>
      <c r="J351">
        <f t="shared" si="132"/>
        <v>15</v>
      </c>
      <c r="K351">
        <f t="shared" si="132"/>
        <v>3</v>
      </c>
      <c r="L351">
        <f t="shared" si="132"/>
        <v>0</v>
      </c>
      <c r="M351">
        <f t="shared" si="132"/>
        <v>4</v>
      </c>
      <c r="N351">
        <f t="shared" si="132"/>
        <v>2</v>
      </c>
      <c r="O351">
        <f t="shared" si="132"/>
        <v>0</v>
      </c>
      <c r="P351">
        <f t="shared" si="133"/>
        <v>1</v>
      </c>
      <c r="Q351">
        <f t="shared" si="133"/>
        <v>4</v>
      </c>
      <c r="R351">
        <f t="shared" si="133"/>
        <v>2</v>
      </c>
      <c r="S351">
        <f t="shared" si="133"/>
        <v>3</v>
      </c>
      <c r="T351">
        <f t="shared" si="133"/>
        <v>8</v>
      </c>
      <c r="U351">
        <f t="shared" si="133"/>
        <v>2</v>
      </c>
      <c r="V351">
        <f t="shared" si="133"/>
        <v>0</v>
      </c>
      <c r="W351">
        <f t="shared" si="133"/>
        <v>4</v>
      </c>
      <c r="X351">
        <f t="shared" si="133"/>
        <v>4</v>
      </c>
      <c r="Y351">
        <f t="shared" si="133"/>
        <v>6</v>
      </c>
      <c r="Z351">
        <f t="shared" si="134"/>
        <v>1</v>
      </c>
      <c r="AA351">
        <f t="shared" si="134"/>
        <v>2</v>
      </c>
      <c r="AB351">
        <f t="shared" si="134"/>
        <v>1</v>
      </c>
      <c r="AC351">
        <f t="shared" si="134"/>
        <v>1</v>
      </c>
      <c r="AD351">
        <f t="shared" si="134"/>
        <v>1</v>
      </c>
      <c r="AE351">
        <f t="shared" si="134"/>
        <v>0</v>
      </c>
      <c r="AF351" s="56">
        <f t="shared" si="126"/>
        <v>21</v>
      </c>
      <c r="AG351" s="59">
        <f t="shared" si="127"/>
        <v>5.375</v>
      </c>
      <c r="AH351">
        <f t="shared" si="128"/>
        <v>0.25595238095238093</v>
      </c>
    </row>
    <row r="352" spans="1:34" ht="15" x14ac:dyDescent="0.2">
      <c r="A352">
        <v>146</v>
      </c>
      <c r="B352" s="57" t="s">
        <v>211</v>
      </c>
      <c r="C352" s="57"/>
      <c r="D352">
        <f t="shared" si="121"/>
        <v>85</v>
      </c>
      <c r="E352" s="1">
        <f t="shared" si="122"/>
        <v>14</v>
      </c>
      <c r="F352">
        <f t="shared" ref="F352:O361" si="135">LEN($B352)-LEN(SUBSTITUTE($B352,F$1,""))</f>
        <v>4</v>
      </c>
      <c r="G352">
        <f t="shared" si="135"/>
        <v>0</v>
      </c>
      <c r="H352">
        <f t="shared" si="135"/>
        <v>1</v>
      </c>
      <c r="I352">
        <f t="shared" si="135"/>
        <v>3</v>
      </c>
      <c r="J352">
        <f t="shared" si="135"/>
        <v>11</v>
      </c>
      <c r="K352">
        <f t="shared" si="135"/>
        <v>2</v>
      </c>
      <c r="L352">
        <f t="shared" si="135"/>
        <v>0</v>
      </c>
      <c r="M352">
        <f t="shared" si="135"/>
        <v>3</v>
      </c>
      <c r="N352">
        <f t="shared" si="135"/>
        <v>3</v>
      </c>
      <c r="O352">
        <f t="shared" si="135"/>
        <v>0</v>
      </c>
      <c r="P352">
        <f t="shared" ref="P352:Y361" si="136">LEN($B352)-LEN(SUBSTITUTE($B352,P$1,""))</f>
        <v>0</v>
      </c>
      <c r="Q352">
        <f t="shared" si="136"/>
        <v>1</v>
      </c>
      <c r="R352">
        <f t="shared" si="136"/>
        <v>1</v>
      </c>
      <c r="S352">
        <f t="shared" si="136"/>
        <v>2</v>
      </c>
      <c r="T352">
        <f t="shared" si="136"/>
        <v>4</v>
      </c>
      <c r="U352">
        <f t="shared" si="136"/>
        <v>0</v>
      </c>
      <c r="V352">
        <f t="shared" si="136"/>
        <v>0</v>
      </c>
      <c r="W352">
        <f t="shared" si="136"/>
        <v>9</v>
      </c>
      <c r="X352">
        <f t="shared" si="136"/>
        <v>7</v>
      </c>
      <c r="Y352">
        <f t="shared" si="136"/>
        <v>10</v>
      </c>
      <c r="Z352">
        <f t="shared" ref="Z352:AE361" si="137">LEN($B352)-LEN(SUBSTITUTE($B352,Z$1,""))</f>
        <v>4</v>
      </c>
      <c r="AA352">
        <f t="shared" si="137"/>
        <v>0</v>
      </c>
      <c r="AB352">
        <f t="shared" si="137"/>
        <v>2</v>
      </c>
      <c r="AC352">
        <f t="shared" si="137"/>
        <v>0</v>
      </c>
      <c r="AD352">
        <f t="shared" si="137"/>
        <v>1</v>
      </c>
      <c r="AE352">
        <f t="shared" si="137"/>
        <v>0</v>
      </c>
      <c r="AF352" s="56">
        <f t="shared" si="126"/>
        <v>17</v>
      </c>
      <c r="AG352" s="59">
        <f t="shared" si="127"/>
        <v>6.0714285714285712</v>
      </c>
      <c r="AH352">
        <f t="shared" si="128"/>
        <v>0.35714285714285715</v>
      </c>
    </row>
    <row r="353" spans="1:34" ht="15" x14ac:dyDescent="0.2">
      <c r="A353">
        <v>437</v>
      </c>
      <c r="B353" s="57" t="s">
        <v>481</v>
      </c>
      <c r="C353" s="57"/>
      <c r="D353">
        <f t="shared" si="121"/>
        <v>85</v>
      </c>
      <c r="E353" s="1">
        <f t="shared" si="122"/>
        <v>13</v>
      </c>
      <c r="F353">
        <f t="shared" si="135"/>
        <v>7</v>
      </c>
      <c r="G353">
        <f t="shared" si="135"/>
        <v>2</v>
      </c>
      <c r="H353">
        <f t="shared" si="135"/>
        <v>3</v>
      </c>
      <c r="I353">
        <f t="shared" si="135"/>
        <v>4</v>
      </c>
      <c r="J353">
        <f t="shared" si="135"/>
        <v>5</v>
      </c>
      <c r="K353">
        <f t="shared" si="135"/>
        <v>0</v>
      </c>
      <c r="L353">
        <f t="shared" si="135"/>
        <v>2</v>
      </c>
      <c r="M353">
        <f t="shared" si="135"/>
        <v>1</v>
      </c>
      <c r="N353">
        <f t="shared" si="135"/>
        <v>6</v>
      </c>
      <c r="O353">
        <f t="shared" si="135"/>
        <v>0</v>
      </c>
      <c r="P353">
        <f t="shared" si="136"/>
        <v>0</v>
      </c>
      <c r="Q353">
        <f t="shared" si="136"/>
        <v>3</v>
      </c>
      <c r="R353">
        <f t="shared" si="136"/>
        <v>6</v>
      </c>
      <c r="S353">
        <f t="shared" si="136"/>
        <v>6</v>
      </c>
      <c r="T353">
        <f t="shared" si="136"/>
        <v>4</v>
      </c>
      <c r="U353">
        <f t="shared" si="136"/>
        <v>3</v>
      </c>
      <c r="V353">
        <f t="shared" si="136"/>
        <v>0</v>
      </c>
      <c r="W353">
        <f t="shared" si="136"/>
        <v>2</v>
      </c>
      <c r="X353">
        <f t="shared" si="136"/>
        <v>3</v>
      </c>
      <c r="Y353">
        <f t="shared" si="136"/>
        <v>6</v>
      </c>
      <c r="Z353">
        <f t="shared" si="137"/>
        <v>0</v>
      </c>
      <c r="AA353">
        <f t="shared" si="137"/>
        <v>0</v>
      </c>
      <c r="AB353">
        <f t="shared" si="137"/>
        <v>0</v>
      </c>
      <c r="AC353">
        <f t="shared" si="137"/>
        <v>1</v>
      </c>
      <c r="AD353">
        <f t="shared" si="137"/>
        <v>5</v>
      </c>
      <c r="AE353">
        <f t="shared" si="137"/>
        <v>0</v>
      </c>
      <c r="AF353" s="56">
        <f t="shared" si="126"/>
        <v>18</v>
      </c>
      <c r="AG353" s="59">
        <f t="shared" si="127"/>
        <v>6.5384615384615383</v>
      </c>
      <c r="AH353">
        <f t="shared" si="128"/>
        <v>0.36324786324786323</v>
      </c>
    </row>
    <row r="354" spans="1:34" ht="15" x14ac:dyDescent="0.2">
      <c r="A354">
        <v>162</v>
      </c>
      <c r="B354" s="57" t="s">
        <v>226</v>
      </c>
      <c r="C354" s="57"/>
      <c r="D354">
        <f t="shared" si="121"/>
        <v>85</v>
      </c>
      <c r="E354" s="1">
        <f t="shared" si="122"/>
        <v>17</v>
      </c>
      <c r="F354">
        <f t="shared" si="135"/>
        <v>7</v>
      </c>
      <c r="G354">
        <f t="shared" si="135"/>
        <v>1</v>
      </c>
      <c r="H354">
        <f t="shared" si="135"/>
        <v>5</v>
      </c>
      <c r="I354">
        <f t="shared" si="135"/>
        <v>2</v>
      </c>
      <c r="J354">
        <f t="shared" si="135"/>
        <v>9</v>
      </c>
      <c r="K354">
        <f t="shared" si="135"/>
        <v>1</v>
      </c>
      <c r="L354">
        <f t="shared" si="135"/>
        <v>1</v>
      </c>
      <c r="M354">
        <f t="shared" si="135"/>
        <v>4</v>
      </c>
      <c r="N354">
        <f t="shared" si="135"/>
        <v>1</v>
      </c>
      <c r="O354">
        <f t="shared" si="135"/>
        <v>0</v>
      </c>
      <c r="P354">
        <f t="shared" si="136"/>
        <v>0</v>
      </c>
      <c r="Q354">
        <f t="shared" si="136"/>
        <v>0</v>
      </c>
      <c r="R354">
        <f t="shared" si="136"/>
        <v>1</v>
      </c>
      <c r="S354">
        <f t="shared" si="136"/>
        <v>7</v>
      </c>
      <c r="T354">
        <f t="shared" si="136"/>
        <v>9</v>
      </c>
      <c r="U354">
        <f t="shared" si="136"/>
        <v>1</v>
      </c>
      <c r="V354">
        <f t="shared" si="136"/>
        <v>0</v>
      </c>
      <c r="W354">
        <f t="shared" si="136"/>
        <v>3</v>
      </c>
      <c r="X354">
        <f t="shared" si="136"/>
        <v>0</v>
      </c>
      <c r="Y354">
        <f t="shared" si="136"/>
        <v>4</v>
      </c>
      <c r="Z354">
        <f t="shared" si="137"/>
        <v>3</v>
      </c>
      <c r="AA354">
        <f t="shared" si="137"/>
        <v>4</v>
      </c>
      <c r="AB354">
        <f t="shared" si="137"/>
        <v>0</v>
      </c>
      <c r="AC354">
        <f t="shared" si="137"/>
        <v>0</v>
      </c>
      <c r="AD354">
        <f t="shared" si="137"/>
        <v>2</v>
      </c>
      <c r="AE354">
        <f t="shared" si="137"/>
        <v>0</v>
      </c>
      <c r="AF354" s="56">
        <f t="shared" si="126"/>
        <v>18</v>
      </c>
      <c r="AG354" s="59">
        <f t="shared" si="127"/>
        <v>5</v>
      </c>
      <c r="AH354">
        <f t="shared" si="128"/>
        <v>0.27777777777777779</v>
      </c>
    </row>
    <row r="355" spans="1:34" ht="15" x14ac:dyDescent="0.2">
      <c r="A355">
        <v>402</v>
      </c>
      <c r="B355" s="57" t="s">
        <v>453</v>
      </c>
      <c r="C355" s="57"/>
      <c r="D355">
        <f t="shared" si="121"/>
        <v>85</v>
      </c>
      <c r="E355" s="1">
        <f t="shared" si="122"/>
        <v>16</v>
      </c>
      <c r="F355">
        <f t="shared" si="135"/>
        <v>5</v>
      </c>
      <c r="G355">
        <f t="shared" si="135"/>
        <v>2</v>
      </c>
      <c r="H355">
        <f t="shared" si="135"/>
        <v>0</v>
      </c>
      <c r="I355">
        <f t="shared" si="135"/>
        <v>3</v>
      </c>
      <c r="J355">
        <f t="shared" si="135"/>
        <v>8</v>
      </c>
      <c r="K355">
        <f t="shared" si="135"/>
        <v>2</v>
      </c>
      <c r="L355">
        <f t="shared" si="135"/>
        <v>2</v>
      </c>
      <c r="M355">
        <f t="shared" si="135"/>
        <v>2</v>
      </c>
      <c r="N355">
        <f t="shared" si="135"/>
        <v>6</v>
      </c>
      <c r="O355">
        <f t="shared" si="135"/>
        <v>0</v>
      </c>
      <c r="P355">
        <f t="shared" si="136"/>
        <v>0</v>
      </c>
      <c r="Q355">
        <f t="shared" si="136"/>
        <v>5</v>
      </c>
      <c r="R355">
        <f t="shared" si="136"/>
        <v>1</v>
      </c>
      <c r="S355">
        <f t="shared" si="136"/>
        <v>5</v>
      </c>
      <c r="T355">
        <f t="shared" si="136"/>
        <v>7</v>
      </c>
      <c r="U355">
        <f t="shared" si="136"/>
        <v>2</v>
      </c>
      <c r="V355">
        <f t="shared" si="136"/>
        <v>0</v>
      </c>
      <c r="W355">
        <f t="shared" si="136"/>
        <v>4</v>
      </c>
      <c r="X355">
        <f t="shared" si="136"/>
        <v>4</v>
      </c>
      <c r="Y355">
        <f t="shared" si="136"/>
        <v>4</v>
      </c>
      <c r="Z355">
        <f t="shared" si="137"/>
        <v>1</v>
      </c>
      <c r="AA355">
        <f t="shared" si="137"/>
        <v>1</v>
      </c>
      <c r="AB355">
        <f t="shared" si="137"/>
        <v>1</v>
      </c>
      <c r="AC355">
        <f t="shared" si="137"/>
        <v>0</v>
      </c>
      <c r="AD355">
        <f t="shared" si="137"/>
        <v>1</v>
      </c>
      <c r="AE355">
        <f t="shared" si="137"/>
        <v>0</v>
      </c>
      <c r="AF355" s="56">
        <f t="shared" si="126"/>
        <v>20</v>
      </c>
      <c r="AG355" s="59">
        <f t="shared" si="127"/>
        <v>5.3125</v>
      </c>
      <c r="AH355">
        <f t="shared" si="128"/>
        <v>0.265625</v>
      </c>
    </row>
    <row r="356" spans="1:34" ht="15" x14ac:dyDescent="0.2">
      <c r="A356">
        <v>22</v>
      </c>
      <c r="B356" s="57" t="s">
        <v>87</v>
      </c>
      <c r="C356" s="57"/>
      <c r="D356">
        <f t="shared" si="121"/>
        <v>84</v>
      </c>
      <c r="E356" s="1">
        <f t="shared" si="122"/>
        <v>12</v>
      </c>
      <c r="F356">
        <f t="shared" si="135"/>
        <v>5</v>
      </c>
      <c r="G356">
        <f t="shared" si="135"/>
        <v>0</v>
      </c>
      <c r="H356">
        <f t="shared" si="135"/>
        <v>1</v>
      </c>
      <c r="I356">
        <f t="shared" si="135"/>
        <v>6</v>
      </c>
      <c r="J356">
        <f t="shared" si="135"/>
        <v>7</v>
      </c>
      <c r="K356">
        <f t="shared" si="135"/>
        <v>1</v>
      </c>
      <c r="L356">
        <f t="shared" si="135"/>
        <v>0</v>
      </c>
      <c r="M356">
        <f t="shared" si="135"/>
        <v>2</v>
      </c>
      <c r="N356">
        <f t="shared" si="135"/>
        <v>3</v>
      </c>
      <c r="O356">
        <f t="shared" si="135"/>
        <v>0</v>
      </c>
      <c r="P356">
        <f t="shared" si="136"/>
        <v>0</v>
      </c>
      <c r="Q356">
        <f t="shared" si="136"/>
        <v>2</v>
      </c>
      <c r="R356">
        <f t="shared" si="136"/>
        <v>1</v>
      </c>
      <c r="S356">
        <f t="shared" si="136"/>
        <v>8</v>
      </c>
      <c r="T356">
        <f t="shared" si="136"/>
        <v>6</v>
      </c>
      <c r="U356">
        <f t="shared" si="136"/>
        <v>0</v>
      </c>
      <c r="V356">
        <f t="shared" si="136"/>
        <v>0</v>
      </c>
      <c r="W356">
        <f t="shared" si="136"/>
        <v>6</v>
      </c>
      <c r="X356">
        <f t="shared" si="136"/>
        <v>5</v>
      </c>
      <c r="Y356">
        <f t="shared" si="136"/>
        <v>6</v>
      </c>
      <c r="Z356">
        <f t="shared" si="137"/>
        <v>4</v>
      </c>
      <c r="AA356">
        <f t="shared" si="137"/>
        <v>0</v>
      </c>
      <c r="AB356">
        <f t="shared" si="137"/>
        <v>3</v>
      </c>
      <c r="AC356">
        <f t="shared" si="137"/>
        <v>0</v>
      </c>
      <c r="AD356">
        <f t="shared" si="137"/>
        <v>2</v>
      </c>
      <c r="AE356">
        <f t="shared" si="137"/>
        <v>0</v>
      </c>
      <c r="AF356" s="56">
        <f t="shared" si="126"/>
        <v>17</v>
      </c>
      <c r="AG356" s="59">
        <f t="shared" si="127"/>
        <v>7</v>
      </c>
      <c r="AH356">
        <f t="shared" si="128"/>
        <v>0.41176470588235292</v>
      </c>
    </row>
    <row r="357" spans="1:34" ht="15" x14ac:dyDescent="0.2">
      <c r="A357">
        <v>568</v>
      </c>
      <c r="B357" s="57" t="s">
        <v>590</v>
      </c>
      <c r="C357" s="57"/>
      <c r="D357">
        <f t="shared" si="121"/>
        <v>84</v>
      </c>
      <c r="E357" s="1">
        <f t="shared" si="122"/>
        <v>17</v>
      </c>
      <c r="F357">
        <f t="shared" si="135"/>
        <v>5</v>
      </c>
      <c r="G357">
        <f t="shared" si="135"/>
        <v>1</v>
      </c>
      <c r="H357">
        <f t="shared" si="135"/>
        <v>3</v>
      </c>
      <c r="I357">
        <f t="shared" si="135"/>
        <v>3</v>
      </c>
      <c r="J357">
        <f t="shared" si="135"/>
        <v>8</v>
      </c>
      <c r="K357">
        <f t="shared" si="135"/>
        <v>0</v>
      </c>
      <c r="L357">
        <f t="shared" si="135"/>
        <v>2</v>
      </c>
      <c r="M357">
        <f t="shared" si="135"/>
        <v>4</v>
      </c>
      <c r="N357">
        <f t="shared" si="135"/>
        <v>3</v>
      </c>
      <c r="O357">
        <f t="shared" si="135"/>
        <v>0</v>
      </c>
      <c r="P357">
        <f t="shared" si="136"/>
        <v>0</v>
      </c>
      <c r="Q357">
        <f t="shared" si="136"/>
        <v>0</v>
      </c>
      <c r="R357">
        <f t="shared" si="136"/>
        <v>0</v>
      </c>
      <c r="S357">
        <f t="shared" si="136"/>
        <v>5</v>
      </c>
      <c r="T357">
        <f t="shared" si="136"/>
        <v>4</v>
      </c>
      <c r="U357">
        <f t="shared" si="136"/>
        <v>2</v>
      </c>
      <c r="V357">
        <f t="shared" si="136"/>
        <v>0</v>
      </c>
      <c r="W357">
        <f t="shared" si="136"/>
        <v>2</v>
      </c>
      <c r="X357">
        <f t="shared" si="136"/>
        <v>2</v>
      </c>
      <c r="Y357">
        <f t="shared" si="136"/>
        <v>7</v>
      </c>
      <c r="Z357">
        <f t="shared" si="137"/>
        <v>4</v>
      </c>
      <c r="AA357">
        <f t="shared" si="137"/>
        <v>0</v>
      </c>
      <c r="AB357">
        <f t="shared" si="137"/>
        <v>4</v>
      </c>
      <c r="AC357">
        <f t="shared" si="137"/>
        <v>1</v>
      </c>
      <c r="AD357">
        <f t="shared" si="137"/>
        <v>5</v>
      </c>
      <c r="AE357">
        <f t="shared" si="137"/>
        <v>0</v>
      </c>
      <c r="AF357" s="56">
        <f t="shared" si="126"/>
        <v>18</v>
      </c>
      <c r="AG357" s="59">
        <f t="shared" si="127"/>
        <v>4.9411764705882355</v>
      </c>
      <c r="AH357">
        <f t="shared" si="128"/>
        <v>0.27450980392156865</v>
      </c>
    </row>
    <row r="358" spans="1:34" ht="15" x14ac:dyDescent="0.2">
      <c r="A358">
        <v>328</v>
      </c>
      <c r="B358" s="57" t="s">
        <v>388</v>
      </c>
      <c r="C358" s="57"/>
      <c r="D358">
        <f t="shared" si="121"/>
        <v>84</v>
      </c>
      <c r="E358" s="1">
        <f t="shared" si="122"/>
        <v>15</v>
      </c>
      <c r="F358">
        <f t="shared" si="135"/>
        <v>9</v>
      </c>
      <c r="G358">
        <f t="shared" si="135"/>
        <v>0</v>
      </c>
      <c r="H358">
        <f t="shared" si="135"/>
        <v>4</v>
      </c>
      <c r="I358">
        <f t="shared" si="135"/>
        <v>3</v>
      </c>
      <c r="J358">
        <f t="shared" si="135"/>
        <v>8</v>
      </c>
      <c r="K358">
        <f t="shared" si="135"/>
        <v>1</v>
      </c>
      <c r="L358">
        <f t="shared" si="135"/>
        <v>1</v>
      </c>
      <c r="M358">
        <f t="shared" si="135"/>
        <v>2</v>
      </c>
      <c r="N358">
        <f t="shared" si="135"/>
        <v>4</v>
      </c>
      <c r="O358">
        <f t="shared" si="135"/>
        <v>1</v>
      </c>
      <c r="P358">
        <f t="shared" si="136"/>
        <v>1</v>
      </c>
      <c r="Q358">
        <f t="shared" si="136"/>
        <v>0</v>
      </c>
      <c r="R358">
        <f t="shared" si="136"/>
        <v>1</v>
      </c>
      <c r="S358">
        <f t="shared" si="136"/>
        <v>0</v>
      </c>
      <c r="T358">
        <f t="shared" si="136"/>
        <v>3</v>
      </c>
      <c r="U358">
        <f t="shared" si="136"/>
        <v>2</v>
      </c>
      <c r="V358">
        <f t="shared" si="136"/>
        <v>0</v>
      </c>
      <c r="W358">
        <f t="shared" si="136"/>
        <v>6</v>
      </c>
      <c r="X358">
        <f t="shared" si="136"/>
        <v>7</v>
      </c>
      <c r="Y358">
        <f t="shared" si="136"/>
        <v>7</v>
      </c>
      <c r="Z358">
        <f t="shared" si="137"/>
        <v>0</v>
      </c>
      <c r="AA358">
        <f t="shared" si="137"/>
        <v>1</v>
      </c>
      <c r="AB358">
        <f t="shared" si="137"/>
        <v>0</v>
      </c>
      <c r="AC358">
        <f t="shared" si="137"/>
        <v>0</v>
      </c>
      <c r="AD358">
        <f t="shared" si="137"/>
        <v>4</v>
      </c>
      <c r="AE358">
        <f t="shared" si="137"/>
        <v>0</v>
      </c>
      <c r="AF358" s="56">
        <f t="shared" si="126"/>
        <v>18</v>
      </c>
      <c r="AG358" s="59">
        <f t="shared" si="127"/>
        <v>5.6</v>
      </c>
      <c r="AH358">
        <f t="shared" si="128"/>
        <v>0.31111111111111112</v>
      </c>
    </row>
    <row r="359" spans="1:34" ht="15" x14ac:dyDescent="0.2">
      <c r="A359">
        <v>213</v>
      </c>
      <c r="B359" s="57" t="s">
        <v>277</v>
      </c>
      <c r="C359" s="57"/>
      <c r="D359">
        <f t="shared" si="121"/>
        <v>84</v>
      </c>
      <c r="E359" s="1">
        <f t="shared" si="122"/>
        <v>16</v>
      </c>
      <c r="F359">
        <f t="shared" si="135"/>
        <v>7</v>
      </c>
      <c r="G359">
        <f t="shared" si="135"/>
        <v>0</v>
      </c>
      <c r="H359">
        <f t="shared" si="135"/>
        <v>0</v>
      </c>
      <c r="I359">
        <f t="shared" si="135"/>
        <v>3</v>
      </c>
      <c r="J359">
        <f t="shared" si="135"/>
        <v>4</v>
      </c>
      <c r="K359">
        <f t="shared" si="135"/>
        <v>2</v>
      </c>
      <c r="L359">
        <f t="shared" si="135"/>
        <v>0</v>
      </c>
      <c r="M359">
        <f t="shared" si="135"/>
        <v>3</v>
      </c>
      <c r="N359">
        <f t="shared" si="135"/>
        <v>4</v>
      </c>
      <c r="O359">
        <f t="shared" si="135"/>
        <v>1</v>
      </c>
      <c r="P359">
        <f t="shared" si="136"/>
        <v>1</v>
      </c>
      <c r="Q359">
        <f t="shared" si="136"/>
        <v>2</v>
      </c>
      <c r="R359">
        <f t="shared" si="136"/>
        <v>1</v>
      </c>
      <c r="S359">
        <f t="shared" si="136"/>
        <v>4</v>
      </c>
      <c r="T359">
        <f t="shared" si="136"/>
        <v>6</v>
      </c>
      <c r="U359">
        <f t="shared" si="136"/>
        <v>0</v>
      </c>
      <c r="V359">
        <f t="shared" si="136"/>
        <v>0</v>
      </c>
      <c r="W359">
        <f t="shared" si="136"/>
        <v>1</v>
      </c>
      <c r="X359">
        <f t="shared" si="136"/>
        <v>4</v>
      </c>
      <c r="Y359">
        <f t="shared" si="136"/>
        <v>6</v>
      </c>
      <c r="Z359">
        <f t="shared" si="137"/>
        <v>2</v>
      </c>
      <c r="AA359">
        <f t="shared" si="137"/>
        <v>3</v>
      </c>
      <c r="AB359">
        <f t="shared" si="137"/>
        <v>3</v>
      </c>
      <c r="AC359">
        <f t="shared" si="137"/>
        <v>0</v>
      </c>
      <c r="AD359">
        <f t="shared" si="137"/>
        <v>1</v>
      </c>
      <c r="AE359">
        <f t="shared" si="137"/>
        <v>0</v>
      </c>
      <c r="AF359" s="56">
        <f t="shared" si="126"/>
        <v>19</v>
      </c>
      <c r="AG359" s="59">
        <f t="shared" si="127"/>
        <v>5.25</v>
      </c>
      <c r="AH359">
        <f t="shared" si="128"/>
        <v>0.27631578947368424</v>
      </c>
    </row>
    <row r="360" spans="1:34" ht="15" x14ac:dyDescent="0.2">
      <c r="A360">
        <v>13</v>
      </c>
      <c r="B360" s="57" t="s">
        <v>78</v>
      </c>
      <c r="C360" s="57"/>
      <c r="D360">
        <f t="shared" si="121"/>
        <v>84</v>
      </c>
      <c r="E360" s="1">
        <f t="shared" si="122"/>
        <v>18</v>
      </c>
      <c r="F360">
        <f t="shared" si="135"/>
        <v>7</v>
      </c>
      <c r="G360">
        <f t="shared" si="135"/>
        <v>0</v>
      </c>
      <c r="H360">
        <f t="shared" si="135"/>
        <v>0</v>
      </c>
      <c r="I360">
        <f t="shared" si="135"/>
        <v>1</v>
      </c>
      <c r="J360">
        <f t="shared" si="135"/>
        <v>11</v>
      </c>
      <c r="K360">
        <f t="shared" si="135"/>
        <v>1</v>
      </c>
      <c r="L360">
        <f t="shared" si="135"/>
        <v>0</v>
      </c>
      <c r="M360">
        <f t="shared" si="135"/>
        <v>4</v>
      </c>
      <c r="N360">
        <f t="shared" si="135"/>
        <v>2</v>
      </c>
      <c r="O360">
        <f t="shared" si="135"/>
        <v>0</v>
      </c>
      <c r="P360">
        <f t="shared" si="136"/>
        <v>1</v>
      </c>
      <c r="Q360">
        <f t="shared" si="136"/>
        <v>4</v>
      </c>
      <c r="R360">
        <f t="shared" si="136"/>
        <v>2</v>
      </c>
      <c r="S360">
        <f t="shared" si="136"/>
        <v>2</v>
      </c>
      <c r="T360">
        <f t="shared" si="136"/>
        <v>8</v>
      </c>
      <c r="U360">
        <f t="shared" si="136"/>
        <v>4</v>
      </c>
      <c r="V360">
        <f t="shared" si="136"/>
        <v>0</v>
      </c>
      <c r="W360">
        <f t="shared" si="136"/>
        <v>2</v>
      </c>
      <c r="X360">
        <f t="shared" si="136"/>
        <v>1</v>
      </c>
      <c r="Y360">
        <f t="shared" si="136"/>
        <v>7</v>
      </c>
      <c r="Z360">
        <f t="shared" si="137"/>
        <v>1</v>
      </c>
      <c r="AA360">
        <f t="shared" si="137"/>
        <v>3</v>
      </c>
      <c r="AB360">
        <f t="shared" si="137"/>
        <v>1</v>
      </c>
      <c r="AC360">
        <f t="shared" si="137"/>
        <v>0</v>
      </c>
      <c r="AD360">
        <f t="shared" si="137"/>
        <v>4</v>
      </c>
      <c r="AE360">
        <f t="shared" si="137"/>
        <v>0</v>
      </c>
      <c r="AF360" s="56">
        <f t="shared" si="126"/>
        <v>19</v>
      </c>
      <c r="AG360" s="59">
        <f t="shared" si="127"/>
        <v>4.666666666666667</v>
      </c>
      <c r="AH360">
        <f t="shared" si="128"/>
        <v>0.24561403508771931</v>
      </c>
    </row>
    <row r="361" spans="1:34" ht="15" x14ac:dyDescent="0.2">
      <c r="A361">
        <v>604</v>
      </c>
      <c r="B361" s="57" t="s">
        <v>624</v>
      </c>
      <c r="C361" s="57"/>
      <c r="D361">
        <f t="shared" si="121"/>
        <v>84</v>
      </c>
      <c r="E361" s="1">
        <f t="shared" si="122"/>
        <v>13</v>
      </c>
      <c r="F361">
        <f t="shared" si="135"/>
        <v>7</v>
      </c>
      <c r="G361">
        <f t="shared" si="135"/>
        <v>1</v>
      </c>
      <c r="H361">
        <f t="shared" si="135"/>
        <v>3</v>
      </c>
      <c r="I361">
        <f t="shared" si="135"/>
        <v>2</v>
      </c>
      <c r="J361">
        <f t="shared" si="135"/>
        <v>8</v>
      </c>
      <c r="K361">
        <f t="shared" si="135"/>
        <v>1</v>
      </c>
      <c r="L361">
        <f t="shared" si="135"/>
        <v>1</v>
      </c>
      <c r="M361">
        <f t="shared" si="135"/>
        <v>1</v>
      </c>
      <c r="N361">
        <f t="shared" si="135"/>
        <v>6</v>
      </c>
      <c r="O361">
        <f t="shared" si="135"/>
        <v>0</v>
      </c>
      <c r="P361">
        <f t="shared" si="136"/>
        <v>0</v>
      </c>
      <c r="Q361">
        <f t="shared" si="136"/>
        <v>5</v>
      </c>
      <c r="R361">
        <f t="shared" si="136"/>
        <v>0</v>
      </c>
      <c r="S361">
        <f t="shared" si="136"/>
        <v>6</v>
      </c>
      <c r="T361">
        <f t="shared" si="136"/>
        <v>3</v>
      </c>
      <c r="U361">
        <f t="shared" si="136"/>
        <v>1</v>
      </c>
      <c r="V361">
        <f t="shared" si="136"/>
        <v>0</v>
      </c>
      <c r="W361">
        <f t="shared" si="136"/>
        <v>4</v>
      </c>
      <c r="X361">
        <f t="shared" si="136"/>
        <v>4</v>
      </c>
      <c r="Y361">
        <f t="shared" si="136"/>
        <v>6</v>
      </c>
      <c r="Z361">
        <f t="shared" si="137"/>
        <v>3</v>
      </c>
      <c r="AA361">
        <f t="shared" si="137"/>
        <v>2</v>
      </c>
      <c r="AB361">
        <f t="shared" si="137"/>
        <v>2</v>
      </c>
      <c r="AC361">
        <f t="shared" si="137"/>
        <v>0</v>
      </c>
      <c r="AD361">
        <f t="shared" si="137"/>
        <v>2</v>
      </c>
      <c r="AE361">
        <f t="shared" si="137"/>
        <v>0</v>
      </c>
      <c r="AF361" s="56">
        <f t="shared" si="126"/>
        <v>20</v>
      </c>
      <c r="AG361" s="59">
        <f t="shared" si="127"/>
        <v>6.4615384615384617</v>
      </c>
      <c r="AH361">
        <f t="shared" si="128"/>
        <v>0.32307692307692309</v>
      </c>
    </row>
    <row r="362" spans="1:34" ht="15" x14ac:dyDescent="0.2">
      <c r="A362">
        <v>134</v>
      </c>
      <c r="B362" s="57" t="s">
        <v>199</v>
      </c>
      <c r="C362" s="57"/>
      <c r="D362">
        <f t="shared" si="121"/>
        <v>83</v>
      </c>
      <c r="E362" s="1">
        <f t="shared" si="122"/>
        <v>14</v>
      </c>
      <c r="F362">
        <f t="shared" ref="F362:O371" si="138">LEN($B362)-LEN(SUBSTITUTE($B362,F$1,""))</f>
        <v>4</v>
      </c>
      <c r="G362">
        <f t="shared" si="138"/>
        <v>1</v>
      </c>
      <c r="H362">
        <f t="shared" si="138"/>
        <v>1</v>
      </c>
      <c r="I362">
        <f t="shared" si="138"/>
        <v>0</v>
      </c>
      <c r="J362">
        <f t="shared" si="138"/>
        <v>9</v>
      </c>
      <c r="K362">
        <f t="shared" si="138"/>
        <v>1</v>
      </c>
      <c r="L362">
        <f t="shared" si="138"/>
        <v>2</v>
      </c>
      <c r="M362">
        <f t="shared" si="138"/>
        <v>3</v>
      </c>
      <c r="N362">
        <f t="shared" si="138"/>
        <v>6</v>
      </c>
      <c r="O362">
        <f t="shared" si="138"/>
        <v>0</v>
      </c>
      <c r="P362">
        <f t="shared" ref="P362:Y371" si="139">LEN($B362)-LEN(SUBSTITUTE($B362,P$1,""))</f>
        <v>0</v>
      </c>
      <c r="Q362">
        <f t="shared" si="139"/>
        <v>4</v>
      </c>
      <c r="R362">
        <f t="shared" si="139"/>
        <v>2</v>
      </c>
      <c r="S362">
        <f t="shared" si="139"/>
        <v>4</v>
      </c>
      <c r="T362">
        <f t="shared" si="139"/>
        <v>7</v>
      </c>
      <c r="U362">
        <f t="shared" si="139"/>
        <v>2</v>
      </c>
      <c r="V362">
        <f t="shared" si="139"/>
        <v>0</v>
      </c>
      <c r="W362">
        <f t="shared" si="139"/>
        <v>5</v>
      </c>
      <c r="X362">
        <f t="shared" si="139"/>
        <v>5</v>
      </c>
      <c r="Y362">
        <f t="shared" si="139"/>
        <v>8</v>
      </c>
      <c r="Z362">
        <f t="shared" ref="Z362:AE371" si="140">LEN($B362)-LEN(SUBSTITUTE($B362,Z$1,""))</f>
        <v>3</v>
      </c>
      <c r="AA362">
        <f t="shared" si="140"/>
        <v>0</v>
      </c>
      <c r="AB362">
        <f t="shared" si="140"/>
        <v>0</v>
      </c>
      <c r="AC362">
        <f t="shared" si="140"/>
        <v>0</v>
      </c>
      <c r="AD362">
        <f t="shared" si="140"/>
        <v>2</v>
      </c>
      <c r="AE362">
        <f t="shared" si="140"/>
        <v>0</v>
      </c>
      <c r="AF362" s="56">
        <f t="shared" si="126"/>
        <v>18</v>
      </c>
      <c r="AG362" s="59">
        <f t="shared" si="127"/>
        <v>5.9285714285714288</v>
      </c>
      <c r="AH362">
        <f t="shared" si="128"/>
        <v>0.32936507936507936</v>
      </c>
    </row>
    <row r="363" spans="1:34" ht="15" x14ac:dyDescent="0.2">
      <c r="A363">
        <v>275</v>
      </c>
      <c r="B363" s="57" t="s">
        <v>337</v>
      </c>
      <c r="C363" s="57"/>
      <c r="D363">
        <f t="shared" si="121"/>
        <v>83</v>
      </c>
      <c r="E363" s="1">
        <f t="shared" si="122"/>
        <v>15</v>
      </c>
      <c r="F363">
        <f t="shared" si="138"/>
        <v>4</v>
      </c>
      <c r="G363">
        <f t="shared" si="138"/>
        <v>2</v>
      </c>
      <c r="H363">
        <f t="shared" si="138"/>
        <v>5</v>
      </c>
      <c r="I363">
        <f t="shared" si="138"/>
        <v>2</v>
      </c>
      <c r="J363">
        <f t="shared" si="138"/>
        <v>9</v>
      </c>
      <c r="K363">
        <f t="shared" si="138"/>
        <v>1</v>
      </c>
      <c r="L363">
        <f t="shared" si="138"/>
        <v>0</v>
      </c>
      <c r="M363">
        <f t="shared" si="138"/>
        <v>2</v>
      </c>
      <c r="N363">
        <f t="shared" si="138"/>
        <v>4</v>
      </c>
      <c r="O363">
        <f t="shared" si="138"/>
        <v>0</v>
      </c>
      <c r="P363">
        <f t="shared" si="139"/>
        <v>1</v>
      </c>
      <c r="Q363">
        <f t="shared" si="139"/>
        <v>0</v>
      </c>
      <c r="R363">
        <f t="shared" si="139"/>
        <v>3</v>
      </c>
      <c r="S363">
        <f t="shared" si="139"/>
        <v>3</v>
      </c>
      <c r="T363">
        <f t="shared" si="139"/>
        <v>7</v>
      </c>
      <c r="U363">
        <f t="shared" si="139"/>
        <v>1</v>
      </c>
      <c r="V363">
        <f t="shared" si="139"/>
        <v>0</v>
      </c>
      <c r="W363">
        <f t="shared" si="139"/>
        <v>4</v>
      </c>
      <c r="X363">
        <f t="shared" si="139"/>
        <v>4</v>
      </c>
      <c r="Y363">
        <f t="shared" si="139"/>
        <v>8</v>
      </c>
      <c r="Z363">
        <f t="shared" si="140"/>
        <v>3</v>
      </c>
      <c r="AA363">
        <f t="shared" si="140"/>
        <v>0</v>
      </c>
      <c r="AB363">
        <f t="shared" si="140"/>
        <v>1</v>
      </c>
      <c r="AC363">
        <f t="shared" si="140"/>
        <v>0</v>
      </c>
      <c r="AD363">
        <f t="shared" si="140"/>
        <v>1</v>
      </c>
      <c r="AE363">
        <f t="shared" si="140"/>
        <v>0</v>
      </c>
      <c r="AF363" s="56">
        <f t="shared" si="126"/>
        <v>19</v>
      </c>
      <c r="AG363" s="59">
        <f t="shared" si="127"/>
        <v>5.5333333333333332</v>
      </c>
      <c r="AH363">
        <f t="shared" si="128"/>
        <v>0.29122807017543861</v>
      </c>
    </row>
    <row r="364" spans="1:34" ht="15" x14ac:dyDescent="0.2">
      <c r="A364">
        <v>72</v>
      </c>
      <c r="B364" s="57" t="s">
        <v>137</v>
      </c>
      <c r="C364" s="57"/>
      <c r="D364">
        <f t="shared" si="121"/>
        <v>83</v>
      </c>
      <c r="E364" s="1">
        <f t="shared" si="122"/>
        <v>16</v>
      </c>
      <c r="F364">
        <f t="shared" si="138"/>
        <v>6</v>
      </c>
      <c r="G364">
        <f t="shared" si="138"/>
        <v>2</v>
      </c>
      <c r="H364">
        <f t="shared" si="138"/>
        <v>0</v>
      </c>
      <c r="I364">
        <f t="shared" si="138"/>
        <v>2</v>
      </c>
      <c r="J364">
        <f t="shared" si="138"/>
        <v>8</v>
      </c>
      <c r="K364">
        <f t="shared" si="138"/>
        <v>1</v>
      </c>
      <c r="L364">
        <f t="shared" si="138"/>
        <v>1</v>
      </c>
      <c r="M364">
        <f t="shared" si="138"/>
        <v>2</v>
      </c>
      <c r="N364">
        <f t="shared" si="138"/>
        <v>4</v>
      </c>
      <c r="O364">
        <f t="shared" si="138"/>
        <v>0</v>
      </c>
      <c r="P364">
        <f t="shared" si="139"/>
        <v>0</v>
      </c>
      <c r="Q364">
        <f t="shared" si="139"/>
        <v>2</v>
      </c>
      <c r="R364">
        <f t="shared" si="139"/>
        <v>1</v>
      </c>
      <c r="S364">
        <f t="shared" si="139"/>
        <v>6</v>
      </c>
      <c r="T364">
        <f t="shared" si="139"/>
        <v>6</v>
      </c>
      <c r="U364">
        <f t="shared" si="139"/>
        <v>2</v>
      </c>
      <c r="V364">
        <f t="shared" si="139"/>
        <v>0</v>
      </c>
      <c r="W364">
        <f t="shared" si="139"/>
        <v>4</v>
      </c>
      <c r="X364">
        <f t="shared" si="139"/>
        <v>4</v>
      </c>
      <c r="Y364">
        <f t="shared" si="139"/>
        <v>5</v>
      </c>
      <c r="Z364">
        <f t="shared" si="140"/>
        <v>1</v>
      </c>
      <c r="AA364">
        <f t="shared" si="140"/>
        <v>1</v>
      </c>
      <c r="AB364">
        <f t="shared" si="140"/>
        <v>2</v>
      </c>
      <c r="AC364">
        <f t="shared" si="140"/>
        <v>0</v>
      </c>
      <c r="AD364">
        <f t="shared" si="140"/>
        <v>2</v>
      </c>
      <c r="AE364">
        <f t="shared" si="140"/>
        <v>0</v>
      </c>
      <c r="AF364" s="56">
        <f t="shared" si="126"/>
        <v>20</v>
      </c>
      <c r="AG364" s="59">
        <f t="shared" si="127"/>
        <v>5.1875</v>
      </c>
      <c r="AH364">
        <f t="shared" si="128"/>
        <v>0.25937500000000002</v>
      </c>
    </row>
    <row r="365" spans="1:34" ht="15" x14ac:dyDescent="0.2">
      <c r="A365">
        <v>221</v>
      </c>
      <c r="B365" s="57" t="s">
        <v>284</v>
      </c>
      <c r="C365" s="57"/>
      <c r="D365">
        <f t="shared" si="121"/>
        <v>82</v>
      </c>
      <c r="E365" s="1">
        <f t="shared" si="122"/>
        <v>16</v>
      </c>
      <c r="F365">
        <f t="shared" si="138"/>
        <v>6</v>
      </c>
      <c r="G365">
        <f t="shared" si="138"/>
        <v>0</v>
      </c>
      <c r="H365">
        <f t="shared" si="138"/>
        <v>3</v>
      </c>
      <c r="I365">
        <f t="shared" si="138"/>
        <v>2</v>
      </c>
      <c r="J365">
        <f t="shared" si="138"/>
        <v>4</v>
      </c>
      <c r="K365">
        <f t="shared" si="138"/>
        <v>1</v>
      </c>
      <c r="L365">
        <f t="shared" si="138"/>
        <v>1</v>
      </c>
      <c r="M365">
        <f t="shared" si="138"/>
        <v>3</v>
      </c>
      <c r="N365">
        <f t="shared" si="138"/>
        <v>7</v>
      </c>
      <c r="O365">
        <f t="shared" si="138"/>
        <v>0</v>
      </c>
      <c r="P365">
        <f t="shared" si="139"/>
        <v>0</v>
      </c>
      <c r="Q365">
        <f t="shared" si="139"/>
        <v>0</v>
      </c>
      <c r="R365">
        <f t="shared" si="139"/>
        <v>1</v>
      </c>
      <c r="S365">
        <f t="shared" si="139"/>
        <v>6</v>
      </c>
      <c r="T365">
        <f t="shared" si="139"/>
        <v>7</v>
      </c>
      <c r="U365">
        <f t="shared" si="139"/>
        <v>0</v>
      </c>
      <c r="V365">
        <f t="shared" si="139"/>
        <v>0</v>
      </c>
      <c r="W365">
        <f t="shared" si="139"/>
        <v>4</v>
      </c>
      <c r="X365">
        <f t="shared" si="139"/>
        <v>6</v>
      </c>
      <c r="Y365">
        <f t="shared" si="139"/>
        <v>9</v>
      </c>
      <c r="Z365">
        <f t="shared" si="140"/>
        <v>3</v>
      </c>
      <c r="AA365">
        <f t="shared" si="140"/>
        <v>0</v>
      </c>
      <c r="AB365">
        <f t="shared" si="140"/>
        <v>2</v>
      </c>
      <c r="AC365">
        <f t="shared" si="140"/>
        <v>0</v>
      </c>
      <c r="AD365">
        <f t="shared" si="140"/>
        <v>1</v>
      </c>
      <c r="AE365">
        <f t="shared" si="140"/>
        <v>0</v>
      </c>
      <c r="AF365" s="56">
        <f t="shared" si="126"/>
        <v>17</v>
      </c>
      <c r="AG365" s="59">
        <f t="shared" si="127"/>
        <v>5.125</v>
      </c>
      <c r="AH365">
        <f t="shared" si="128"/>
        <v>0.3014705882352941</v>
      </c>
    </row>
    <row r="366" spans="1:34" ht="15" x14ac:dyDescent="0.2">
      <c r="A366">
        <v>345</v>
      </c>
      <c r="B366" s="57" t="s">
        <v>405</v>
      </c>
      <c r="C366" s="57"/>
      <c r="D366">
        <f t="shared" si="121"/>
        <v>82</v>
      </c>
      <c r="E366" s="1">
        <f t="shared" si="122"/>
        <v>15</v>
      </c>
      <c r="F366">
        <f t="shared" si="138"/>
        <v>6</v>
      </c>
      <c r="G366">
        <f t="shared" si="138"/>
        <v>1</v>
      </c>
      <c r="H366">
        <f t="shared" si="138"/>
        <v>3</v>
      </c>
      <c r="I366">
        <f t="shared" si="138"/>
        <v>3</v>
      </c>
      <c r="J366">
        <f t="shared" si="138"/>
        <v>7</v>
      </c>
      <c r="K366">
        <f t="shared" si="138"/>
        <v>3</v>
      </c>
      <c r="L366">
        <f t="shared" si="138"/>
        <v>0</v>
      </c>
      <c r="M366">
        <f t="shared" si="138"/>
        <v>3</v>
      </c>
      <c r="N366">
        <f t="shared" si="138"/>
        <v>6</v>
      </c>
      <c r="O366">
        <f t="shared" si="138"/>
        <v>0</v>
      </c>
      <c r="P366">
        <f t="shared" si="139"/>
        <v>0</v>
      </c>
      <c r="Q366">
        <f t="shared" si="139"/>
        <v>4</v>
      </c>
      <c r="R366">
        <f t="shared" si="139"/>
        <v>1</v>
      </c>
      <c r="S366">
        <f t="shared" si="139"/>
        <v>4</v>
      </c>
      <c r="T366">
        <f t="shared" si="139"/>
        <v>3</v>
      </c>
      <c r="U366">
        <f t="shared" si="139"/>
        <v>7</v>
      </c>
      <c r="V366">
        <f t="shared" si="139"/>
        <v>0</v>
      </c>
      <c r="W366">
        <f t="shared" si="139"/>
        <v>4</v>
      </c>
      <c r="X366">
        <f t="shared" si="139"/>
        <v>4</v>
      </c>
      <c r="Y366">
        <f t="shared" si="139"/>
        <v>3</v>
      </c>
      <c r="Z366">
        <f t="shared" si="140"/>
        <v>3</v>
      </c>
      <c r="AA366">
        <f t="shared" si="140"/>
        <v>0</v>
      </c>
      <c r="AB366">
        <f t="shared" si="140"/>
        <v>0</v>
      </c>
      <c r="AC366">
        <f t="shared" si="140"/>
        <v>0</v>
      </c>
      <c r="AD366">
        <f t="shared" si="140"/>
        <v>1</v>
      </c>
      <c r="AE366">
        <f t="shared" si="140"/>
        <v>0</v>
      </c>
      <c r="AF366" s="56">
        <f t="shared" si="126"/>
        <v>18</v>
      </c>
      <c r="AG366" s="59">
        <f t="shared" si="127"/>
        <v>5.4666666666666668</v>
      </c>
      <c r="AH366">
        <f t="shared" si="128"/>
        <v>0.3037037037037037</v>
      </c>
    </row>
    <row r="367" spans="1:34" ht="15" x14ac:dyDescent="0.2">
      <c r="A367">
        <v>303</v>
      </c>
      <c r="B367" s="57" t="s">
        <v>363</v>
      </c>
      <c r="C367" s="57"/>
      <c r="D367">
        <f t="shared" si="121"/>
        <v>82</v>
      </c>
      <c r="E367" s="1">
        <f t="shared" si="122"/>
        <v>14</v>
      </c>
      <c r="F367">
        <f t="shared" si="138"/>
        <v>4</v>
      </c>
      <c r="G367">
        <f t="shared" si="138"/>
        <v>4</v>
      </c>
      <c r="H367">
        <f t="shared" si="138"/>
        <v>0</v>
      </c>
      <c r="I367">
        <f t="shared" si="138"/>
        <v>2</v>
      </c>
      <c r="J367">
        <f t="shared" si="138"/>
        <v>10</v>
      </c>
      <c r="K367">
        <f t="shared" si="138"/>
        <v>0</v>
      </c>
      <c r="L367">
        <f t="shared" si="138"/>
        <v>1</v>
      </c>
      <c r="M367">
        <f t="shared" si="138"/>
        <v>2</v>
      </c>
      <c r="N367">
        <f t="shared" si="138"/>
        <v>6</v>
      </c>
      <c r="O367">
        <f t="shared" si="138"/>
        <v>0</v>
      </c>
      <c r="P367">
        <f t="shared" si="139"/>
        <v>0</v>
      </c>
      <c r="Q367">
        <f t="shared" si="139"/>
        <v>5</v>
      </c>
      <c r="R367">
        <f t="shared" si="139"/>
        <v>3</v>
      </c>
      <c r="S367">
        <f t="shared" si="139"/>
        <v>4</v>
      </c>
      <c r="T367">
        <f t="shared" si="139"/>
        <v>3</v>
      </c>
      <c r="U367">
        <f t="shared" si="139"/>
        <v>3</v>
      </c>
      <c r="V367">
        <f t="shared" si="139"/>
        <v>0</v>
      </c>
      <c r="W367">
        <f t="shared" si="139"/>
        <v>3</v>
      </c>
      <c r="X367">
        <f t="shared" si="139"/>
        <v>8</v>
      </c>
      <c r="Y367">
        <f t="shared" si="139"/>
        <v>4</v>
      </c>
      <c r="Z367">
        <f t="shared" si="140"/>
        <v>2</v>
      </c>
      <c r="AA367">
        <f t="shared" si="140"/>
        <v>1</v>
      </c>
      <c r="AB367">
        <f t="shared" si="140"/>
        <v>0</v>
      </c>
      <c r="AC367">
        <f t="shared" si="140"/>
        <v>0</v>
      </c>
      <c r="AD367">
        <f t="shared" si="140"/>
        <v>1</v>
      </c>
      <c r="AE367">
        <f t="shared" si="140"/>
        <v>0</v>
      </c>
      <c r="AF367" s="56">
        <f t="shared" si="126"/>
        <v>18</v>
      </c>
      <c r="AG367" s="59">
        <f t="shared" si="127"/>
        <v>5.8571428571428568</v>
      </c>
      <c r="AH367">
        <f t="shared" si="128"/>
        <v>0.32539682539682535</v>
      </c>
    </row>
    <row r="368" spans="1:34" ht="15" x14ac:dyDescent="0.2">
      <c r="A368">
        <v>38</v>
      </c>
      <c r="B368" s="57" t="s">
        <v>103</v>
      </c>
      <c r="C368" s="57"/>
      <c r="D368">
        <f t="shared" si="121"/>
        <v>82</v>
      </c>
      <c r="E368" s="1">
        <f t="shared" si="122"/>
        <v>14</v>
      </c>
      <c r="F368">
        <f t="shared" si="138"/>
        <v>6</v>
      </c>
      <c r="G368">
        <f t="shared" si="138"/>
        <v>1</v>
      </c>
      <c r="H368">
        <f t="shared" si="138"/>
        <v>0</v>
      </c>
      <c r="I368">
        <f t="shared" si="138"/>
        <v>4</v>
      </c>
      <c r="J368">
        <f t="shared" si="138"/>
        <v>2</v>
      </c>
      <c r="K368">
        <f t="shared" si="138"/>
        <v>0</v>
      </c>
      <c r="L368">
        <f t="shared" si="138"/>
        <v>3</v>
      </c>
      <c r="M368">
        <f t="shared" si="138"/>
        <v>0</v>
      </c>
      <c r="N368">
        <f t="shared" si="138"/>
        <v>6</v>
      </c>
      <c r="O368">
        <f t="shared" si="138"/>
        <v>0</v>
      </c>
      <c r="P368">
        <f t="shared" si="139"/>
        <v>0</v>
      </c>
      <c r="Q368">
        <f t="shared" si="139"/>
        <v>1</v>
      </c>
      <c r="R368">
        <f t="shared" si="139"/>
        <v>1</v>
      </c>
      <c r="S368">
        <f t="shared" si="139"/>
        <v>4</v>
      </c>
      <c r="T368">
        <f t="shared" si="139"/>
        <v>10</v>
      </c>
      <c r="U368">
        <f t="shared" si="139"/>
        <v>1</v>
      </c>
      <c r="V368">
        <f t="shared" si="139"/>
        <v>0</v>
      </c>
      <c r="W368">
        <f t="shared" si="139"/>
        <v>5</v>
      </c>
      <c r="X368">
        <f t="shared" si="139"/>
        <v>3</v>
      </c>
      <c r="Y368">
        <f t="shared" si="139"/>
        <v>8</v>
      </c>
      <c r="Z368">
        <f t="shared" si="140"/>
        <v>3</v>
      </c>
      <c r="AA368">
        <f t="shared" si="140"/>
        <v>2</v>
      </c>
      <c r="AB368">
        <f t="shared" si="140"/>
        <v>2</v>
      </c>
      <c r="AC368">
        <f t="shared" si="140"/>
        <v>0</v>
      </c>
      <c r="AD368">
        <f t="shared" si="140"/>
        <v>3</v>
      </c>
      <c r="AE368">
        <f t="shared" si="140"/>
        <v>0</v>
      </c>
      <c r="AF368" s="56">
        <f t="shared" si="126"/>
        <v>18</v>
      </c>
      <c r="AG368" s="59">
        <f t="shared" si="127"/>
        <v>5.8571428571428568</v>
      </c>
      <c r="AH368">
        <f t="shared" si="128"/>
        <v>0.32539682539682535</v>
      </c>
    </row>
    <row r="369" spans="1:34" ht="15" x14ac:dyDescent="0.2">
      <c r="A369">
        <v>3</v>
      </c>
      <c r="B369" s="57" t="s">
        <v>645</v>
      </c>
      <c r="C369" s="57"/>
      <c r="D369">
        <f t="shared" si="121"/>
        <v>81</v>
      </c>
      <c r="E369" s="1">
        <f t="shared" si="122"/>
        <v>13</v>
      </c>
      <c r="F369">
        <f t="shared" si="138"/>
        <v>4</v>
      </c>
      <c r="G369">
        <f t="shared" si="138"/>
        <v>1</v>
      </c>
      <c r="H369">
        <f t="shared" si="138"/>
        <v>5</v>
      </c>
      <c r="I369">
        <f t="shared" si="138"/>
        <v>4</v>
      </c>
      <c r="J369">
        <f t="shared" si="138"/>
        <v>9</v>
      </c>
      <c r="K369">
        <f t="shared" si="138"/>
        <v>2</v>
      </c>
      <c r="L369">
        <f t="shared" si="138"/>
        <v>0</v>
      </c>
      <c r="M369">
        <f t="shared" si="138"/>
        <v>1</v>
      </c>
      <c r="N369">
        <f t="shared" si="138"/>
        <v>5</v>
      </c>
      <c r="O369">
        <f t="shared" si="138"/>
        <v>0</v>
      </c>
      <c r="P369">
        <f t="shared" si="139"/>
        <v>0</v>
      </c>
      <c r="Q369">
        <f t="shared" si="139"/>
        <v>0</v>
      </c>
      <c r="R369">
        <f t="shared" si="139"/>
        <v>0</v>
      </c>
      <c r="S369">
        <f t="shared" si="139"/>
        <v>6</v>
      </c>
      <c r="T369">
        <f t="shared" si="139"/>
        <v>5</v>
      </c>
      <c r="U369">
        <f t="shared" si="139"/>
        <v>0</v>
      </c>
      <c r="V369">
        <f t="shared" si="139"/>
        <v>0</v>
      </c>
      <c r="W369">
        <f t="shared" si="139"/>
        <v>4</v>
      </c>
      <c r="X369">
        <f t="shared" si="139"/>
        <v>3</v>
      </c>
      <c r="Y369">
        <f t="shared" si="139"/>
        <v>4</v>
      </c>
      <c r="Z369">
        <f t="shared" si="140"/>
        <v>4</v>
      </c>
      <c r="AA369">
        <f t="shared" si="140"/>
        <v>0</v>
      </c>
      <c r="AB369">
        <f t="shared" si="140"/>
        <v>2</v>
      </c>
      <c r="AC369">
        <f t="shared" si="140"/>
        <v>0</v>
      </c>
      <c r="AD369">
        <f t="shared" si="140"/>
        <v>4</v>
      </c>
      <c r="AE369">
        <f t="shared" si="140"/>
        <v>0</v>
      </c>
      <c r="AF369" s="56">
        <f t="shared" si="126"/>
        <v>16</v>
      </c>
      <c r="AG369" s="59">
        <f t="shared" si="127"/>
        <v>6.2307692307692308</v>
      </c>
      <c r="AH369">
        <f t="shared" si="128"/>
        <v>0.38942307692307693</v>
      </c>
    </row>
    <row r="370" spans="1:34" ht="15" x14ac:dyDescent="0.2">
      <c r="A370">
        <v>478</v>
      </c>
      <c r="B370" s="57" t="s">
        <v>516</v>
      </c>
      <c r="C370" s="57"/>
      <c r="D370">
        <f t="shared" si="121"/>
        <v>81</v>
      </c>
      <c r="E370" s="1">
        <f t="shared" si="122"/>
        <v>13</v>
      </c>
      <c r="F370">
        <f t="shared" si="138"/>
        <v>3</v>
      </c>
      <c r="G370">
        <f t="shared" si="138"/>
        <v>0</v>
      </c>
      <c r="H370">
        <f t="shared" si="138"/>
        <v>1</v>
      </c>
      <c r="I370">
        <f t="shared" si="138"/>
        <v>2</v>
      </c>
      <c r="J370">
        <f t="shared" si="138"/>
        <v>8</v>
      </c>
      <c r="K370">
        <f t="shared" si="138"/>
        <v>2</v>
      </c>
      <c r="L370">
        <f t="shared" si="138"/>
        <v>4</v>
      </c>
      <c r="M370">
        <f t="shared" si="138"/>
        <v>2</v>
      </c>
      <c r="N370">
        <f t="shared" si="138"/>
        <v>5</v>
      </c>
      <c r="O370">
        <f t="shared" si="138"/>
        <v>0</v>
      </c>
      <c r="P370">
        <f t="shared" si="139"/>
        <v>0</v>
      </c>
      <c r="Q370">
        <f t="shared" si="139"/>
        <v>1</v>
      </c>
      <c r="R370">
        <f t="shared" si="139"/>
        <v>2</v>
      </c>
      <c r="S370">
        <f t="shared" si="139"/>
        <v>7</v>
      </c>
      <c r="T370">
        <f t="shared" si="139"/>
        <v>7</v>
      </c>
      <c r="U370">
        <f t="shared" si="139"/>
        <v>0</v>
      </c>
      <c r="V370">
        <f t="shared" si="139"/>
        <v>0</v>
      </c>
      <c r="W370">
        <f t="shared" si="139"/>
        <v>6</v>
      </c>
      <c r="X370">
        <f t="shared" si="139"/>
        <v>3</v>
      </c>
      <c r="Y370">
        <f t="shared" si="139"/>
        <v>6</v>
      </c>
      <c r="Z370">
        <f t="shared" si="140"/>
        <v>3</v>
      </c>
      <c r="AA370">
        <f t="shared" si="140"/>
        <v>1</v>
      </c>
      <c r="AB370">
        <f t="shared" si="140"/>
        <v>0</v>
      </c>
      <c r="AC370">
        <f t="shared" si="140"/>
        <v>0</v>
      </c>
      <c r="AD370">
        <f t="shared" si="140"/>
        <v>2</v>
      </c>
      <c r="AE370">
        <f t="shared" si="140"/>
        <v>0</v>
      </c>
      <c r="AF370" s="56">
        <f t="shared" si="126"/>
        <v>18</v>
      </c>
      <c r="AG370" s="59">
        <f t="shared" si="127"/>
        <v>6.2307692307692308</v>
      </c>
      <c r="AH370">
        <f t="shared" si="128"/>
        <v>0.34615384615384615</v>
      </c>
    </row>
    <row r="371" spans="1:34" ht="15" x14ac:dyDescent="0.2">
      <c r="A371">
        <v>190</v>
      </c>
      <c r="B371" s="57" t="s">
        <v>254</v>
      </c>
      <c r="C371" s="57"/>
      <c r="D371">
        <f t="shared" si="121"/>
        <v>81</v>
      </c>
      <c r="E371" s="1">
        <f t="shared" si="122"/>
        <v>14</v>
      </c>
      <c r="F371">
        <f t="shared" si="138"/>
        <v>4</v>
      </c>
      <c r="G371">
        <f t="shared" si="138"/>
        <v>0</v>
      </c>
      <c r="H371">
        <f t="shared" si="138"/>
        <v>3</v>
      </c>
      <c r="I371">
        <f t="shared" si="138"/>
        <v>0</v>
      </c>
      <c r="J371">
        <f t="shared" si="138"/>
        <v>6</v>
      </c>
      <c r="K371">
        <f t="shared" si="138"/>
        <v>1</v>
      </c>
      <c r="L371">
        <f t="shared" si="138"/>
        <v>1</v>
      </c>
      <c r="M371">
        <f t="shared" si="138"/>
        <v>4</v>
      </c>
      <c r="N371">
        <f t="shared" si="138"/>
        <v>3</v>
      </c>
      <c r="O371">
        <f t="shared" si="138"/>
        <v>0</v>
      </c>
      <c r="P371">
        <f t="shared" si="139"/>
        <v>0</v>
      </c>
      <c r="Q371">
        <f t="shared" si="139"/>
        <v>1</v>
      </c>
      <c r="R371">
        <f t="shared" si="139"/>
        <v>4</v>
      </c>
      <c r="S371">
        <f t="shared" si="139"/>
        <v>5</v>
      </c>
      <c r="T371">
        <f t="shared" si="139"/>
        <v>5</v>
      </c>
      <c r="U371">
        <f t="shared" si="139"/>
        <v>3</v>
      </c>
      <c r="V371">
        <f t="shared" si="139"/>
        <v>0</v>
      </c>
      <c r="W371">
        <f t="shared" si="139"/>
        <v>4</v>
      </c>
      <c r="X371">
        <f t="shared" si="139"/>
        <v>3</v>
      </c>
      <c r="Y371">
        <f t="shared" si="139"/>
        <v>5</v>
      </c>
      <c r="Z371">
        <f t="shared" si="140"/>
        <v>4</v>
      </c>
      <c r="AA371">
        <f t="shared" si="140"/>
        <v>0</v>
      </c>
      <c r="AB371">
        <f t="shared" si="140"/>
        <v>1</v>
      </c>
      <c r="AC371">
        <f t="shared" si="140"/>
        <v>0</v>
      </c>
      <c r="AD371">
        <f t="shared" si="140"/>
        <v>1</v>
      </c>
      <c r="AE371">
        <f t="shared" si="140"/>
        <v>0</v>
      </c>
      <c r="AF371" s="56">
        <f t="shared" si="126"/>
        <v>18</v>
      </c>
      <c r="AG371" s="59">
        <f t="shared" si="127"/>
        <v>5.7857142857142856</v>
      </c>
      <c r="AH371">
        <f t="shared" si="128"/>
        <v>0.3214285714285714</v>
      </c>
    </row>
    <row r="372" spans="1:34" ht="15" x14ac:dyDescent="0.2">
      <c r="A372">
        <v>560</v>
      </c>
      <c r="B372" s="57" t="s">
        <v>582</v>
      </c>
      <c r="C372" s="57"/>
      <c r="D372">
        <f t="shared" si="121"/>
        <v>81</v>
      </c>
      <c r="E372" s="1">
        <f t="shared" si="122"/>
        <v>16</v>
      </c>
      <c r="F372">
        <f t="shared" ref="F372:O381" si="141">LEN($B372)-LEN(SUBSTITUTE($B372,F$1,""))</f>
        <v>5</v>
      </c>
      <c r="G372">
        <f t="shared" si="141"/>
        <v>1</v>
      </c>
      <c r="H372">
        <f t="shared" si="141"/>
        <v>0</v>
      </c>
      <c r="I372">
        <f t="shared" si="141"/>
        <v>4</v>
      </c>
      <c r="J372">
        <f t="shared" si="141"/>
        <v>12</v>
      </c>
      <c r="K372">
        <f t="shared" si="141"/>
        <v>0</v>
      </c>
      <c r="L372">
        <f t="shared" si="141"/>
        <v>2</v>
      </c>
      <c r="M372">
        <f t="shared" si="141"/>
        <v>4</v>
      </c>
      <c r="N372">
        <f t="shared" si="141"/>
        <v>4</v>
      </c>
      <c r="O372">
        <f t="shared" si="141"/>
        <v>0</v>
      </c>
      <c r="P372">
        <f t="shared" ref="P372:Y381" si="142">LEN($B372)-LEN(SUBSTITUTE($B372,P$1,""))</f>
        <v>2</v>
      </c>
      <c r="Q372">
        <f t="shared" si="142"/>
        <v>1</v>
      </c>
      <c r="R372">
        <f t="shared" si="142"/>
        <v>1</v>
      </c>
      <c r="S372">
        <f t="shared" si="142"/>
        <v>7</v>
      </c>
      <c r="T372">
        <f t="shared" si="142"/>
        <v>3</v>
      </c>
      <c r="U372">
        <f t="shared" si="142"/>
        <v>1</v>
      </c>
      <c r="V372">
        <f t="shared" si="142"/>
        <v>0</v>
      </c>
      <c r="W372">
        <f t="shared" si="142"/>
        <v>3</v>
      </c>
      <c r="X372">
        <f t="shared" si="142"/>
        <v>4</v>
      </c>
      <c r="Y372">
        <f t="shared" si="142"/>
        <v>4</v>
      </c>
      <c r="Z372">
        <f t="shared" ref="Z372:AE381" si="143">LEN($B372)-LEN(SUBSTITUTE($B372,Z$1,""))</f>
        <v>0</v>
      </c>
      <c r="AA372">
        <f t="shared" si="143"/>
        <v>1</v>
      </c>
      <c r="AB372">
        <f t="shared" si="143"/>
        <v>2</v>
      </c>
      <c r="AC372">
        <f t="shared" si="143"/>
        <v>0</v>
      </c>
      <c r="AD372">
        <f t="shared" si="143"/>
        <v>1</v>
      </c>
      <c r="AE372">
        <f t="shared" si="143"/>
        <v>0</v>
      </c>
      <c r="AF372" s="56">
        <f t="shared" si="126"/>
        <v>19</v>
      </c>
      <c r="AG372" s="59">
        <f t="shared" si="127"/>
        <v>5.0625</v>
      </c>
      <c r="AH372">
        <f t="shared" si="128"/>
        <v>0.26644736842105265</v>
      </c>
    </row>
    <row r="373" spans="1:34" ht="15" x14ac:dyDescent="0.2">
      <c r="A373">
        <v>311</v>
      </c>
      <c r="B373" s="57" t="s">
        <v>371</v>
      </c>
      <c r="C373" s="57"/>
      <c r="D373">
        <f t="shared" si="121"/>
        <v>81</v>
      </c>
      <c r="E373" s="1">
        <f t="shared" si="122"/>
        <v>16</v>
      </c>
      <c r="F373">
        <f t="shared" si="141"/>
        <v>6</v>
      </c>
      <c r="G373">
        <f t="shared" si="141"/>
        <v>3</v>
      </c>
      <c r="H373">
        <f t="shared" si="141"/>
        <v>0</v>
      </c>
      <c r="I373">
        <f t="shared" si="141"/>
        <v>5</v>
      </c>
      <c r="J373">
        <f t="shared" si="141"/>
        <v>6</v>
      </c>
      <c r="K373">
        <f t="shared" si="141"/>
        <v>0</v>
      </c>
      <c r="L373">
        <f t="shared" si="141"/>
        <v>3</v>
      </c>
      <c r="M373">
        <f t="shared" si="141"/>
        <v>1</v>
      </c>
      <c r="N373">
        <f t="shared" si="141"/>
        <v>4</v>
      </c>
      <c r="O373">
        <f t="shared" si="141"/>
        <v>0</v>
      </c>
      <c r="P373">
        <f t="shared" si="142"/>
        <v>0</v>
      </c>
      <c r="Q373">
        <f t="shared" si="142"/>
        <v>2</v>
      </c>
      <c r="R373">
        <f t="shared" si="142"/>
        <v>3</v>
      </c>
      <c r="S373">
        <f t="shared" si="142"/>
        <v>5</v>
      </c>
      <c r="T373">
        <f t="shared" si="142"/>
        <v>4</v>
      </c>
      <c r="U373">
        <f t="shared" si="142"/>
        <v>0</v>
      </c>
      <c r="V373">
        <f t="shared" si="142"/>
        <v>0</v>
      </c>
      <c r="W373">
        <f t="shared" si="142"/>
        <v>3</v>
      </c>
      <c r="X373">
        <f t="shared" si="142"/>
        <v>7</v>
      </c>
      <c r="Y373">
        <f t="shared" si="142"/>
        <v>3</v>
      </c>
      <c r="Z373">
        <f t="shared" si="143"/>
        <v>4</v>
      </c>
      <c r="AA373">
        <f t="shared" si="143"/>
        <v>1</v>
      </c>
      <c r="AB373">
        <f t="shared" si="143"/>
        <v>1</v>
      </c>
      <c r="AC373">
        <f t="shared" si="143"/>
        <v>1</v>
      </c>
      <c r="AD373">
        <f t="shared" si="143"/>
        <v>1</v>
      </c>
      <c r="AE373">
        <f t="shared" si="143"/>
        <v>0</v>
      </c>
      <c r="AF373" s="56">
        <f t="shared" si="126"/>
        <v>19</v>
      </c>
      <c r="AG373" s="59">
        <f t="shared" si="127"/>
        <v>5.0625</v>
      </c>
      <c r="AH373">
        <f t="shared" si="128"/>
        <v>0.26644736842105265</v>
      </c>
    </row>
    <row r="374" spans="1:34" ht="15" x14ac:dyDescent="0.2">
      <c r="A374">
        <v>556</v>
      </c>
      <c r="B374" s="57" t="s">
        <v>678</v>
      </c>
      <c r="C374" s="57"/>
      <c r="D374">
        <f t="shared" si="121"/>
        <v>80</v>
      </c>
      <c r="E374" s="1">
        <f t="shared" si="122"/>
        <v>13</v>
      </c>
      <c r="F374">
        <f t="shared" si="141"/>
        <v>6</v>
      </c>
      <c r="G374">
        <f t="shared" si="141"/>
        <v>0</v>
      </c>
      <c r="H374">
        <f t="shared" si="141"/>
        <v>1</v>
      </c>
      <c r="I374">
        <f t="shared" si="141"/>
        <v>2</v>
      </c>
      <c r="J374">
        <f t="shared" si="141"/>
        <v>5</v>
      </c>
      <c r="K374">
        <f t="shared" si="141"/>
        <v>0</v>
      </c>
      <c r="L374">
        <f t="shared" si="141"/>
        <v>3</v>
      </c>
      <c r="M374">
        <f t="shared" si="141"/>
        <v>3</v>
      </c>
      <c r="N374">
        <f t="shared" si="141"/>
        <v>6</v>
      </c>
      <c r="O374">
        <f t="shared" si="141"/>
        <v>0</v>
      </c>
      <c r="P374">
        <f t="shared" si="142"/>
        <v>0</v>
      </c>
      <c r="Q374">
        <f t="shared" si="142"/>
        <v>0</v>
      </c>
      <c r="R374">
        <f t="shared" si="142"/>
        <v>3</v>
      </c>
      <c r="S374">
        <f t="shared" si="142"/>
        <v>1</v>
      </c>
      <c r="T374">
        <f t="shared" si="142"/>
        <v>4</v>
      </c>
      <c r="U374">
        <f t="shared" si="142"/>
        <v>3</v>
      </c>
      <c r="V374">
        <f t="shared" si="142"/>
        <v>0</v>
      </c>
      <c r="W374">
        <f t="shared" si="142"/>
        <v>13</v>
      </c>
      <c r="X374">
        <f t="shared" si="142"/>
        <v>5</v>
      </c>
      <c r="Y374">
        <f t="shared" si="142"/>
        <v>7</v>
      </c>
      <c r="Z374">
        <f t="shared" si="143"/>
        <v>0</v>
      </c>
      <c r="AA374">
        <f t="shared" si="143"/>
        <v>0</v>
      </c>
      <c r="AB374">
        <f t="shared" si="143"/>
        <v>3</v>
      </c>
      <c r="AC374">
        <f t="shared" si="143"/>
        <v>0</v>
      </c>
      <c r="AD374">
        <f t="shared" si="143"/>
        <v>0</v>
      </c>
      <c r="AE374">
        <f t="shared" si="143"/>
        <v>0</v>
      </c>
      <c r="AF374" s="56">
        <f t="shared" si="126"/>
        <v>15</v>
      </c>
      <c r="AG374" s="59">
        <f t="shared" si="127"/>
        <v>6.1538461538461542</v>
      </c>
      <c r="AH374">
        <f t="shared" si="128"/>
        <v>0.4102564102564103</v>
      </c>
    </row>
    <row r="375" spans="1:34" ht="15" x14ac:dyDescent="0.2">
      <c r="A375">
        <v>288</v>
      </c>
      <c r="B375" s="57" t="s">
        <v>350</v>
      </c>
      <c r="C375" s="57"/>
      <c r="D375">
        <f t="shared" si="121"/>
        <v>80</v>
      </c>
      <c r="E375" s="1">
        <f t="shared" si="122"/>
        <v>13</v>
      </c>
      <c r="F375">
        <f t="shared" si="141"/>
        <v>4</v>
      </c>
      <c r="G375">
        <f t="shared" si="141"/>
        <v>0</v>
      </c>
      <c r="H375">
        <f t="shared" si="141"/>
        <v>2</v>
      </c>
      <c r="I375">
        <f t="shared" si="141"/>
        <v>2</v>
      </c>
      <c r="J375">
        <f t="shared" si="141"/>
        <v>8</v>
      </c>
      <c r="K375">
        <f t="shared" si="141"/>
        <v>1</v>
      </c>
      <c r="L375">
        <f t="shared" si="141"/>
        <v>4</v>
      </c>
      <c r="M375">
        <f t="shared" si="141"/>
        <v>3</v>
      </c>
      <c r="N375">
        <f t="shared" si="141"/>
        <v>6</v>
      </c>
      <c r="O375">
        <f t="shared" si="141"/>
        <v>0</v>
      </c>
      <c r="P375">
        <f t="shared" si="142"/>
        <v>1</v>
      </c>
      <c r="Q375">
        <f t="shared" si="142"/>
        <v>3</v>
      </c>
      <c r="R375">
        <f t="shared" si="142"/>
        <v>0</v>
      </c>
      <c r="S375">
        <f t="shared" si="142"/>
        <v>8</v>
      </c>
      <c r="T375">
        <f t="shared" si="142"/>
        <v>6</v>
      </c>
      <c r="U375">
        <f t="shared" si="142"/>
        <v>0</v>
      </c>
      <c r="V375">
        <f t="shared" si="142"/>
        <v>0</v>
      </c>
      <c r="W375">
        <f t="shared" si="142"/>
        <v>6</v>
      </c>
      <c r="X375">
        <f t="shared" si="142"/>
        <v>3</v>
      </c>
      <c r="Y375">
        <f t="shared" si="142"/>
        <v>4</v>
      </c>
      <c r="Z375">
        <f t="shared" si="143"/>
        <v>2</v>
      </c>
      <c r="AA375">
        <f t="shared" si="143"/>
        <v>0</v>
      </c>
      <c r="AB375">
        <f t="shared" si="143"/>
        <v>1</v>
      </c>
      <c r="AC375">
        <f t="shared" si="143"/>
        <v>0</v>
      </c>
      <c r="AD375">
        <f t="shared" si="143"/>
        <v>1</v>
      </c>
      <c r="AE375">
        <f t="shared" si="143"/>
        <v>0</v>
      </c>
      <c r="AF375" s="56">
        <f t="shared" si="126"/>
        <v>18</v>
      </c>
      <c r="AG375" s="59">
        <f t="shared" si="127"/>
        <v>6.1538461538461542</v>
      </c>
      <c r="AH375">
        <f t="shared" si="128"/>
        <v>0.34188034188034189</v>
      </c>
    </row>
    <row r="376" spans="1:34" ht="15" x14ac:dyDescent="0.2">
      <c r="A376">
        <v>211</v>
      </c>
      <c r="B376" s="57" t="s">
        <v>275</v>
      </c>
      <c r="C376" s="57"/>
      <c r="D376">
        <f t="shared" si="121"/>
        <v>80</v>
      </c>
      <c r="E376" s="1">
        <f t="shared" si="122"/>
        <v>16</v>
      </c>
      <c r="F376">
        <f t="shared" si="141"/>
        <v>9</v>
      </c>
      <c r="G376">
        <f t="shared" si="141"/>
        <v>1</v>
      </c>
      <c r="H376">
        <f t="shared" si="141"/>
        <v>1</v>
      </c>
      <c r="I376">
        <f t="shared" si="141"/>
        <v>6</v>
      </c>
      <c r="J376">
        <f t="shared" si="141"/>
        <v>8</v>
      </c>
      <c r="K376">
        <f t="shared" si="141"/>
        <v>2</v>
      </c>
      <c r="L376">
        <f t="shared" si="141"/>
        <v>0</v>
      </c>
      <c r="M376">
        <f t="shared" si="141"/>
        <v>2</v>
      </c>
      <c r="N376">
        <f t="shared" si="141"/>
        <v>4</v>
      </c>
      <c r="O376">
        <f t="shared" si="141"/>
        <v>0</v>
      </c>
      <c r="P376">
        <f t="shared" si="142"/>
        <v>0</v>
      </c>
      <c r="Q376">
        <f t="shared" si="142"/>
        <v>3</v>
      </c>
      <c r="R376">
        <f t="shared" si="142"/>
        <v>5</v>
      </c>
      <c r="S376">
        <f t="shared" si="142"/>
        <v>6</v>
      </c>
      <c r="T376">
        <f t="shared" si="142"/>
        <v>3</v>
      </c>
      <c r="U376">
        <f t="shared" si="142"/>
        <v>0</v>
      </c>
      <c r="V376">
        <f t="shared" si="142"/>
        <v>0</v>
      </c>
      <c r="W376">
        <f t="shared" si="142"/>
        <v>2</v>
      </c>
      <c r="X376">
        <f t="shared" si="142"/>
        <v>2</v>
      </c>
      <c r="Y376">
        <f t="shared" si="142"/>
        <v>5</v>
      </c>
      <c r="Z376">
        <f t="shared" si="143"/>
        <v>0</v>
      </c>
      <c r="AA376">
        <f t="shared" si="143"/>
        <v>1</v>
      </c>
      <c r="AB376">
        <f t="shared" si="143"/>
        <v>1</v>
      </c>
      <c r="AC376">
        <f t="shared" si="143"/>
        <v>0</v>
      </c>
      <c r="AD376">
        <f t="shared" si="143"/>
        <v>1</v>
      </c>
      <c r="AE376">
        <f t="shared" si="143"/>
        <v>0</v>
      </c>
      <c r="AF376" s="56">
        <f t="shared" si="126"/>
        <v>18</v>
      </c>
      <c r="AG376" s="59">
        <f t="shared" si="127"/>
        <v>5</v>
      </c>
      <c r="AH376">
        <f t="shared" si="128"/>
        <v>0.27777777777777779</v>
      </c>
    </row>
    <row r="377" spans="1:34" ht="15" x14ac:dyDescent="0.2">
      <c r="A377">
        <v>235</v>
      </c>
      <c r="B377" s="57" t="s">
        <v>298</v>
      </c>
      <c r="C377" s="57"/>
      <c r="D377">
        <f t="shared" si="121"/>
        <v>79</v>
      </c>
      <c r="E377" s="1">
        <f t="shared" si="122"/>
        <v>14</v>
      </c>
      <c r="F377">
        <f t="shared" si="141"/>
        <v>0</v>
      </c>
      <c r="G377">
        <f t="shared" si="141"/>
        <v>0</v>
      </c>
      <c r="H377">
        <f t="shared" si="141"/>
        <v>2</v>
      </c>
      <c r="I377">
        <f t="shared" si="141"/>
        <v>0</v>
      </c>
      <c r="J377">
        <f t="shared" si="141"/>
        <v>13</v>
      </c>
      <c r="K377">
        <f t="shared" si="141"/>
        <v>0</v>
      </c>
      <c r="L377">
        <f t="shared" si="141"/>
        <v>3</v>
      </c>
      <c r="M377">
        <f t="shared" si="141"/>
        <v>2</v>
      </c>
      <c r="N377">
        <f t="shared" si="141"/>
        <v>5</v>
      </c>
      <c r="O377">
        <f t="shared" si="141"/>
        <v>0</v>
      </c>
      <c r="P377">
        <f t="shared" si="142"/>
        <v>0</v>
      </c>
      <c r="Q377">
        <f t="shared" si="142"/>
        <v>2</v>
      </c>
      <c r="R377">
        <f t="shared" si="142"/>
        <v>0</v>
      </c>
      <c r="S377">
        <f t="shared" si="142"/>
        <v>7</v>
      </c>
      <c r="T377">
        <f t="shared" si="142"/>
        <v>1</v>
      </c>
      <c r="U377">
        <f t="shared" si="142"/>
        <v>3</v>
      </c>
      <c r="V377">
        <f t="shared" si="142"/>
        <v>0</v>
      </c>
      <c r="W377">
        <f t="shared" si="142"/>
        <v>6</v>
      </c>
      <c r="X377">
        <f t="shared" si="142"/>
        <v>1</v>
      </c>
      <c r="Y377">
        <f t="shared" si="142"/>
        <v>1</v>
      </c>
      <c r="Z377">
        <f t="shared" si="143"/>
        <v>4</v>
      </c>
      <c r="AA377">
        <f t="shared" si="143"/>
        <v>8</v>
      </c>
      <c r="AB377">
        <f t="shared" si="143"/>
        <v>1</v>
      </c>
      <c r="AC377">
        <f t="shared" si="143"/>
        <v>0</v>
      </c>
      <c r="AD377">
        <f t="shared" si="143"/>
        <v>0</v>
      </c>
      <c r="AE377">
        <f t="shared" si="143"/>
        <v>0</v>
      </c>
      <c r="AF377" s="56">
        <f t="shared" si="126"/>
        <v>15</v>
      </c>
      <c r="AG377" s="59">
        <f t="shared" si="127"/>
        <v>5.6428571428571432</v>
      </c>
      <c r="AH377">
        <f t="shared" si="128"/>
        <v>0.37619047619047624</v>
      </c>
    </row>
    <row r="378" spans="1:34" ht="15" x14ac:dyDescent="0.2">
      <c r="A378">
        <v>114</v>
      </c>
      <c r="B378" s="57" t="s">
        <v>179</v>
      </c>
      <c r="C378" s="57"/>
      <c r="D378">
        <f t="shared" si="121"/>
        <v>79</v>
      </c>
      <c r="E378" s="1">
        <f t="shared" si="122"/>
        <v>16</v>
      </c>
      <c r="F378">
        <f t="shared" si="141"/>
        <v>6</v>
      </c>
      <c r="G378">
        <f t="shared" si="141"/>
        <v>2</v>
      </c>
      <c r="H378">
        <f t="shared" si="141"/>
        <v>0</v>
      </c>
      <c r="I378">
        <f t="shared" si="141"/>
        <v>1</v>
      </c>
      <c r="J378">
        <f t="shared" si="141"/>
        <v>3</v>
      </c>
      <c r="K378">
        <f t="shared" si="141"/>
        <v>1</v>
      </c>
      <c r="L378">
        <f t="shared" si="141"/>
        <v>0</v>
      </c>
      <c r="M378">
        <f t="shared" si="141"/>
        <v>2</v>
      </c>
      <c r="N378">
        <f t="shared" si="141"/>
        <v>4</v>
      </c>
      <c r="O378">
        <f t="shared" si="141"/>
        <v>0</v>
      </c>
      <c r="P378">
        <f t="shared" si="142"/>
        <v>0</v>
      </c>
      <c r="Q378">
        <f t="shared" si="142"/>
        <v>2</v>
      </c>
      <c r="R378">
        <f t="shared" si="142"/>
        <v>2</v>
      </c>
      <c r="S378">
        <f t="shared" si="142"/>
        <v>7</v>
      </c>
      <c r="T378">
        <f t="shared" si="142"/>
        <v>8</v>
      </c>
      <c r="U378">
        <f t="shared" si="142"/>
        <v>3</v>
      </c>
      <c r="V378">
        <f t="shared" si="142"/>
        <v>0</v>
      </c>
      <c r="W378">
        <f t="shared" si="142"/>
        <v>3</v>
      </c>
      <c r="X378">
        <f t="shared" si="142"/>
        <v>3</v>
      </c>
      <c r="Y378">
        <f t="shared" si="142"/>
        <v>9</v>
      </c>
      <c r="Z378">
        <f t="shared" si="143"/>
        <v>3</v>
      </c>
      <c r="AA378">
        <f t="shared" si="143"/>
        <v>1</v>
      </c>
      <c r="AB378">
        <f t="shared" si="143"/>
        <v>0</v>
      </c>
      <c r="AC378">
        <f t="shared" si="143"/>
        <v>0</v>
      </c>
      <c r="AD378">
        <f t="shared" si="143"/>
        <v>1</v>
      </c>
      <c r="AE378">
        <f t="shared" si="143"/>
        <v>0</v>
      </c>
      <c r="AF378" s="56">
        <f t="shared" si="126"/>
        <v>18</v>
      </c>
      <c r="AG378" s="59">
        <f t="shared" si="127"/>
        <v>4.9375</v>
      </c>
      <c r="AH378">
        <f t="shared" si="128"/>
        <v>0.27430555555555558</v>
      </c>
    </row>
    <row r="379" spans="1:34" ht="15" x14ac:dyDescent="0.2">
      <c r="A379">
        <v>476</v>
      </c>
      <c r="B379" s="57" t="s">
        <v>514</v>
      </c>
      <c r="C379" s="57"/>
      <c r="D379">
        <f t="shared" si="121"/>
        <v>79</v>
      </c>
      <c r="E379" s="1">
        <f t="shared" si="122"/>
        <v>17</v>
      </c>
      <c r="F379">
        <f t="shared" si="141"/>
        <v>4</v>
      </c>
      <c r="G379">
        <f t="shared" si="141"/>
        <v>0</v>
      </c>
      <c r="H379">
        <f t="shared" si="141"/>
        <v>1</v>
      </c>
      <c r="I379">
        <f t="shared" si="141"/>
        <v>2</v>
      </c>
      <c r="J379">
        <f t="shared" si="141"/>
        <v>9</v>
      </c>
      <c r="K379">
        <f t="shared" si="141"/>
        <v>3</v>
      </c>
      <c r="L379">
        <f t="shared" si="141"/>
        <v>0</v>
      </c>
      <c r="M379">
        <f t="shared" si="141"/>
        <v>6</v>
      </c>
      <c r="N379">
        <f t="shared" si="141"/>
        <v>4</v>
      </c>
      <c r="O379">
        <f t="shared" si="141"/>
        <v>1</v>
      </c>
      <c r="P379">
        <f t="shared" si="142"/>
        <v>2</v>
      </c>
      <c r="Q379">
        <f t="shared" si="142"/>
        <v>1</v>
      </c>
      <c r="R379">
        <f t="shared" si="142"/>
        <v>3</v>
      </c>
      <c r="S379">
        <f t="shared" si="142"/>
        <v>2</v>
      </c>
      <c r="T379">
        <f t="shared" si="142"/>
        <v>5</v>
      </c>
      <c r="U379">
        <f t="shared" si="142"/>
        <v>0</v>
      </c>
      <c r="V379">
        <f t="shared" si="142"/>
        <v>0</v>
      </c>
      <c r="W379">
        <f t="shared" si="142"/>
        <v>5</v>
      </c>
      <c r="X379">
        <f t="shared" si="142"/>
        <v>3</v>
      </c>
      <c r="Y379">
        <f t="shared" si="142"/>
        <v>6</v>
      </c>
      <c r="Z379">
        <f t="shared" si="143"/>
        <v>1</v>
      </c>
      <c r="AA379">
        <f t="shared" si="143"/>
        <v>1</v>
      </c>
      <c r="AB379">
        <f t="shared" si="143"/>
        <v>1</v>
      </c>
      <c r="AC379">
        <f t="shared" si="143"/>
        <v>0</v>
      </c>
      <c r="AD379">
        <f t="shared" si="143"/>
        <v>0</v>
      </c>
      <c r="AE379">
        <f t="shared" si="143"/>
        <v>0</v>
      </c>
      <c r="AF379" s="56">
        <f t="shared" si="126"/>
        <v>19</v>
      </c>
      <c r="AG379" s="59">
        <f t="shared" si="127"/>
        <v>4.6470588235294121</v>
      </c>
      <c r="AH379">
        <f t="shared" si="128"/>
        <v>0.24458204334365327</v>
      </c>
    </row>
    <row r="380" spans="1:34" ht="15" x14ac:dyDescent="0.2">
      <c r="A380">
        <v>591</v>
      </c>
      <c r="B380" s="57" t="s">
        <v>145</v>
      </c>
      <c r="C380" s="57"/>
      <c r="D380">
        <f t="shared" si="121"/>
        <v>79</v>
      </c>
      <c r="E380" s="1">
        <f t="shared" si="122"/>
        <v>15</v>
      </c>
      <c r="F380">
        <f t="shared" si="141"/>
        <v>4</v>
      </c>
      <c r="G380">
        <f t="shared" si="141"/>
        <v>1</v>
      </c>
      <c r="H380">
        <f t="shared" si="141"/>
        <v>0</v>
      </c>
      <c r="I380">
        <f t="shared" si="141"/>
        <v>0</v>
      </c>
      <c r="J380">
        <f t="shared" si="141"/>
        <v>6</v>
      </c>
      <c r="K380">
        <f t="shared" si="141"/>
        <v>1</v>
      </c>
      <c r="L380">
        <f t="shared" si="141"/>
        <v>1</v>
      </c>
      <c r="M380">
        <f t="shared" si="141"/>
        <v>5</v>
      </c>
      <c r="N380">
        <f t="shared" si="141"/>
        <v>4</v>
      </c>
      <c r="O380">
        <f t="shared" si="141"/>
        <v>1</v>
      </c>
      <c r="P380">
        <f t="shared" si="142"/>
        <v>1</v>
      </c>
      <c r="Q380">
        <f t="shared" si="142"/>
        <v>4</v>
      </c>
      <c r="R380">
        <f t="shared" si="142"/>
        <v>1</v>
      </c>
      <c r="S380">
        <f t="shared" si="142"/>
        <v>7</v>
      </c>
      <c r="T380">
        <f t="shared" si="142"/>
        <v>6</v>
      </c>
      <c r="U380">
        <f t="shared" si="142"/>
        <v>3</v>
      </c>
      <c r="V380">
        <f t="shared" si="142"/>
        <v>0</v>
      </c>
      <c r="W380">
        <f t="shared" si="142"/>
        <v>2</v>
      </c>
      <c r="X380">
        <f t="shared" si="142"/>
        <v>4</v>
      </c>
      <c r="Y380">
        <f t="shared" si="142"/>
        <v>3</v>
      </c>
      <c r="Z380">
        <f t="shared" si="143"/>
        <v>3</v>
      </c>
      <c r="AA380">
        <f t="shared" si="143"/>
        <v>0</v>
      </c>
      <c r="AB380">
        <f t="shared" si="143"/>
        <v>2</v>
      </c>
      <c r="AC380">
        <f t="shared" si="143"/>
        <v>0</v>
      </c>
      <c r="AD380">
        <f t="shared" si="143"/>
        <v>3</v>
      </c>
      <c r="AE380">
        <f t="shared" si="143"/>
        <v>0</v>
      </c>
      <c r="AF380" s="56">
        <f t="shared" si="126"/>
        <v>20</v>
      </c>
      <c r="AG380" s="59">
        <f t="shared" si="127"/>
        <v>5.2666666666666666</v>
      </c>
      <c r="AH380">
        <f t="shared" si="128"/>
        <v>0.26333333333333331</v>
      </c>
    </row>
    <row r="381" spans="1:34" ht="15" x14ac:dyDescent="0.2">
      <c r="A381">
        <v>480</v>
      </c>
      <c r="B381" s="57" t="s">
        <v>518</v>
      </c>
      <c r="C381" s="57"/>
      <c r="D381">
        <f t="shared" si="121"/>
        <v>79</v>
      </c>
      <c r="E381" s="1">
        <f t="shared" si="122"/>
        <v>11</v>
      </c>
      <c r="F381">
        <f t="shared" si="141"/>
        <v>3</v>
      </c>
      <c r="G381">
        <f t="shared" si="141"/>
        <v>1</v>
      </c>
      <c r="H381">
        <f t="shared" si="141"/>
        <v>4</v>
      </c>
      <c r="I381">
        <f t="shared" si="141"/>
        <v>0</v>
      </c>
      <c r="J381">
        <f t="shared" si="141"/>
        <v>7</v>
      </c>
      <c r="K381">
        <f t="shared" si="141"/>
        <v>1</v>
      </c>
      <c r="L381">
        <f t="shared" si="141"/>
        <v>4</v>
      </c>
      <c r="M381">
        <f t="shared" si="141"/>
        <v>1</v>
      </c>
      <c r="N381">
        <f t="shared" si="141"/>
        <v>6</v>
      </c>
      <c r="O381">
        <f t="shared" si="141"/>
        <v>0</v>
      </c>
      <c r="P381">
        <f t="shared" si="142"/>
        <v>1</v>
      </c>
      <c r="Q381">
        <f t="shared" si="142"/>
        <v>3</v>
      </c>
      <c r="R381">
        <f t="shared" si="142"/>
        <v>4</v>
      </c>
      <c r="S381">
        <f t="shared" si="142"/>
        <v>7</v>
      </c>
      <c r="T381">
        <f t="shared" si="142"/>
        <v>6</v>
      </c>
      <c r="U381">
        <f t="shared" si="142"/>
        <v>3</v>
      </c>
      <c r="V381">
        <f t="shared" si="142"/>
        <v>0</v>
      </c>
      <c r="W381">
        <f t="shared" si="142"/>
        <v>6</v>
      </c>
      <c r="X381">
        <f t="shared" si="142"/>
        <v>3</v>
      </c>
      <c r="Y381">
        <f t="shared" si="142"/>
        <v>4</v>
      </c>
      <c r="Z381">
        <f t="shared" si="143"/>
        <v>1</v>
      </c>
      <c r="AA381">
        <f t="shared" si="143"/>
        <v>0</v>
      </c>
      <c r="AB381">
        <f t="shared" si="143"/>
        <v>0</v>
      </c>
      <c r="AC381">
        <f t="shared" si="143"/>
        <v>1</v>
      </c>
      <c r="AD381">
        <f t="shared" si="143"/>
        <v>1</v>
      </c>
      <c r="AE381">
        <f t="shared" si="143"/>
        <v>0</v>
      </c>
      <c r="AF381" s="56">
        <f t="shared" si="126"/>
        <v>20</v>
      </c>
      <c r="AG381" s="59">
        <f t="shared" si="127"/>
        <v>7.1818181818181817</v>
      </c>
      <c r="AH381">
        <f t="shared" si="128"/>
        <v>0.35909090909090907</v>
      </c>
    </row>
    <row r="382" spans="1:34" ht="15" x14ac:dyDescent="0.2">
      <c r="A382">
        <v>80</v>
      </c>
      <c r="B382" s="57" t="s">
        <v>145</v>
      </c>
      <c r="C382" s="57"/>
      <c r="D382">
        <f t="shared" si="121"/>
        <v>79</v>
      </c>
      <c r="E382" s="1">
        <f t="shared" si="122"/>
        <v>15</v>
      </c>
      <c r="F382">
        <f t="shared" ref="F382:O391" si="144">LEN($B382)-LEN(SUBSTITUTE($B382,F$1,""))</f>
        <v>4</v>
      </c>
      <c r="G382">
        <f t="shared" si="144"/>
        <v>1</v>
      </c>
      <c r="H382">
        <f t="shared" si="144"/>
        <v>0</v>
      </c>
      <c r="I382">
        <f t="shared" si="144"/>
        <v>0</v>
      </c>
      <c r="J382">
        <f t="shared" si="144"/>
        <v>6</v>
      </c>
      <c r="K382">
        <f t="shared" si="144"/>
        <v>1</v>
      </c>
      <c r="L382">
        <f t="shared" si="144"/>
        <v>1</v>
      </c>
      <c r="M382">
        <f t="shared" si="144"/>
        <v>5</v>
      </c>
      <c r="N382">
        <f t="shared" si="144"/>
        <v>4</v>
      </c>
      <c r="O382">
        <f t="shared" si="144"/>
        <v>1</v>
      </c>
      <c r="P382">
        <f t="shared" ref="P382:Y391" si="145">LEN($B382)-LEN(SUBSTITUTE($B382,P$1,""))</f>
        <v>1</v>
      </c>
      <c r="Q382">
        <f t="shared" si="145"/>
        <v>4</v>
      </c>
      <c r="R382">
        <f t="shared" si="145"/>
        <v>1</v>
      </c>
      <c r="S382">
        <f t="shared" si="145"/>
        <v>7</v>
      </c>
      <c r="T382">
        <f t="shared" si="145"/>
        <v>6</v>
      </c>
      <c r="U382">
        <f t="shared" si="145"/>
        <v>3</v>
      </c>
      <c r="V382">
        <f t="shared" si="145"/>
        <v>0</v>
      </c>
      <c r="W382">
        <f t="shared" si="145"/>
        <v>2</v>
      </c>
      <c r="X382">
        <f t="shared" si="145"/>
        <v>4</v>
      </c>
      <c r="Y382">
        <f t="shared" si="145"/>
        <v>3</v>
      </c>
      <c r="Z382">
        <f t="shared" ref="Z382:AE391" si="146">LEN($B382)-LEN(SUBSTITUTE($B382,Z$1,""))</f>
        <v>3</v>
      </c>
      <c r="AA382">
        <f t="shared" si="146"/>
        <v>0</v>
      </c>
      <c r="AB382">
        <f t="shared" si="146"/>
        <v>2</v>
      </c>
      <c r="AC382">
        <f t="shared" si="146"/>
        <v>0</v>
      </c>
      <c r="AD382">
        <f t="shared" si="146"/>
        <v>3</v>
      </c>
      <c r="AE382">
        <f t="shared" si="146"/>
        <v>0</v>
      </c>
      <c r="AF382" s="56">
        <f t="shared" si="126"/>
        <v>20</v>
      </c>
      <c r="AG382" s="59">
        <f t="shared" si="127"/>
        <v>5.2666666666666666</v>
      </c>
      <c r="AH382">
        <f t="shared" si="128"/>
        <v>0.26333333333333331</v>
      </c>
    </row>
    <row r="383" spans="1:34" ht="15" x14ac:dyDescent="0.2">
      <c r="A383">
        <v>63</v>
      </c>
      <c r="B383" s="57" t="s">
        <v>128</v>
      </c>
      <c r="C383" s="57"/>
      <c r="D383">
        <f t="shared" si="121"/>
        <v>79</v>
      </c>
      <c r="E383" s="1">
        <f t="shared" si="122"/>
        <v>14</v>
      </c>
      <c r="F383">
        <f t="shared" si="144"/>
        <v>5</v>
      </c>
      <c r="G383">
        <f t="shared" si="144"/>
        <v>2</v>
      </c>
      <c r="H383">
        <f t="shared" si="144"/>
        <v>2</v>
      </c>
      <c r="I383">
        <f t="shared" si="144"/>
        <v>1</v>
      </c>
      <c r="J383">
        <f t="shared" si="144"/>
        <v>4</v>
      </c>
      <c r="K383">
        <f t="shared" si="144"/>
        <v>2</v>
      </c>
      <c r="L383">
        <f t="shared" si="144"/>
        <v>3</v>
      </c>
      <c r="M383">
        <f t="shared" si="144"/>
        <v>1</v>
      </c>
      <c r="N383">
        <f t="shared" si="144"/>
        <v>4</v>
      </c>
      <c r="O383">
        <f t="shared" si="144"/>
        <v>0</v>
      </c>
      <c r="P383">
        <f t="shared" si="145"/>
        <v>1</v>
      </c>
      <c r="Q383">
        <f t="shared" si="145"/>
        <v>1</v>
      </c>
      <c r="R383">
        <f t="shared" si="145"/>
        <v>3</v>
      </c>
      <c r="S383">
        <f t="shared" si="145"/>
        <v>4</v>
      </c>
      <c r="T383">
        <f t="shared" si="145"/>
        <v>8</v>
      </c>
      <c r="U383">
        <f t="shared" si="145"/>
        <v>2</v>
      </c>
      <c r="V383">
        <f t="shared" si="145"/>
        <v>0</v>
      </c>
      <c r="W383">
        <f t="shared" si="145"/>
        <v>3</v>
      </c>
      <c r="X383">
        <f t="shared" si="145"/>
        <v>4</v>
      </c>
      <c r="Y383">
        <f t="shared" si="145"/>
        <v>5</v>
      </c>
      <c r="Z383">
        <f t="shared" si="146"/>
        <v>4</v>
      </c>
      <c r="AA383">
        <f t="shared" si="146"/>
        <v>0</v>
      </c>
      <c r="AB383">
        <f t="shared" si="146"/>
        <v>0</v>
      </c>
      <c r="AC383">
        <f t="shared" si="146"/>
        <v>0</v>
      </c>
      <c r="AD383">
        <f t="shared" si="146"/>
        <v>5</v>
      </c>
      <c r="AE383">
        <f t="shared" si="146"/>
        <v>0</v>
      </c>
      <c r="AF383" s="56">
        <f t="shared" si="126"/>
        <v>20</v>
      </c>
      <c r="AG383" s="59">
        <f t="shared" si="127"/>
        <v>5.6428571428571432</v>
      </c>
      <c r="AH383">
        <f t="shared" si="128"/>
        <v>0.28214285714285714</v>
      </c>
    </row>
    <row r="384" spans="1:34" ht="15" x14ac:dyDescent="0.2">
      <c r="A384">
        <v>119</v>
      </c>
      <c r="B384" s="57" t="s">
        <v>184</v>
      </c>
      <c r="C384" s="57"/>
      <c r="D384">
        <f t="shared" si="121"/>
        <v>78</v>
      </c>
      <c r="E384" s="1">
        <f t="shared" si="122"/>
        <v>15</v>
      </c>
      <c r="F384">
        <f t="shared" si="144"/>
        <v>5</v>
      </c>
      <c r="G384">
        <f t="shared" si="144"/>
        <v>0</v>
      </c>
      <c r="H384">
        <f t="shared" si="144"/>
        <v>1</v>
      </c>
      <c r="I384">
        <f t="shared" si="144"/>
        <v>4</v>
      </c>
      <c r="J384">
        <f t="shared" si="144"/>
        <v>4</v>
      </c>
      <c r="K384">
        <f t="shared" si="144"/>
        <v>0</v>
      </c>
      <c r="L384">
        <f t="shared" si="144"/>
        <v>2</v>
      </c>
      <c r="M384">
        <f t="shared" si="144"/>
        <v>2</v>
      </c>
      <c r="N384">
        <f t="shared" si="144"/>
        <v>8</v>
      </c>
      <c r="O384">
        <f t="shared" si="144"/>
        <v>0</v>
      </c>
      <c r="P384">
        <f t="shared" si="145"/>
        <v>0</v>
      </c>
      <c r="Q384">
        <f t="shared" si="145"/>
        <v>3</v>
      </c>
      <c r="R384">
        <f t="shared" si="145"/>
        <v>1</v>
      </c>
      <c r="S384">
        <f t="shared" si="145"/>
        <v>12</v>
      </c>
      <c r="T384">
        <f t="shared" si="145"/>
        <v>6</v>
      </c>
      <c r="U384">
        <f t="shared" si="145"/>
        <v>1</v>
      </c>
      <c r="V384">
        <f t="shared" si="145"/>
        <v>0</v>
      </c>
      <c r="W384">
        <f t="shared" si="145"/>
        <v>1</v>
      </c>
      <c r="X384">
        <f t="shared" si="145"/>
        <v>3</v>
      </c>
      <c r="Y384">
        <f t="shared" si="145"/>
        <v>4</v>
      </c>
      <c r="Z384">
        <f t="shared" si="146"/>
        <v>0</v>
      </c>
      <c r="AA384">
        <f t="shared" si="146"/>
        <v>0</v>
      </c>
      <c r="AB384">
        <f t="shared" si="146"/>
        <v>2</v>
      </c>
      <c r="AC384">
        <f t="shared" si="146"/>
        <v>0</v>
      </c>
      <c r="AD384">
        <f t="shared" si="146"/>
        <v>3</v>
      </c>
      <c r="AE384">
        <f t="shared" si="146"/>
        <v>0</v>
      </c>
      <c r="AF384" s="56">
        <f t="shared" si="126"/>
        <v>17</v>
      </c>
      <c r="AG384" s="59">
        <f t="shared" si="127"/>
        <v>5.2</v>
      </c>
      <c r="AH384">
        <f t="shared" si="128"/>
        <v>0.30588235294117649</v>
      </c>
    </row>
    <row r="385" spans="1:34" ht="15" x14ac:dyDescent="0.2">
      <c r="A385">
        <v>229</v>
      </c>
      <c r="B385" s="57" t="s">
        <v>292</v>
      </c>
      <c r="C385" s="57"/>
      <c r="D385">
        <f t="shared" si="121"/>
        <v>78</v>
      </c>
      <c r="E385" s="1">
        <f t="shared" si="122"/>
        <v>13</v>
      </c>
      <c r="F385">
        <f t="shared" si="144"/>
        <v>7</v>
      </c>
      <c r="G385">
        <f t="shared" si="144"/>
        <v>1</v>
      </c>
      <c r="H385">
        <f t="shared" si="144"/>
        <v>0</v>
      </c>
      <c r="I385">
        <f t="shared" si="144"/>
        <v>1</v>
      </c>
      <c r="J385">
        <f t="shared" si="144"/>
        <v>3</v>
      </c>
      <c r="K385">
        <f t="shared" si="144"/>
        <v>2</v>
      </c>
      <c r="L385">
        <f t="shared" si="144"/>
        <v>1</v>
      </c>
      <c r="M385">
        <f t="shared" si="144"/>
        <v>1</v>
      </c>
      <c r="N385">
        <f t="shared" si="144"/>
        <v>7</v>
      </c>
      <c r="O385">
        <f t="shared" si="144"/>
        <v>0</v>
      </c>
      <c r="P385">
        <f t="shared" si="145"/>
        <v>1</v>
      </c>
      <c r="Q385">
        <f t="shared" si="145"/>
        <v>0</v>
      </c>
      <c r="R385">
        <f t="shared" si="145"/>
        <v>3</v>
      </c>
      <c r="S385">
        <f t="shared" si="145"/>
        <v>7</v>
      </c>
      <c r="T385">
        <f t="shared" si="145"/>
        <v>4</v>
      </c>
      <c r="U385">
        <f t="shared" si="145"/>
        <v>0</v>
      </c>
      <c r="V385">
        <f t="shared" si="145"/>
        <v>0</v>
      </c>
      <c r="W385">
        <f t="shared" si="145"/>
        <v>4</v>
      </c>
      <c r="X385">
        <f t="shared" si="145"/>
        <v>9</v>
      </c>
      <c r="Y385">
        <f t="shared" si="145"/>
        <v>6</v>
      </c>
      <c r="Z385">
        <f t="shared" si="146"/>
        <v>3</v>
      </c>
      <c r="AA385">
        <f t="shared" si="146"/>
        <v>0</v>
      </c>
      <c r="AB385">
        <f t="shared" si="146"/>
        <v>2</v>
      </c>
      <c r="AC385">
        <f t="shared" si="146"/>
        <v>0</v>
      </c>
      <c r="AD385">
        <f t="shared" si="146"/>
        <v>1</v>
      </c>
      <c r="AE385">
        <f t="shared" si="146"/>
        <v>0</v>
      </c>
      <c r="AF385" s="56">
        <f t="shared" si="126"/>
        <v>18</v>
      </c>
      <c r="AG385" s="59">
        <f t="shared" si="127"/>
        <v>6</v>
      </c>
      <c r="AH385">
        <f t="shared" si="128"/>
        <v>0.33333333333333331</v>
      </c>
    </row>
    <row r="386" spans="1:34" ht="15" x14ac:dyDescent="0.2">
      <c r="A386">
        <v>35</v>
      </c>
      <c r="B386" s="57" t="s">
        <v>100</v>
      </c>
      <c r="C386" s="57"/>
      <c r="D386">
        <f t="shared" ref="D386:D449" si="147">LEN(B386)</f>
        <v>78</v>
      </c>
      <c r="E386" s="1">
        <f t="shared" ref="E386:E449" si="148">IF(LEN(TRIM(B386))=0,0,LEN(TRIM(B386))-LEN(SUBSTITUTE(B386," ",""))+1)</f>
        <v>14</v>
      </c>
      <c r="F386">
        <f t="shared" si="144"/>
        <v>4</v>
      </c>
      <c r="G386">
        <f t="shared" si="144"/>
        <v>1</v>
      </c>
      <c r="H386">
        <f t="shared" si="144"/>
        <v>2</v>
      </c>
      <c r="I386">
        <f t="shared" si="144"/>
        <v>3</v>
      </c>
      <c r="J386">
        <f t="shared" si="144"/>
        <v>4</v>
      </c>
      <c r="K386">
        <f t="shared" si="144"/>
        <v>2</v>
      </c>
      <c r="L386">
        <f t="shared" si="144"/>
        <v>7</v>
      </c>
      <c r="M386">
        <f t="shared" si="144"/>
        <v>2</v>
      </c>
      <c r="N386">
        <f t="shared" si="144"/>
        <v>8</v>
      </c>
      <c r="O386">
        <f t="shared" si="144"/>
        <v>0</v>
      </c>
      <c r="P386">
        <f t="shared" si="145"/>
        <v>2</v>
      </c>
      <c r="Q386">
        <f t="shared" si="145"/>
        <v>3</v>
      </c>
      <c r="R386">
        <f t="shared" si="145"/>
        <v>1</v>
      </c>
      <c r="S386">
        <f t="shared" si="145"/>
        <v>2</v>
      </c>
      <c r="T386">
        <f t="shared" si="145"/>
        <v>8</v>
      </c>
      <c r="U386">
        <f t="shared" si="145"/>
        <v>1</v>
      </c>
      <c r="V386">
        <f t="shared" si="145"/>
        <v>0</v>
      </c>
      <c r="W386">
        <f t="shared" si="145"/>
        <v>3</v>
      </c>
      <c r="X386">
        <f t="shared" si="145"/>
        <v>3</v>
      </c>
      <c r="Y386">
        <f t="shared" si="145"/>
        <v>3</v>
      </c>
      <c r="Z386">
        <f t="shared" si="146"/>
        <v>0</v>
      </c>
      <c r="AA386">
        <f t="shared" si="146"/>
        <v>0</v>
      </c>
      <c r="AB386">
        <f t="shared" si="146"/>
        <v>1</v>
      </c>
      <c r="AC386">
        <f t="shared" si="146"/>
        <v>0</v>
      </c>
      <c r="AD386">
        <f t="shared" si="146"/>
        <v>2</v>
      </c>
      <c r="AE386">
        <f t="shared" si="146"/>
        <v>0</v>
      </c>
      <c r="AF386" s="56">
        <f t="shared" ref="AF386:AF449" si="149">26-COUNTIF(F386:AE386,0)</f>
        <v>20</v>
      </c>
      <c r="AG386" s="59">
        <f t="shared" ref="AG386:AG449" si="150">D386/E386</f>
        <v>5.5714285714285712</v>
      </c>
      <c r="AH386">
        <f t="shared" ref="AH386:AH449" si="151">AG386/AF386</f>
        <v>0.27857142857142858</v>
      </c>
    </row>
    <row r="387" spans="1:34" ht="15" x14ac:dyDescent="0.2">
      <c r="A387">
        <v>242</v>
      </c>
      <c r="B387" s="57" t="s">
        <v>305</v>
      </c>
      <c r="C387" s="57"/>
      <c r="D387">
        <f t="shared" si="147"/>
        <v>78</v>
      </c>
      <c r="E387" s="1">
        <f t="shared" si="148"/>
        <v>15</v>
      </c>
      <c r="F387">
        <f t="shared" si="144"/>
        <v>3</v>
      </c>
      <c r="G387">
        <f t="shared" si="144"/>
        <v>0</v>
      </c>
      <c r="H387">
        <f t="shared" si="144"/>
        <v>2</v>
      </c>
      <c r="I387">
        <f t="shared" si="144"/>
        <v>1</v>
      </c>
      <c r="J387">
        <f t="shared" si="144"/>
        <v>7</v>
      </c>
      <c r="K387">
        <f t="shared" si="144"/>
        <v>1</v>
      </c>
      <c r="L387">
        <f t="shared" si="144"/>
        <v>1</v>
      </c>
      <c r="M387">
        <f t="shared" si="144"/>
        <v>5</v>
      </c>
      <c r="N387">
        <f t="shared" si="144"/>
        <v>5</v>
      </c>
      <c r="O387">
        <f t="shared" si="144"/>
        <v>0</v>
      </c>
      <c r="P387">
        <f t="shared" si="145"/>
        <v>1</v>
      </c>
      <c r="Q387">
        <f t="shared" si="145"/>
        <v>2</v>
      </c>
      <c r="R387">
        <f t="shared" si="145"/>
        <v>3</v>
      </c>
      <c r="S387">
        <f t="shared" si="145"/>
        <v>2</v>
      </c>
      <c r="T387">
        <f t="shared" si="145"/>
        <v>6</v>
      </c>
      <c r="U387">
        <f t="shared" si="145"/>
        <v>2</v>
      </c>
      <c r="V387">
        <f t="shared" si="145"/>
        <v>0</v>
      </c>
      <c r="W387">
        <f t="shared" si="145"/>
        <v>5</v>
      </c>
      <c r="X387">
        <f t="shared" si="145"/>
        <v>3</v>
      </c>
      <c r="Y387">
        <f t="shared" si="145"/>
        <v>4</v>
      </c>
      <c r="Z387">
        <f t="shared" si="146"/>
        <v>2</v>
      </c>
      <c r="AA387">
        <f t="shared" si="146"/>
        <v>1</v>
      </c>
      <c r="AB387">
        <f t="shared" si="146"/>
        <v>0</v>
      </c>
      <c r="AC387">
        <f t="shared" si="146"/>
        <v>1</v>
      </c>
      <c r="AD387">
        <f t="shared" si="146"/>
        <v>2</v>
      </c>
      <c r="AE387">
        <f t="shared" si="146"/>
        <v>0</v>
      </c>
      <c r="AF387" s="56">
        <f t="shared" si="149"/>
        <v>21</v>
      </c>
      <c r="AG387" s="59">
        <f t="shared" si="150"/>
        <v>5.2</v>
      </c>
      <c r="AH387">
        <f t="shared" si="151"/>
        <v>0.24761904761904763</v>
      </c>
    </row>
    <row r="388" spans="1:34" ht="15" x14ac:dyDescent="0.2">
      <c r="A388">
        <v>156</v>
      </c>
      <c r="B388" s="57" t="s">
        <v>221</v>
      </c>
      <c r="C388" s="57"/>
      <c r="D388">
        <f t="shared" si="147"/>
        <v>78</v>
      </c>
      <c r="E388" s="1">
        <f t="shared" si="148"/>
        <v>13</v>
      </c>
      <c r="F388">
        <f t="shared" si="144"/>
        <v>2</v>
      </c>
      <c r="G388">
        <f t="shared" si="144"/>
        <v>1</v>
      </c>
      <c r="H388">
        <f t="shared" si="144"/>
        <v>3</v>
      </c>
      <c r="I388">
        <f t="shared" si="144"/>
        <v>1</v>
      </c>
      <c r="J388">
        <f t="shared" si="144"/>
        <v>9</v>
      </c>
      <c r="K388">
        <f t="shared" si="144"/>
        <v>3</v>
      </c>
      <c r="L388">
        <f t="shared" si="144"/>
        <v>1</v>
      </c>
      <c r="M388">
        <f t="shared" si="144"/>
        <v>3</v>
      </c>
      <c r="N388">
        <f t="shared" si="144"/>
        <v>2</v>
      </c>
      <c r="O388">
        <f t="shared" si="144"/>
        <v>0</v>
      </c>
      <c r="P388">
        <f t="shared" si="145"/>
        <v>0</v>
      </c>
      <c r="Q388">
        <f t="shared" si="145"/>
        <v>3</v>
      </c>
      <c r="R388">
        <f t="shared" si="145"/>
        <v>3</v>
      </c>
      <c r="S388">
        <f t="shared" si="145"/>
        <v>2</v>
      </c>
      <c r="T388">
        <f t="shared" si="145"/>
        <v>8</v>
      </c>
      <c r="U388">
        <f t="shared" si="145"/>
        <v>2</v>
      </c>
      <c r="V388">
        <f t="shared" si="145"/>
        <v>0</v>
      </c>
      <c r="W388">
        <f t="shared" si="145"/>
        <v>6</v>
      </c>
      <c r="X388">
        <f t="shared" si="145"/>
        <v>5</v>
      </c>
      <c r="Y388">
        <f t="shared" si="145"/>
        <v>6</v>
      </c>
      <c r="Z388">
        <f t="shared" si="146"/>
        <v>0</v>
      </c>
      <c r="AA388">
        <f t="shared" si="146"/>
        <v>1</v>
      </c>
      <c r="AB388">
        <f t="shared" si="146"/>
        <v>1</v>
      </c>
      <c r="AC388">
        <f t="shared" si="146"/>
        <v>1</v>
      </c>
      <c r="AD388">
        <f t="shared" si="146"/>
        <v>1</v>
      </c>
      <c r="AE388">
        <f t="shared" si="146"/>
        <v>0</v>
      </c>
      <c r="AF388" s="56">
        <f t="shared" si="149"/>
        <v>21</v>
      </c>
      <c r="AG388" s="59">
        <f t="shared" si="150"/>
        <v>6</v>
      </c>
      <c r="AH388">
        <f t="shared" si="151"/>
        <v>0.2857142857142857</v>
      </c>
    </row>
    <row r="389" spans="1:34" ht="15" x14ac:dyDescent="0.2">
      <c r="A389">
        <v>262</v>
      </c>
      <c r="B389" s="57" t="s">
        <v>324</v>
      </c>
      <c r="C389" s="57"/>
      <c r="D389">
        <f t="shared" si="147"/>
        <v>77</v>
      </c>
      <c r="E389" s="1">
        <f t="shared" si="148"/>
        <v>13</v>
      </c>
      <c r="F389">
        <f t="shared" si="144"/>
        <v>6</v>
      </c>
      <c r="G389">
        <f t="shared" si="144"/>
        <v>1</v>
      </c>
      <c r="H389">
        <f t="shared" si="144"/>
        <v>1</v>
      </c>
      <c r="I389">
        <f t="shared" si="144"/>
        <v>0</v>
      </c>
      <c r="J389">
        <f t="shared" si="144"/>
        <v>6</v>
      </c>
      <c r="K389">
        <f t="shared" si="144"/>
        <v>0</v>
      </c>
      <c r="L389">
        <f t="shared" si="144"/>
        <v>0</v>
      </c>
      <c r="M389">
        <f t="shared" si="144"/>
        <v>6</v>
      </c>
      <c r="N389">
        <f t="shared" si="144"/>
        <v>0</v>
      </c>
      <c r="O389">
        <f t="shared" si="144"/>
        <v>0</v>
      </c>
      <c r="P389">
        <f t="shared" si="145"/>
        <v>1</v>
      </c>
      <c r="Q389">
        <f t="shared" si="145"/>
        <v>3</v>
      </c>
      <c r="R389">
        <f t="shared" si="145"/>
        <v>1</v>
      </c>
      <c r="S389">
        <f t="shared" si="145"/>
        <v>3</v>
      </c>
      <c r="T389">
        <f t="shared" si="145"/>
        <v>4</v>
      </c>
      <c r="U389">
        <f t="shared" si="145"/>
        <v>0</v>
      </c>
      <c r="V389">
        <f t="shared" si="145"/>
        <v>0</v>
      </c>
      <c r="W389">
        <f t="shared" si="145"/>
        <v>8</v>
      </c>
      <c r="X389">
        <f t="shared" si="145"/>
        <v>3</v>
      </c>
      <c r="Y389">
        <f t="shared" si="145"/>
        <v>6</v>
      </c>
      <c r="Z389">
        <f t="shared" si="146"/>
        <v>0</v>
      </c>
      <c r="AA389">
        <f t="shared" si="146"/>
        <v>0</v>
      </c>
      <c r="AB389">
        <f t="shared" si="146"/>
        <v>4</v>
      </c>
      <c r="AC389">
        <f t="shared" si="146"/>
        <v>0</v>
      </c>
      <c r="AD389">
        <f t="shared" si="146"/>
        <v>0</v>
      </c>
      <c r="AE389">
        <f t="shared" si="146"/>
        <v>0</v>
      </c>
      <c r="AF389" s="56">
        <f t="shared" si="149"/>
        <v>14</v>
      </c>
      <c r="AG389" s="59">
        <f t="shared" si="150"/>
        <v>5.9230769230769234</v>
      </c>
      <c r="AH389">
        <f t="shared" si="151"/>
        <v>0.42307692307692307</v>
      </c>
    </row>
    <row r="390" spans="1:34" ht="15" x14ac:dyDescent="0.2">
      <c r="A390">
        <v>108</v>
      </c>
      <c r="B390" s="57" t="s">
        <v>173</v>
      </c>
      <c r="C390" s="57"/>
      <c r="D390">
        <f t="shared" si="147"/>
        <v>77</v>
      </c>
      <c r="E390" s="1">
        <f t="shared" si="148"/>
        <v>14</v>
      </c>
      <c r="F390">
        <f t="shared" si="144"/>
        <v>7</v>
      </c>
      <c r="G390">
        <f t="shared" si="144"/>
        <v>0</v>
      </c>
      <c r="H390">
        <f t="shared" si="144"/>
        <v>1</v>
      </c>
      <c r="I390">
        <f t="shared" si="144"/>
        <v>1</v>
      </c>
      <c r="J390">
        <f t="shared" si="144"/>
        <v>7</v>
      </c>
      <c r="K390">
        <f t="shared" si="144"/>
        <v>2</v>
      </c>
      <c r="L390">
        <f t="shared" si="144"/>
        <v>1</v>
      </c>
      <c r="M390">
        <f t="shared" si="144"/>
        <v>1</v>
      </c>
      <c r="N390">
        <f t="shared" si="144"/>
        <v>5</v>
      </c>
      <c r="O390">
        <f t="shared" si="144"/>
        <v>0</v>
      </c>
      <c r="P390">
        <f t="shared" si="145"/>
        <v>0</v>
      </c>
      <c r="Q390">
        <f t="shared" si="145"/>
        <v>3</v>
      </c>
      <c r="R390">
        <f t="shared" si="145"/>
        <v>4</v>
      </c>
      <c r="S390">
        <f t="shared" si="145"/>
        <v>3</v>
      </c>
      <c r="T390">
        <f t="shared" si="145"/>
        <v>6</v>
      </c>
      <c r="U390">
        <f t="shared" si="145"/>
        <v>2</v>
      </c>
      <c r="V390">
        <f t="shared" si="145"/>
        <v>0</v>
      </c>
      <c r="W390">
        <f t="shared" si="145"/>
        <v>6</v>
      </c>
      <c r="X390">
        <f t="shared" si="145"/>
        <v>8</v>
      </c>
      <c r="Y390">
        <f t="shared" si="145"/>
        <v>4</v>
      </c>
      <c r="Z390">
        <f t="shared" si="146"/>
        <v>0</v>
      </c>
      <c r="AA390">
        <f t="shared" si="146"/>
        <v>0</v>
      </c>
      <c r="AB390">
        <f t="shared" si="146"/>
        <v>0</v>
      </c>
      <c r="AC390">
        <f t="shared" si="146"/>
        <v>0</v>
      </c>
      <c r="AD390">
        <f t="shared" si="146"/>
        <v>1</v>
      </c>
      <c r="AE390">
        <f t="shared" si="146"/>
        <v>0</v>
      </c>
      <c r="AF390" s="56">
        <f t="shared" si="149"/>
        <v>17</v>
      </c>
      <c r="AG390" s="59">
        <f t="shared" si="150"/>
        <v>5.5</v>
      </c>
      <c r="AH390">
        <f t="shared" si="151"/>
        <v>0.3235294117647059</v>
      </c>
    </row>
    <row r="391" spans="1:34" ht="15" x14ac:dyDescent="0.2">
      <c r="A391">
        <v>433</v>
      </c>
      <c r="B391" s="57" t="s">
        <v>478</v>
      </c>
      <c r="C391" s="57"/>
      <c r="D391">
        <f t="shared" si="147"/>
        <v>77</v>
      </c>
      <c r="E391" s="1">
        <f t="shared" si="148"/>
        <v>12</v>
      </c>
      <c r="F391">
        <f t="shared" si="144"/>
        <v>2</v>
      </c>
      <c r="G391">
        <f t="shared" si="144"/>
        <v>1</v>
      </c>
      <c r="H391">
        <f t="shared" si="144"/>
        <v>0</v>
      </c>
      <c r="I391">
        <f t="shared" si="144"/>
        <v>3</v>
      </c>
      <c r="J391">
        <f t="shared" si="144"/>
        <v>7</v>
      </c>
      <c r="K391">
        <f t="shared" si="144"/>
        <v>1</v>
      </c>
      <c r="L391">
        <f t="shared" si="144"/>
        <v>0</v>
      </c>
      <c r="M391">
        <f t="shared" si="144"/>
        <v>2</v>
      </c>
      <c r="N391">
        <f t="shared" si="144"/>
        <v>4</v>
      </c>
      <c r="O391">
        <f t="shared" si="144"/>
        <v>0</v>
      </c>
      <c r="P391">
        <f t="shared" si="145"/>
        <v>1</v>
      </c>
      <c r="Q391">
        <f t="shared" si="145"/>
        <v>2</v>
      </c>
      <c r="R391">
        <f t="shared" si="145"/>
        <v>2</v>
      </c>
      <c r="S391">
        <f t="shared" si="145"/>
        <v>5</v>
      </c>
      <c r="T391">
        <f t="shared" si="145"/>
        <v>6</v>
      </c>
      <c r="U391">
        <f t="shared" si="145"/>
        <v>0</v>
      </c>
      <c r="V391">
        <f t="shared" si="145"/>
        <v>0</v>
      </c>
      <c r="W391">
        <f t="shared" si="145"/>
        <v>8</v>
      </c>
      <c r="X391">
        <f t="shared" si="145"/>
        <v>6</v>
      </c>
      <c r="Y391">
        <f t="shared" si="145"/>
        <v>6</v>
      </c>
      <c r="Z391">
        <f t="shared" si="146"/>
        <v>3</v>
      </c>
      <c r="AA391">
        <f t="shared" si="146"/>
        <v>0</v>
      </c>
      <c r="AB391">
        <f t="shared" si="146"/>
        <v>1</v>
      </c>
      <c r="AC391">
        <f t="shared" si="146"/>
        <v>0</v>
      </c>
      <c r="AD391">
        <f t="shared" si="146"/>
        <v>2</v>
      </c>
      <c r="AE391">
        <f t="shared" si="146"/>
        <v>0</v>
      </c>
      <c r="AF391" s="56">
        <f t="shared" si="149"/>
        <v>18</v>
      </c>
      <c r="AG391" s="59">
        <f t="shared" si="150"/>
        <v>6.416666666666667</v>
      </c>
      <c r="AH391">
        <f t="shared" si="151"/>
        <v>0.35648148148148151</v>
      </c>
    </row>
    <row r="392" spans="1:34" ht="15" x14ac:dyDescent="0.2">
      <c r="A392">
        <v>200</v>
      </c>
      <c r="B392" s="57" t="s">
        <v>264</v>
      </c>
      <c r="C392" s="57"/>
      <c r="D392">
        <f t="shared" si="147"/>
        <v>77</v>
      </c>
      <c r="E392" s="1">
        <f t="shared" si="148"/>
        <v>12</v>
      </c>
      <c r="F392">
        <f t="shared" ref="F392:O401" si="152">LEN($B392)-LEN(SUBSTITUTE($B392,F$1,""))</f>
        <v>3</v>
      </c>
      <c r="G392">
        <f t="shared" si="152"/>
        <v>2</v>
      </c>
      <c r="H392">
        <f t="shared" si="152"/>
        <v>4</v>
      </c>
      <c r="I392">
        <f t="shared" si="152"/>
        <v>2</v>
      </c>
      <c r="J392">
        <f t="shared" si="152"/>
        <v>9</v>
      </c>
      <c r="K392">
        <f t="shared" si="152"/>
        <v>2</v>
      </c>
      <c r="L392">
        <f t="shared" si="152"/>
        <v>2</v>
      </c>
      <c r="M392">
        <f t="shared" si="152"/>
        <v>2</v>
      </c>
      <c r="N392">
        <f t="shared" si="152"/>
        <v>8</v>
      </c>
      <c r="O392">
        <f t="shared" si="152"/>
        <v>0</v>
      </c>
      <c r="P392">
        <f t="shared" ref="P392:Y401" si="153">LEN($B392)-LEN(SUBSTITUTE($B392,P$1,""))</f>
        <v>0</v>
      </c>
      <c r="Q392">
        <f t="shared" si="153"/>
        <v>6</v>
      </c>
      <c r="R392">
        <f t="shared" si="153"/>
        <v>0</v>
      </c>
      <c r="S392">
        <f t="shared" si="153"/>
        <v>4</v>
      </c>
      <c r="T392">
        <f t="shared" si="153"/>
        <v>2</v>
      </c>
      <c r="U392">
        <f t="shared" si="153"/>
        <v>0</v>
      </c>
      <c r="V392">
        <f t="shared" si="153"/>
        <v>0</v>
      </c>
      <c r="W392">
        <f t="shared" si="153"/>
        <v>3</v>
      </c>
      <c r="X392">
        <f t="shared" si="153"/>
        <v>1</v>
      </c>
      <c r="Y392">
        <f t="shared" si="153"/>
        <v>7</v>
      </c>
      <c r="Z392">
        <f t="shared" ref="Z392:AE401" si="154">LEN($B392)-LEN(SUBSTITUTE($B392,Z$1,""))</f>
        <v>0</v>
      </c>
      <c r="AA392">
        <f t="shared" si="154"/>
        <v>1</v>
      </c>
      <c r="AB392">
        <f t="shared" si="154"/>
        <v>3</v>
      </c>
      <c r="AC392">
        <f t="shared" si="154"/>
        <v>0</v>
      </c>
      <c r="AD392">
        <f t="shared" si="154"/>
        <v>2</v>
      </c>
      <c r="AE392">
        <f t="shared" si="154"/>
        <v>0</v>
      </c>
      <c r="AF392" s="56">
        <f t="shared" si="149"/>
        <v>18</v>
      </c>
      <c r="AG392" s="59">
        <f t="shared" si="150"/>
        <v>6.416666666666667</v>
      </c>
      <c r="AH392">
        <f t="shared" si="151"/>
        <v>0.35648148148148151</v>
      </c>
    </row>
    <row r="393" spans="1:34" ht="15" x14ac:dyDescent="0.2">
      <c r="A393">
        <v>87</v>
      </c>
      <c r="B393" s="57" t="s">
        <v>152</v>
      </c>
      <c r="C393" s="57"/>
      <c r="D393">
        <f t="shared" si="147"/>
        <v>77</v>
      </c>
      <c r="E393" s="1">
        <f t="shared" si="148"/>
        <v>15</v>
      </c>
      <c r="F393">
        <f t="shared" si="152"/>
        <v>4</v>
      </c>
      <c r="G393">
        <f t="shared" si="152"/>
        <v>2</v>
      </c>
      <c r="H393">
        <f t="shared" si="152"/>
        <v>1</v>
      </c>
      <c r="I393">
        <f t="shared" si="152"/>
        <v>0</v>
      </c>
      <c r="J393">
        <f t="shared" si="152"/>
        <v>3</v>
      </c>
      <c r="K393">
        <f t="shared" si="152"/>
        <v>1</v>
      </c>
      <c r="L393">
        <f t="shared" si="152"/>
        <v>1</v>
      </c>
      <c r="M393">
        <f t="shared" si="152"/>
        <v>3</v>
      </c>
      <c r="N393">
        <f t="shared" si="152"/>
        <v>4</v>
      </c>
      <c r="O393">
        <f t="shared" si="152"/>
        <v>0</v>
      </c>
      <c r="P393">
        <f t="shared" si="153"/>
        <v>0</v>
      </c>
      <c r="Q393">
        <f t="shared" si="153"/>
        <v>3</v>
      </c>
      <c r="R393">
        <f t="shared" si="153"/>
        <v>1</v>
      </c>
      <c r="S393">
        <f t="shared" si="153"/>
        <v>4</v>
      </c>
      <c r="T393">
        <f t="shared" si="153"/>
        <v>8</v>
      </c>
      <c r="U393">
        <f t="shared" si="153"/>
        <v>2</v>
      </c>
      <c r="V393">
        <f t="shared" si="153"/>
        <v>0</v>
      </c>
      <c r="W393">
        <f t="shared" si="153"/>
        <v>3</v>
      </c>
      <c r="X393">
        <f t="shared" si="153"/>
        <v>7</v>
      </c>
      <c r="Y393">
        <f t="shared" si="153"/>
        <v>8</v>
      </c>
      <c r="Z393">
        <f t="shared" si="154"/>
        <v>4</v>
      </c>
      <c r="AA393">
        <f t="shared" si="154"/>
        <v>0</v>
      </c>
      <c r="AB393">
        <f t="shared" si="154"/>
        <v>1</v>
      </c>
      <c r="AC393">
        <f t="shared" si="154"/>
        <v>0</v>
      </c>
      <c r="AD393">
        <f t="shared" si="154"/>
        <v>0</v>
      </c>
      <c r="AE393">
        <f t="shared" si="154"/>
        <v>0</v>
      </c>
      <c r="AF393" s="56">
        <f t="shared" si="149"/>
        <v>18</v>
      </c>
      <c r="AG393" s="59">
        <f t="shared" si="150"/>
        <v>5.1333333333333337</v>
      </c>
      <c r="AH393">
        <f t="shared" si="151"/>
        <v>0.28518518518518521</v>
      </c>
    </row>
    <row r="394" spans="1:34" ht="15" x14ac:dyDescent="0.2">
      <c r="A394">
        <v>538</v>
      </c>
      <c r="B394" s="57" t="s">
        <v>567</v>
      </c>
      <c r="C394" s="57"/>
      <c r="D394">
        <f t="shared" si="147"/>
        <v>77</v>
      </c>
      <c r="E394" s="1">
        <f t="shared" si="148"/>
        <v>13</v>
      </c>
      <c r="F394">
        <f t="shared" si="152"/>
        <v>3</v>
      </c>
      <c r="G394">
        <f t="shared" si="152"/>
        <v>3</v>
      </c>
      <c r="H394">
        <f t="shared" si="152"/>
        <v>1</v>
      </c>
      <c r="I394">
        <f t="shared" si="152"/>
        <v>2</v>
      </c>
      <c r="J394">
        <f t="shared" si="152"/>
        <v>6</v>
      </c>
      <c r="K394">
        <f t="shared" si="152"/>
        <v>0</v>
      </c>
      <c r="L394">
        <f t="shared" si="152"/>
        <v>2</v>
      </c>
      <c r="M394">
        <f t="shared" si="152"/>
        <v>4</v>
      </c>
      <c r="N394">
        <f t="shared" si="152"/>
        <v>5</v>
      </c>
      <c r="O394">
        <f t="shared" si="152"/>
        <v>0</v>
      </c>
      <c r="P394">
        <f t="shared" si="153"/>
        <v>1</v>
      </c>
      <c r="Q394">
        <f t="shared" si="153"/>
        <v>7</v>
      </c>
      <c r="R394">
        <f t="shared" si="153"/>
        <v>3</v>
      </c>
      <c r="S394">
        <f t="shared" si="153"/>
        <v>3</v>
      </c>
      <c r="T394">
        <f t="shared" si="153"/>
        <v>4</v>
      </c>
      <c r="U394">
        <f t="shared" si="153"/>
        <v>4</v>
      </c>
      <c r="V394">
        <f t="shared" si="153"/>
        <v>0</v>
      </c>
      <c r="W394">
        <f t="shared" si="153"/>
        <v>0</v>
      </c>
      <c r="X394">
        <f t="shared" si="153"/>
        <v>8</v>
      </c>
      <c r="Y394">
        <f t="shared" si="153"/>
        <v>2</v>
      </c>
      <c r="Z394">
        <f t="shared" si="154"/>
        <v>2</v>
      </c>
      <c r="AA394">
        <f t="shared" si="154"/>
        <v>0</v>
      </c>
      <c r="AB394">
        <f t="shared" si="154"/>
        <v>0</v>
      </c>
      <c r="AC394">
        <f t="shared" si="154"/>
        <v>1</v>
      </c>
      <c r="AD394">
        <f t="shared" si="154"/>
        <v>1</v>
      </c>
      <c r="AE394">
        <f t="shared" si="154"/>
        <v>0</v>
      </c>
      <c r="AF394" s="56">
        <f t="shared" si="149"/>
        <v>19</v>
      </c>
      <c r="AG394" s="59">
        <f t="shared" si="150"/>
        <v>5.9230769230769234</v>
      </c>
      <c r="AH394">
        <f t="shared" si="151"/>
        <v>0.31174089068825911</v>
      </c>
    </row>
    <row r="395" spans="1:34" ht="15" x14ac:dyDescent="0.2">
      <c r="A395">
        <v>177</v>
      </c>
      <c r="B395" s="57" t="s">
        <v>241</v>
      </c>
      <c r="C395" s="57"/>
      <c r="D395">
        <f t="shared" si="147"/>
        <v>77</v>
      </c>
      <c r="E395" s="1">
        <f t="shared" si="148"/>
        <v>14</v>
      </c>
      <c r="F395">
        <f t="shared" si="152"/>
        <v>7</v>
      </c>
      <c r="G395">
        <f t="shared" si="152"/>
        <v>1</v>
      </c>
      <c r="H395">
        <f t="shared" si="152"/>
        <v>1</v>
      </c>
      <c r="I395">
        <f t="shared" si="152"/>
        <v>2</v>
      </c>
      <c r="J395">
        <f t="shared" si="152"/>
        <v>7</v>
      </c>
      <c r="K395">
        <f t="shared" si="152"/>
        <v>1</v>
      </c>
      <c r="L395">
        <f t="shared" si="152"/>
        <v>4</v>
      </c>
      <c r="M395">
        <f t="shared" si="152"/>
        <v>1</v>
      </c>
      <c r="N395">
        <f t="shared" si="152"/>
        <v>1</v>
      </c>
      <c r="O395">
        <f t="shared" si="152"/>
        <v>0</v>
      </c>
      <c r="P395">
        <f t="shared" si="153"/>
        <v>0</v>
      </c>
      <c r="Q395">
        <f t="shared" si="153"/>
        <v>2</v>
      </c>
      <c r="R395">
        <f t="shared" si="153"/>
        <v>1</v>
      </c>
      <c r="S395">
        <f t="shared" si="153"/>
        <v>5</v>
      </c>
      <c r="T395">
        <f t="shared" si="153"/>
        <v>8</v>
      </c>
      <c r="U395">
        <f t="shared" si="153"/>
        <v>4</v>
      </c>
      <c r="V395">
        <f t="shared" si="153"/>
        <v>0</v>
      </c>
      <c r="W395">
        <f t="shared" si="153"/>
        <v>5</v>
      </c>
      <c r="X395">
        <f t="shared" si="153"/>
        <v>1</v>
      </c>
      <c r="Y395">
        <f t="shared" si="153"/>
        <v>8</v>
      </c>
      <c r="Z395">
        <f t="shared" si="154"/>
        <v>0</v>
      </c>
      <c r="AA395">
        <f t="shared" si="154"/>
        <v>0</v>
      </c>
      <c r="AB395">
        <f t="shared" si="154"/>
        <v>1</v>
      </c>
      <c r="AC395">
        <f t="shared" si="154"/>
        <v>0</v>
      </c>
      <c r="AD395">
        <f t="shared" si="154"/>
        <v>1</v>
      </c>
      <c r="AE395">
        <f t="shared" si="154"/>
        <v>0</v>
      </c>
      <c r="AF395" s="56">
        <f t="shared" si="149"/>
        <v>19</v>
      </c>
      <c r="AG395" s="59">
        <f t="shared" si="150"/>
        <v>5.5</v>
      </c>
      <c r="AH395">
        <f t="shared" si="151"/>
        <v>0.28947368421052633</v>
      </c>
    </row>
    <row r="396" spans="1:34" ht="15" x14ac:dyDescent="0.2">
      <c r="A396">
        <v>258</v>
      </c>
      <c r="B396" s="57" t="s">
        <v>321</v>
      </c>
      <c r="C396" s="57"/>
      <c r="D396">
        <f t="shared" si="147"/>
        <v>77</v>
      </c>
      <c r="E396" s="1">
        <f t="shared" si="148"/>
        <v>14</v>
      </c>
      <c r="F396">
        <f t="shared" si="152"/>
        <v>0</v>
      </c>
      <c r="G396">
        <f t="shared" si="152"/>
        <v>2</v>
      </c>
      <c r="H396">
        <f t="shared" si="152"/>
        <v>2</v>
      </c>
      <c r="I396">
        <f t="shared" si="152"/>
        <v>1</v>
      </c>
      <c r="J396">
        <f t="shared" si="152"/>
        <v>13</v>
      </c>
      <c r="K396">
        <f t="shared" si="152"/>
        <v>2</v>
      </c>
      <c r="L396">
        <f t="shared" si="152"/>
        <v>0</v>
      </c>
      <c r="M396">
        <f t="shared" si="152"/>
        <v>2</v>
      </c>
      <c r="N396">
        <f t="shared" si="152"/>
        <v>4</v>
      </c>
      <c r="O396">
        <f t="shared" si="152"/>
        <v>0</v>
      </c>
      <c r="P396">
        <f t="shared" si="153"/>
        <v>1</v>
      </c>
      <c r="Q396">
        <f t="shared" si="153"/>
        <v>1</v>
      </c>
      <c r="R396">
        <f t="shared" si="153"/>
        <v>1</v>
      </c>
      <c r="S396">
        <f t="shared" si="153"/>
        <v>3</v>
      </c>
      <c r="T396">
        <f t="shared" si="153"/>
        <v>7</v>
      </c>
      <c r="U396">
        <f t="shared" si="153"/>
        <v>1</v>
      </c>
      <c r="V396">
        <f t="shared" si="153"/>
        <v>0</v>
      </c>
      <c r="W396">
        <f t="shared" si="153"/>
        <v>3</v>
      </c>
      <c r="X396">
        <f t="shared" si="153"/>
        <v>3</v>
      </c>
      <c r="Y396">
        <f t="shared" si="153"/>
        <v>5</v>
      </c>
      <c r="Z396">
        <f t="shared" si="154"/>
        <v>3</v>
      </c>
      <c r="AA396">
        <f t="shared" si="154"/>
        <v>3</v>
      </c>
      <c r="AB396">
        <f t="shared" si="154"/>
        <v>2</v>
      </c>
      <c r="AC396">
        <f t="shared" si="154"/>
        <v>0</v>
      </c>
      <c r="AD396">
        <f t="shared" si="154"/>
        <v>2</v>
      </c>
      <c r="AE396">
        <f t="shared" si="154"/>
        <v>0</v>
      </c>
      <c r="AF396" s="56">
        <f t="shared" si="149"/>
        <v>20</v>
      </c>
      <c r="AG396" s="59">
        <f t="shared" si="150"/>
        <v>5.5</v>
      </c>
      <c r="AH396">
        <f t="shared" si="151"/>
        <v>0.27500000000000002</v>
      </c>
    </row>
    <row r="397" spans="1:34" ht="15" x14ac:dyDescent="0.2">
      <c r="A397">
        <v>573</v>
      </c>
      <c r="B397" s="57" t="s">
        <v>594</v>
      </c>
      <c r="C397" s="57"/>
      <c r="D397">
        <f t="shared" si="147"/>
        <v>77</v>
      </c>
      <c r="E397" s="1">
        <f t="shared" si="148"/>
        <v>12</v>
      </c>
      <c r="F397">
        <f t="shared" si="152"/>
        <v>6</v>
      </c>
      <c r="G397">
        <f t="shared" si="152"/>
        <v>2</v>
      </c>
      <c r="H397">
        <f t="shared" si="152"/>
        <v>0</v>
      </c>
      <c r="I397">
        <f t="shared" si="152"/>
        <v>1</v>
      </c>
      <c r="J397">
        <f t="shared" si="152"/>
        <v>9</v>
      </c>
      <c r="K397">
        <f t="shared" si="152"/>
        <v>1</v>
      </c>
      <c r="L397">
        <f t="shared" si="152"/>
        <v>1</v>
      </c>
      <c r="M397">
        <f t="shared" si="152"/>
        <v>1</v>
      </c>
      <c r="N397">
        <f t="shared" si="152"/>
        <v>5</v>
      </c>
      <c r="O397">
        <f t="shared" si="152"/>
        <v>1</v>
      </c>
      <c r="P397">
        <f t="shared" si="153"/>
        <v>2</v>
      </c>
      <c r="Q397">
        <f t="shared" si="153"/>
        <v>3</v>
      </c>
      <c r="R397">
        <f t="shared" si="153"/>
        <v>2</v>
      </c>
      <c r="S397">
        <f t="shared" si="153"/>
        <v>10</v>
      </c>
      <c r="T397">
        <f t="shared" si="153"/>
        <v>1</v>
      </c>
      <c r="U397">
        <f t="shared" si="153"/>
        <v>1</v>
      </c>
      <c r="V397">
        <f t="shared" si="153"/>
        <v>0</v>
      </c>
      <c r="W397">
        <f t="shared" si="153"/>
        <v>2</v>
      </c>
      <c r="X397">
        <f t="shared" si="153"/>
        <v>5</v>
      </c>
      <c r="Y397">
        <f t="shared" si="153"/>
        <v>6</v>
      </c>
      <c r="Z397">
        <f t="shared" si="154"/>
        <v>0</v>
      </c>
      <c r="AA397">
        <f t="shared" si="154"/>
        <v>1</v>
      </c>
      <c r="AB397">
        <f t="shared" si="154"/>
        <v>2</v>
      </c>
      <c r="AC397">
        <f t="shared" si="154"/>
        <v>0</v>
      </c>
      <c r="AD397">
        <f t="shared" si="154"/>
        <v>2</v>
      </c>
      <c r="AE397">
        <f t="shared" si="154"/>
        <v>0</v>
      </c>
      <c r="AF397" s="56">
        <f t="shared" si="149"/>
        <v>21</v>
      </c>
      <c r="AG397" s="59">
        <f t="shared" si="150"/>
        <v>6.416666666666667</v>
      </c>
      <c r="AH397">
        <f t="shared" si="151"/>
        <v>0.30555555555555558</v>
      </c>
    </row>
    <row r="398" spans="1:34" ht="15" x14ac:dyDescent="0.2">
      <c r="A398">
        <v>21</v>
      </c>
      <c r="B398" s="57" t="s">
        <v>86</v>
      </c>
      <c r="C398" s="57"/>
      <c r="D398">
        <f t="shared" si="147"/>
        <v>77</v>
      </c>
      <c r="E398" s="1">
        <f t="shared" si="148"/>
        <v>16</v>
      </c>
      <c r="F398">
        <f t="shared" si="152"/>
        <v>3</v>
      </c>
      <c r="G398">
        <f t="shared" si="152"/>
        <v>2</v>
      </c>
      <c r="H398">
        <f t="shared" si="152"/>
        <v>2</v>
      </c>
      <c r="I398">
        <f t="shared" si="152"/>
        <v>2</v>
      </c>
      <c r="J398">
        <f t="shared" si="152"/>
        <v>11</v>
      </c>
      <c r="K398">
        <f t="shared" si="152"/>
        <v>2</v>
      </c>
      <c r="L398">
        <f t="shared" si="152"/>
        <v>1</v>
      </c>
      <c r="M398">
        <f t="shared" si="152"/>
        <v>2</v>
      </c>
      <c r="N398">
        <f t="shared" si="152"/>
        <v>6</v>
      </c>
      <c r="O398">
        <f t="shared" si="152"/>
        <v>0</v>
      </c>
      <c r="P398">
        <f t="shared" si="153"/>
        <v>0</v>
      </c>
      <c r="Q398">
        <f t="shared" si="153"/>
        <v>4</v>
      </c>
      <c r="R398">
        <f t="shared" si="153"/>
        <v>3</v>
      </c>
      <c r="S398">
        <f t="shared" si="153"/>
        <v>3</v>
      </c>
      <c r="T398">
        <f t="shared" si="153"/>
        <v>5</v>
      </c>
      <c r="U398">
        <f t="shared" si="153"/>
        <v>1</v>
      </c>
      <c r="V398">
        <f t="shared" si="153"/>
        <v>0</v>
      </c>
      <c r="W398">
        <f t="shared" si="153"/>
        <v>1</v>
      </c>
      <c r="X398">
        <f t="shared" si="153"/>
        <v>5</v>
      </c>
      <c r="Y398">
        <f t="shared" si="153"/>
        <v>2</v>
      </c>
      <c r="Z398">
        <f t="shared" si="154"/>
        <v>2</v>
      </c>
      <c r="AA398">
        <f t="shared" si="154"/>
        <v>1</v>
      </c>
      <c r="AB398">
        <f t="shared" si="154"/>
        <v>1</v>
      </c>
      <c r="AC398">
        <f t="shared" si="154"/>
        <v>0</v>
      </c>
      <c r="AD398">
        <f t="shared" si="154"/>
        <v>1</v>
      </c>
      <c r="AE398">
        <f t="shared" si="154"/>
        <v>0</v>
      </c>
      <c r="AF398" s="56">
        <f t="shared" si="149"/>
        <v>21</v>
      </c>
      <c r="AG398" s="59">
        <f t="shared" si="150"/>
        <v>4.8125</v>
      </c>
      <c r="AH398">
        <f t="shared" si="151"/>
        <v>0.22916666666666666</v>
      </c>
    </row>
    <row r="399" spans="1:34" ht="15" x14ac:dyDescent="0.2">
      <c r="A399">
        <v>243</v>
      </c>
      <c r="B399" s="57" t="s">
        <v>306</v>
      </c>
      <c r="C399" s="57"/>
      <c r="D399">
        <f t="shared" si="147"/>
        <v>77</v>
      </c>
      <c r="E399" s="1">
        <f t="shared" si="148"/>
        <v>16</v>
      </c>
      <c r="F399">
        <f t="shared" si="152"/>
        <v>6</v>
      </c>
      <c r="G399">
        <f t="shared" si="152"/>
        <v>3</v>
      </c>
      <c r="H399">
        <f t="shared" si="152"/>
        <v>0</v>
      </c>
      <c r="I399">
        <f t="shared" si="152"/>
        <v>2</v>
      </c>
      <c r="J399">
        <f t="shared" si="152"/>
        <v>5</v>
      </c>
      <c r="K399">
        <f t="shared" si="152"/>
        <v>2</v>
      </c>
      <c r="L399">
        <f t="shared" si="152"/>
        <v>1</v>
      </c>
      <c r="M399">
        <f t="shared" si="152"/>
        <v>2</v>
      </c>
      <c r="N399">
        <f t="shared" si="152"/>
        <v>3</v>
      </c>
      <c r="O399">
        <f t="shared" si="152"/>
        <v>1</v>
      </c>
      <c r="P399">
        <f t="shared" si="153"/>
        <v>1</v>
      </c>
      <c r="Q399">
        <f t="shared" si="153"/>
        <v>2</v>
      </c>
      <c r="R399">
        <f t="shared" si="153"/>
        <v>1</v>
      </c>
      <c r="S399">
        <f t="shared" si="153"/>
        <v>6</v>
      </c>
      <c r="T399">
        <f t="shared" si="153"/>
        <v>5</v>
      </c>
      <c r="U399">
        <f t="shared" si="153"/>
        <v>3</v>
      </c>
      <c r="V399">
        <f t="shared" si="153"/>
        <v>0</v>
      </c>
      <c r="W399">
        <f t="shared" si="153"/>
        <v>3</v>
      </c>
      <c r="X399">
        <f t="shared" si="153"/>
        <v>5</v>
      </c>
      <c r="Y399">
        <f t="shared" si="153"/>
        <v>4</v>
      </c>
      <c r="Z399">
        <f t="shared" si="154"/>
        <v>2</v>
      </c>
      <c r="AA399">
        <f t="shared" si="154"/>
        <v>1</v>
      </c>
      <c r="AB399">
        <f t="shared" si="154"/>
        <v>1</v>
      </c>
      <c r="AC399">
        <f t="shared" si="154"/>
        <v>0</v>
      </c>
      <c r="AD399">
        <f t="shared" si="154"/>
        <v>1</v>
      </c>
      <c r="AE399">
        <f t="shared" si="154"/>
        <v>0</v>
      </c>
      <c r="AF399" s="56">
        <f t="shared" si="149"/>
        <v>22</v>
      </c>
      <c r="AG399" s="59">
        <f t="shared" si="150"/>
        <v>4.8125</v>
      </c>
      <c r="AH399">
        <f t="shared" si="151"/>
        <v>0.21875</v>
      </c>
    </row>
    <row r="400" spans="1:34" ht="15" x14ac:dyDescent="0.2">
      <c r="A400">
        <v>237</v>
      </c>
      <c r="B400" s="57" t="s">
        <v>300</v>
      </c>
      <c r="C400" s="57"/>
      <c r="D400">
        <f t="shared" si="147"/>
        <v>76</v>
      </c>
      <c r="E400" s="1">
        <f t="shared" si="148"/>
        <v>14</v>
      </c>
      <c r="F400">
        <f t="shared" si="152"/>
        <v>4</v>
      </c>
      <c r="G400">
        <f t="shared" si="152"/>
        <v>2</v>
      </c>
      <c r="H400">
        <f t="shared" si="152"/>
        <v>0</v>
      </c>
      <c r="I400">
        <f t="shared" si="152"/>
        <v>2</v>
      </c>
      <c r="J400">
        <f t="shared" si="152"/>
        <v>8</v>
      </c>
      <c r="K400">
        <f t="shared" si="152"/>
        <v>0</v>
      </c>
      <c r="L400">
        <f t="shared" si="152"/>
        <v>3</v>
      </c>
      <c r="M400">
        <f t="shared" si="152"/>
        <v>5</v>
      </c>
      <c r="N400">
        <f t="shared" si="152"/>
        <v>6</v>
      </c>
      <c r="O400">
        <f t="shared" si="152"/>
        <v>0</v>
      </c>
      <c r="P400">
        <f t="shared" si="153"/>
        <v>3</v>
      </c>
      <c r="Q400">
        <f t="shared" si="153"/>
        <v>0</v>
      </c>
      <c r="R400">
        <f t="shared" si="153"/>
        <v>1</v>
      </c>
      <c r="S400">
        <f t="shared" si="153"/>
        <v>4</v>
      </c>
      <c r="T400">
        <f t="shared" si="153"/>
        <v>5</v>
      </c>
      <c r="U400">
        <f t="shared" si="153"/>
        <v>1</v>
      </c>
      <c r="V400">
        <f t="shared" si="153"/>
        <v>0</v>
      </c>
      <c r="W400">
        <f t="shared" si="153"/>
        <v>4</v>
      </c>
      <c r="X400">
        <f t="shared" si="153"/>
        <v>5</v>
      </c>
      <c r="Y400">
        <f t="shared" si="153"/>
        <v>6</v>
      </c>
      <c r="Z400">
        <f t="shared" si="154"/>
        <v>1</v>
      </c>
      <c r="AA400">
        <f t="shared" si="154"/>
        <v>0</v>
      </c>
      <c r="AB400">
        <f t="shared" si="154"/>
        <v>0</v>
      </c>
      <c r="AC400">
        <f t="shared" si="154"/>
        <v>0</v>
      </c>
      <c r="AD400">
        <f t="shared" si="154"/>
        <v>0</v>
      </c>
      <c r="AE400">
        <f t="shared" si="154"/>
        <v>0</v>
      </c>
      <c r="AF400" s="56">
        <f t="shared" si="149"/>
        <v>16</v>
      </c>
      <c r="AG400" s="59">
        <f t="shared" si="150"/>
        <v>5.4285714285714288</v>
      </c>
      <c r="AH400">
        <f t="shared" si="151"/>
        <v>0.3392857142857143</v>
      </c>
    </row>
    <row r="401" spans="1:34" ht="15" x14ac:dyDescent="0.2">
      <c r="A401">
        <v>39</v>
      </c>
      <c r="B401" s="57" t="s">
        <v>104</v>
      </c>
      <c r="C401" s="57"/>
      <c r="D401">
        <f t="shared" si="147"/>
        <v>76</v>
      </c>
      <c r="E401" s="1">
        <f t="shared" si="148"/>
        <v>12</v>
      </c>
      <c r="F401">
        <f t="shared" si="152"/>
        <v>7</v>
      </c>
      <c r="G401">
        <f t="shared" si="152"/>
        <v>1</v>
      </c>
      <c r="H401">
        <f t="shared" si="152"/>
        <v>0</v>
      </c>
      <c r="I401">
        <f t="shared" si="152"/>
        <v>5</v>
      </c>
      <c r="J401">
        <f t="shared" si="152"/>
        <v>3</v>
      </c>
      <c r="K401">
        <f t="shared" si="152"/>
        <v>0</v>
      </c>
      <c r="L401">
        <f t="shared" si="152"/>
        <v>1</v>
      </c>
      <c r="M401">
        <f t="shared" si="152"/>
        <v>1</v>
      </c>
      <c r="N401">
        <f t="shared" si="152"/>
        <v>4</v>
      </c>
      <c r="O401">
        <f t="shared" si="152"/>
        <v>0</v>
      </c>
      <c r="P401">
        <f t="shared" si="153"/>
        <v>0</v>
      </c>
      <c r="Q401">
        <f t="shared" si="153"/>
        <v>3</v>
      </c>
      <c r="R401">
        <f t="shared" si="153"/>
        <v>1</v>
      </c>
      <c r="S401">
        <f t="shared" si="153"/>
        <v>4</v>
      </c>
      <c r="T401">
        <f t="shared" si="153"/>
        <v>8</v>
      </c>
      <c r="U401">
        <f t="shared" si="153"/>
        <v>0</v>
      </c>
      <c r="V401">
        <f t="shared" si="153"/>
        <v>0</v>
      </c>
      <c r="W401">
        <f t="shared" si="153"/>
        <v>7</v>
      </c>
      <c r="X401">
        <f t="shared" si="153"/>
        <v>2</v>
      </c>
      <c r="Y401">
        <f t="shared" si="153"/>
        <v>7</v>
      </c>
      <c r="Z401">
        <f t="shared" si="154"/>
        <v>2</v>
      </c>
      <c r="AA401">
        <f t="shared" si="154"/>
        <v>0</v>
      </c>
      <c r="AB401">
        <f t="shared" si="154"/>
        <v>3</v>
      </c>
      <c r="AC401">
        <f t="shared" si="154"/>
        <v>0</v>
      </c>
      <c r="AD401">
        <f t="shared" si="154"/>
        <v>3</v>
      </c>
      <c r="AE401">
        <f t="shared" si="154"/>
        <v>0</v>
      </c>
      <c r="AF401" s="56">
        <f t="shared" si="149"/>
        <v>17</v>
      </c>
      <c r="AG401" s="59">
        <f t="shared" si="150"/>
        <v>6.333333333333333</v>
      </c>
      <c r="AH401">
        <f t="shared" si="151"/>
        <v>0.37254901960784315</v>
      </c>
    </row>
    <row r="402" spans="1:34" ht="15" x14ac:dyDescent="0.2">
      <c r="A402">
        <v>334</v>
      </c>
      <c r="B402" s="57" t="s">
        <v>394</v>
      </c>
      <c r="C402" s="57"/>
      <c r="D402">
        <f t="shared" si="147"/>
        <v>76</v>
      </c>
      <c r="E402" s="1">
        <f t="shared" si="148"/>
        <v>15</v>
      </c>
      <c r="F402">
        <f t="shared" ref="F402:O411" si="155">LEN($B402)-LEN(SUBSTITUTE($B402,F$1,""))</f>
        <v>3</v>
      </c>
      <c r="G402">
        <f t="shared" si="155"/>
        <v>0</v>
      </c>
      <c r="H402">
        <f t="shared" si="155"/>
        <v>4</v>
      </c>
      <c r="I402">
        <f t="shared" si="155"/>
        <v>3</v>
      </c>
      <c r="J402">
        <f t="shared" si="155"/>
        <v>8</v>
      </c>
      <c r="K402">
        <f t="shared" si="155"/>
        <v>2</v>
      </c>
      <c r="L402">
        <f t="shared" si="155"/>
        <v>0</v>
      </c>
      <c r="M402">
        <f t="shared" si="155"/>
        <v>4</v>
      </c>
      <c r="N402">
        <f t="shared" si="155"/>
        <v>5</v>
      </c>
      <c r="O402">
        <f t="shared" si="155"/>
        <v>0</v>
      </c>
      <c r="P402">
        <f t="shared" ref="P402:Y411" si="156">LEN($B402)-LEN(SUBSTITUTE($B402,P$1,""))</f>
        <v>0</v>
      </c>
      <c r="Q402">
        <f t="shared" si="156"/>
        <v>4</v>
      </c>
      <c r="R402">
        <f t="shared" si="156"/>
        <v>1</v>
      </c>
      <c r="S402">
        <f t="shared" si="156"/>
        <v>1</v>
      </c>
      <c r="T402">
        <f t="shared" si="156"/>
        <v>7</v>
      </c>
      <c r="U402">
        <f t="shared" si="156"/>
        <v>0</v>
      </c>
      <c r="V402">
        <f t="shared" si="156"/>
        <v>0</v>
      </c>
      <c r="W402">
        <f t="shared" si="156"/>
        <v>2</v>
      </c>
      <c r="X402">
        <f t="shared" si="156"/>
        <v>3</v>
      </c>
      <c r="Y402">
        <f t="shared" si="156"/>
        <v>3</v>
      </c>
      <c r="Z402">
        <f t="shared" ref="Z402:AE411" si="157">LEN($B402)-LEN(SUBSTITUTE($B402,Z$1,""))</f>
        <v>3</v>
      </c>
      <c r="AA402">
        <f t="shared" si="157"/>
        <v>1</v>
      </c>
      <c r="AB402">
        <f t="shared" si="157"/>
        <v>1</v>
      </c>
      <c r="AC402">
        <f t="shared" si="157"/>
        <v>0</v>
      </c>
      <c r="AD402">
        <f t="shared" si="157"/>
        <v>2</v>
      </c>
      <c r="AE402">
        <f t="shared" si="157"/>
        <v>0</v>
      </c>
      <c r="AF402" s="56">
        <f t="shared" si="149"/>
        <v>18</v>
      </c>
      <c r="AG402" s="59">
        <f t="shared" si="150"/>
        <v>5.0666666666666664</v>
      </c>
      <c r="AH402">
        <f t="shared" si="151"/>
        <v>0.28148148148148144</v>
      </c>
    </row>
    <row r="403" spans="1:34" ht="15" x14ac:dyDescent="0.2">
      <c r="A403">
        <v>111</v>
      </c>
      <c r="B403" s="57" t="s">
        <v>176</v>
      </c>
      <c r="C403" s="57"/>
      <c r="D403">
        <f t="shared" si="147"/>
        <v>76</v>
      </c>
      <c r="E403" s="1">
        <f t="shared" si="148"/>
        <v>14</v>
      </c>
      <c r="F403">
        <f t="shared" si="155"/>
        <v>10</v>
      </c>
      <c r="G403">
        <f t="shared" si="155"/>
        <v>0</v>
      </c>
      <c r="H403">
        <f t="shared" si="155"/>
        <v>2</v>
      </c>
      <c r="I403">
        <f t="shared" si="155"/>
        <v>1</v>
      </c>
      <c r="J403">
        <f t="shared" si="155"/>
        <v>5</v>
      </c>
      <c r="K403">
        <f t="shared" si="155"/>
        <v>3</v>
      </c>
      <c r="L403">
        <f t="shared" si="155"/>
        <v>0</v>
      </c>
      <c r="M403">
        <f t="shared" si="155"/>
        <v>2</v>
      </c>
      <c r="N403">
        <f t="shared" si="155"/>
        <v>3</v>
      </c>
      <c r="O403">
        <f t="shared" si="155"/>
        <v>0</v>
      </c>
      <c r="P403">
        <f t="shared" si="156"/>
        <v>0</v>
      </c>
      <c r="Q403">
        <f t="shared" si="156"/>
        <v>2</v>
      </c>
      <c r="R403">
        <f t="shared" si="156"/>
        <v>3</v>
      </c>
      <c r="S403">
        <f t="shared" si="156"/>
        <v>3</v>
      </c>
      <c r="T403">
        <f t="shared" si="156"/>
        <v>3</v>
      </c>
      <c r="U403">
        <f t="shared" si="156"/>
        <v>1</v>
      </c>
      <c r="V403">
        <f t="shared" si="156"/>
        <v>0</v>
      </c>
      <c r="W403">
        <f t="shared" si="156"/>
        <v>5</v>
      </c>
      <c r="X403">
        <f t="shared" si="156"/>
        <v>6</v>
      </c>
      <c r="Y403">
        <f t="shared" si="156"/>
        <v>6</v>
      </c>
      <c r="Z403">
        <f t="shared" si="157"/>
        <v>3</v>
      </c>
      <c r="AA403">
        <f t="shared" si="157"/>
        <v>1</v>
      </c>
      <c r="AB403">
        <f t="shared" si="157"/>
        <v>2</v>
      </c>
      <c r="AC403">
        <f t="shared" si="157"/>
        <v>0</v>
      </c>
      <c r="AD403">
        <f t="shared" si="157"/>
        <v>0</v>
      </c>
      <c r="AE403">
        <f t="shared" si="157"/>
        <v>0</v>
      </c>
      <c r="AF403" s="56">
        <f t="shared" si="149"/>
        <v>18</v>
      </c>
      <c r="AG403" s="59">
        <f t="shared" si="150"/>
        <v>5.4285714285714288</v>
      </c>
      <c r="AH403">
        <f t="shared" si="151"/>
        <v>0.30158730158730163</v>
      </c>
    </row>
    <row r="404" spans="1:34" ht="15" x14ac:dyDescent="0.2">
      <c r="A404">
        <v>212</v>
      </c>
      <c r="B404" s="57" t="s">
        <v>276</v>
      </c>
      <c r="C404" s="57"/>
      <c r="D404">
        <f t="shared" si="147"/>
        <v>76</v>
      </c>
      <c r="E404" s="1">
        <f t="shared" si="148"/>
        <v>13</v>
      </c>
      <c r="F404">
        <f t="shared" si="155"/>
        <v>6</v>
      </c>
      <c r="G404">
        <f t="shared" si="155"/>
        <v>1</v>
      </c>
      <c r="H404">
        <f t="shared" si="155"/>
        <v>0</v>
      </c>
      <c r="I404">
        <f t="shared" si="155"/>
        <v>0</v>
      </c>
      <c r="J404">
        <f t="shared" si="155"/>
        <v>10</v>
      </c>
      <c r="K404">
        <f t="shared" si="155"/>
        <v>0</v>
      </c>
      <c r="L404">
        <f t="shared" si="155"/>
        <v>1</v>
      </c>
      <c r="M404">
        <f t="shared" si="155"/>
        <v>2</v>
      </c>
      <c r="N404">
        <f t="shared" si="155"/>
        <v>4</v>
      </c>
      <c r="O404">
        <f t="shared" si="155"/>
        <v>0</v>
      </c>
      <c r="P404">
        <f t="shared" si="156"/>
        <v>2</v>
      </c>
      <c r="Q404">
        <f t="shared" si="156"/>
        <v>1</v>
      </c>
      <c r="R404">
        <f t="shared" si="156"/>
        <v>3</v>
      </c>
      <c r="S404">
        <f t="shared" si="156"/>
        <v>8</v>
      </c>
      <c r="T404">
        <f t="shared" si="156"/>
        <v>4</v>
      </c>
      <c r="U404">
        <f t="shared" si="156"/>
        <v>3</v>
      </c>
      <c r="V404">
        <f t="shared" si="156"/>
        <v>0</v>
      </c>
      <c r="W404">
        <f t="shared" si="156"/>
        <v>5</v>
      </c>
      <c r="X404">
        <f t="shared" si="156"/>
        <v>2</v>
      </c>
      <c r="Y404">
        <f t="shared" si="156"/>
        <v>4</v>
      </c>
      <c r="Z404">
        <f t="shared" si="157"/>
        <v>2</v>
      </c>
      <c r="AA404">
        <f t="shared" si="157"/>
        <v>1</v>
      </c>
      <c r="AB404">
        <f t="shared" si="157"/>
        <v>1</v>
      </c>
      <c r="AC404">
        <f t="shared" si="157"/>
        <v>0</v>
      </c>
      <c r="AD404">
        <f t="shared" si="157"/>
        <v>2</v>
      </c>
      <c r="AE404">
        <f t="shared" si="157"/>
        <v>0</v>
      </c>
      <c r="AF404" s="56">
        <f t="shared" si="149"/>
        <v>19</v>
      </c>
      <c r="AG404" s="59">
        <f t="shared" si="150"/>
        <v>5.8461538461538458</v>
      </c>
      <c r="AH404">
        <f t="shared" si="151"/>
        <v>0.30769230769230765</v>
      </c>
    </row>
    <row r="405" spans="1:34" ht="15" x14ac:dyDescent="0.2">
      <c r="A405">
        <v>18</v>
      </c>
      <c r="B405" s="57" t="s">
        <v>83</v>
      </c>
      <c r="C405" s="57"/>
      <c r="D405">
        <f t="shared" si="147"/>
        <v>76</v>
      </c>
      <c r="E405" s="1">
        <f t="shared" si="148"/>
        <v>16</v>
      </c>
      <c r="F405">
        <f t="shared" si="155"/>
        <v>5</v>
      </c>
      <c r="G405">
        <f t="shared" si="155"/>
        <v>2</v>
      </c>
      <c r="H405">
        <f t="shared" si="155"/>
        <v>2</v>
      </c>
      <c r="I405">
        <f t="shared" si="155"/>
        <v>2</v>
      </c>
      <c r="J405">
        <f t="shared" si="155"/>
        <v>7</v>
      </c>
      <c r="K405">
        <f t="shared" si="155"/>
        <v>4</v>
      </c>
      <c r="L405">
        <f t="shared" si="155"/>
        <v>1</v>
      </c>
      <c r="M405">
        <f t="shared" si="155"/>
        <v>2</v>
      </c>
      <c r="N405">
        <f t="shared" si="155"/>
        <v>4</v>
      </c>
      <c r="O405">
        <f t="shared" si="155"/>
        <v>0</v>
      </c>
      <c r="P405">
        <f t="shared" si="156"/>
        <v>1</v>
      </c>
      <c r="Q405">
        <f t="shared" si="156"/>
        <v>2</v>
      </c>
      <c r="R405">
        <f t="shared" si="156"/>
        <v>0</v>
      </c>
      <c r="S405">
        <f t="shared" si="156"/>
        <v>4</v>
      </c>
      <c r="T405">
        <f t="shared" si="156"/>
        <v>7</v>
      </c>
      <c r="U405">
        <f t="shared" si="156"/>
        <v>0</v>
      </c>
      <c r="V405">
        <f t="shared" si="156"/>
        <v>0</v>
      </c>
      <c r="W405">
        <f t="shared" si="156"/>
        <v>3</v>
      </c>
      <c r="X405">
        <f t="shared" si="156"/>
        <v>3</v>
      </c>
      <c r="Y405">
        <f t="shared" si="156"/>
        <v>7</v>
      </c>
      <c r="Z405">
        <f t="shared" si="157"/>
        <v>1</v>
      </c>
      <c r="AA405">
        <f t="shared" si="157"/>
        <v>1</v>
      </c>
      <c r="AB405">
        <f t="shared" si="157"/>
        <v>0</v>
      </c>
      <c r="AC405">
        <f t="shared" si="157"/>
        <v>0</v>
      </c>
      <c r="AD405">
        <f t="shared" si="157"/>
        <v>1</v>
      </c>
      <c r="AE405">
        <f t="shared" si="157"/>
        <v>0</v>
      </c>
      <c r="AF405" s="56">
        <f t="shared" si="149"/>
        <v>19</v>
      </c>
      <c r="AG405" s="59">
        <f t="shared" si="150"/>
        <v>4.75</v>
      </c>
      <c r="AH405">
        <f t="shared" si="151"/>
        <v>0.25</v>
      </c>
    </row>
    <row r="406" spans="1:34" ht="15" x14ac:dyDescent="0.2">
      <c r="A406">
        <v>436</v>
      </c>
      <c r="B406" s="57" t="s">
        <v>679</v>
      </c>
      <c r="C406" s="57"/>
      <c r="D406">
        <f t="shared" si="147"/>
        <v>76</v>
      </c>
      <c r="E406" s="1">
        <f t="shared" si="148"/>
        <v>14</v>
      </c>
      <c r="F406">
        <f t="shared" si="155"/>
        <v>6</v>
      </c>
      <c r="G406">
        <f t="shared" si="155"/>
        <v>2</v>
      </c>
      <c r="H406">
        <f t="shared" si="155"/>
        <v>1</v>
      </c>
      <c r="I406">
        <f t="shared" si="155"/>
        <v>3</v>
      </c>
      <c r="J406">
        <f t="shared" si="155"/>
        <v>4</v>
      </c>
      <c r="K406">
        <f t="shared" si="155"/>
        <v>0</v>
      </c>
      <c r="L406">
        <f t="shared" si="155"/>
        <v>2</v>
      </c>
      <c r="M406">
        <f t="shared" si="155"/>
        <v>4</v>
      </c>
      <c r="N406">
        <f t="shared" si="155"/>
        <v>3</v>
      </c>
      <c r="O406">
        <f t="shared" si="155"/>
        <v>0</v>
      </c>
      <c r="P406">
        <f t="shared" si="156"/>
        <v>1</v>
      </c>
      <c r="Q406">
        <f t="shared" si="156"/>
        <v>2</v>
      </c>
      <c r="R406">
        <f t="shared" si="156"/>
        <v>4</v>
      </c>
      <c r="S406">
        <f t="shared" si="156"/>
        <v>4</v>
      </c>
      <c r="T406">
        <f t="shared" si="156"/>
        <v>7</v>
      </c>
      <c r="U406">
        <f t="shared" si="156"/>
        <v>1</v>
      </c>
      <c r="V406">
        <f t="shared" si="156"/>
        <v>0</v>
      </c>
      <c r="W406">
        <f t="shared" si="156"/>
        <v>2</v>
      </c>
      <c r="X406">
        <f t="shared" si="156"/>
        <v>2</v>
      </c>
      <c r="Y406">
        <f t="shared" si="156"/>
        <v>2</v>
      </c>
      <c r="Z406">
        <f t="shared" si="157"/>
        <v>1</v>
      </c>
      <c r="AA406">
        <f t="shared" si="157"/>
        <v>0</v>
      </c>
      <c r="AB406">
        <f t="shared" si="157"/>
        <v>1</v>
      </c>
      <c r="AC406">
        <f t="shared" si="157"/>
        <v>0</v>
      </c>
      <c r="AD406">
        <f t="shared" si="157"/>
        <v>3</v>
      </c>
      <c r="AE406">
        <f t="shared" si="157"/>
        <v>0</v>
      </c>
      <c r="AF406" s="56">
        <f t="shared" si="149"/>
        <v>20</v>
      </c>
      <c r="AG406" s="59">
        <f t="shared" si="150"/>
        <v>5.4285714285714288</v>
      </c>
      <c r="AH406">
        <f t="shared" si="151"/>
        <v>0.27142857142857146</v>
      </c>
    </row>
    <row r="407" spans="1:34" ht="15" x14ac:dyDescent="0.2">
      <c r="A407">
        <v>456</v>
      </c>
      <c r="B407" s="57" t="s">
        <v>498</v>
      </c>
      <c r="C407" s="57"/>
      <c r="D407">
        <f t="shared" si="147"/>
        <v>75</v>
      </c>
      <c r="E407" s="1">
        <f t="shared" si="148"/>
        <v>14</v>
      </c>
      <c r="F407">
        <f t="shared" si="155"/>
        <v>4</v>
      </c>
      <c r="G407">
        <f t="shared" si="155"/>
        <v>0</v>
      </c>
      <c r="H407">
        <f t="shared" si="155"/>
        <v>1</v>
      </c>
      <c r="I407">
        <f t="shared" si="155"/>
        <v>3</v>
      </c>
      <c r="J407">
        <f t="shared" si="155"/>
        <v>7</v>
      </c>
      <c r="K407">
        <f t="shared" si="155"/>
        <v>2</v>
      </c>
      <c r="L407">
        <f t="shared" si="155"/>
        <v>2</v>
      </c>
      <c r="M407">
        <f t="shared" si="155"/>
        <v>4</v>
      </c>
      <c r="N407">
        <f t="shared" si="155"/>
        <v>5</v>
      </c>
      <c r="O407">
        <f t="shared" si="155"/>
        <v>0</v>
      </c>
      <c r="P407">
        <f t="shared" si="156"/>
        <v>0</v>
      </c>
      <c r="Q407">
        <f t="shared" si="156"/>
        <v>6</v>
      </c>
      <c r="R407">
        <f t="shared" si="156"/>
        <v>0</v>
      </c>
      <c r="S407">
        <f t="shared" si="156"/>
        <v>2</v>
      </c>
      <c r="T407">
        <f t="shared" si="156"/>
        <v>5</v>
      </c>
      <c r="U407">
        <f t="shared" si="156"/>
        <v>0</v>
      </c>
      <c r="V407">
        <f t="shared" si="156"/>
        <v>0</v>
      </c>
      <c r="W407">
        <f t="shared" si="156"/>
        <v>5</v>
      </c>
      <c r="X407">
        <f t="shared" si="156"/>
        <v>3</v>
      </c>
      <c r="Y407">
        <f t="shared" si="156"/>
        <v>5</v>
      </c>
      <c r="Z407">
        <f t="shared" si="157"/>
        <v>0</v>
      </c>
      <c r="AA407">
        <f t="shared" si="157"/>
        <v>1</v>
      </c>
      <c r="AB407">
        <f t="shared" si="157"/>
        <v>4</v>
      </c>
      <c r="AC407">
        <f t="shared" si="157"/>
        <v>0</v>
      </c>
      <c r="AD407">
        <f t="shared" si="157"/>
        <v>0</v>
      </c>
      <c r="AE407">
        <f t="shared" si="157"/>
        <v>0</v>
      </c>
      <c r="AF407" s="56">
        <f t="shared" si="149"/>
        <v>16</v>
      </c>
      <c r="AG407" s="59">
        <f t="shared" si="150"/>
        <v>5.3571428571428568</v>
      </c>
      <c r="AH407">
        <f t="shared" si="151"/>
        <v>0.33482142857142855</v>
      </c>
    </row>
    <row r="408" spans="1:34" ht="15" x14ac:dyDescent="0.2">
      <c r="A408">
        <v>105</v>
      </c>
      <c r="B408" s="57" t="s">
        <v>170</v>
      </c>
      <c r="C408" s="57"/>
      <c r="D408">
        <f t="shared" si="147"/>
        <v>75</v>
      </c>
      <c r="E408" s="1">
        <f t="shared" si="148"/>
        <v>15</v>
      </c>
      <c r="F408">
        <f t="shared" si="155"/>
        <v>4</v>
      </c>
      <c r="G408">
        <f t="shared" si="155"/>
        <v>0</v>
      </c>
      <c r="H408">
        <f t="shared" si="155"/>
        <v>3</v>
      </c>
      <c r="I408">
        <f t="shared" si="155"/>
        <v>2</v>
      </c>
      <c r="J408">
        <f t="shared" si="155"/>
        <v>9</v>
      </c>
      <c r="K408">
        <f t="shared" si="155"/>
        <v>1</v>
      </c>
      <c r="L408">
        <f t="shared" si="155"/>
        <v>0</v>
      </c>
      <c r="M408">
        <f t="shared" si="155"/>
        <v>6</v>
      </c>
      <c r="N408">
        <f t="shared" si="155"/>
        <v>1</v>
      </c>
      <c r="O408">
        <f t="shared" si="155"/>
        <v>0</v>
      </c>
      <c r="P408">
        <f t="shared" si="156"/>
        <v>1</v>
      </c>
      <c r="Q408">
        <f t="shared" si="156"/>
        <v>1</v>
      </c>
      <c r="R408">
        <f t="shared" si="156"/>
        <v>0</v>
      </c>
      <c r="S408">
        <f t="shared" si="156"/>
        <v>5</v>
      </c>
      <c r="T408">
        <f t="shared" si="156"/>
        <v>7</v>
      </c>
      <c r="U408">
        <f t="shared" si="156"/>
        <v>2</v>
      </c>
      <c r="V408">
        <f t="shared" si="156"/>
        <v>0</v>
      </c>
      <c r="W408">
        <f t="shared" si="156"/>
        <v>3</v>
      </c>
      <c r="X408">
        <f t="shared" si="156"/>
        <v>3</v>
      </c>
      <c r="Y408">
        <f t="shared" si="156"/>
        <v>6</v>
      </c>
      <c r="Z408">
        <f t="shared" si="157"/>
        <v>1</v>
      </c>
      <c r="AA408">
        <f t="shared" si="157"/>
        <v>0</v>
      </c>
      <c r="AB408">
        <f t="shared" si="157"/>
        <v>2</v>
      </c>
      <c r="AC408">
        <f t="shared" si="157"/>
        <v>0</v>
      </c>
      <c r="AD408">
        <f t="shared" si="157"/>
        <v>0</v>
      </c>
      <c r="AE408">
        <f t="shared" si="157"/>
        <v>0</v>
      </c>
      <c r="AF408" s="56">
        <f t="shared" si="149"/>
        <v>17</v>
      </c>
      <c r="AG408" s="59">
        <f t="shared" si="150"/>
        <v>5</v>
      </c>
      <c r="AH408">
        <f t="shared" si="151"/>
        <v>0.29411764705882354</v>
      </c>
    </row>
    <row r="409" spans="1:34" ht="15" x14ac:dyDescent="0.2">
      <c r="A409">
        <v>160</v>
      </c>
      <c r="B409" s="57" t="s">
        <v>224</v>
      </c>
      <c r="C409" s="57"/>
      <c r="D409">
        <f t="shared" si="147"/>
        <v>75</v>
      </c>
      <c r="E409" s="1">
        <f t="shared" si="148"/>
        <v>12</v>
      </c>
      <c r="F409">
        <f t="shared" si="155"/>
        <v>6</v>
      </c>
      <c r="G409">
        <f t="shared" si="155"/>
        <v>1</v>
      </c>
      <c r="H409">
        <f t="shared" si="155"/>
        <v>3</v>
      </c>
      <c r="I409">
        <f t="shared" si="155"/>
        <v>1</v>
      </c>
      <c r="J409">
        <f t="shared" si="155"/>
        <v>6</v>
      </c>
      <c r="K409">
        <f t="shared" si="155"/>
        <v>1</v>
      </c>
      <c r="L409">
        <f t="shared" si="155"/>
        <v>0</v>
      </c>
      <c r="M409">
        <f t="shared" si="155"/>
        <v>1</v>
      </c>
      <c r="N409">
        <f t="shared" si="155"/>
        <v>9</v>
      </c>
      <c r="O409">
        <f t="shared" si="155"/>
        <v>0</v>
      </c>
      <c r="P409">
        <f t="shared" si="156"/>
        <v>0</v>
      </c>
      <c r="Q409">
        <f t="shared" si="156"/>
        <v>3</v>
      </c>
      <c r="R409">
        <f t="shared" si="156"/>
        <v>2</v>
      </c>
      <c r="S409">
        <f t="shared" si="156"/>
        <v>3</v>
      </c>
      <c r="T409">
        <f t="shared" si="156"/>
        <v>3</v>
      </c>
      <c r="U409">
        <f t="shared" si="156"/>
        <v>0</v>
      </c>
      <c r="V409">
        <f t="shared" si="156"/>
        <v>0</v>
      </c>
      <c r="W409">
        <f t="shared" si="156"/>
        <v>5</v>
      </c>
      <c r="X409">
        <f t="shared" si="156"/>
        <v>5</v>
      </c>
      <c r="Y409">
        <f t="shared" si="156"/>
        <v>7</v>
      </c>
      <c r="Z409">
        <f t="shared" si="157"/>
        <v>3</v>
      </c>
      <c r="AA409">
        <f t="shared" si="157"/>
        <v>2</v>
      </c>
      <c r="AB409">
        <f t="shared" si="157"/>
        <v>0</v>
      </c>
      <c r="AC409">
        <f t="shared" si="157"/>
        <v>0</v>
      </c>
      <c r="AD409">
        <f t="shared" si="157"/>
        <v>1</v>
      </c>
      <c r="AE409">
        <f t="shared" si="157"/>
        <v>0</v>
      </c>
      <c r="AF409" s="56">
        <f t="shared" si="149"/>
        <v>18</v>
      </c>
      <c r="AG409" s="59">
        <f t="shared" si="150"/>
        <v>6.25</v>
      </c>
      <c r="AH409">
        <f t="shared" si="151"/>
        <v>0.34722222222222221</v>
      </c>
    </row>
    <row r="410" spans="1:34" ht="15" x14ac:dyDescent="0.2">
      <c r="A410">
        <v>17</v>
      </c>
      <c r="B410" s="57" t="s">
        <v>82</v>
      </c>
      <c r="C410" s="57"/>
      <c r="D410">
        <f t="shared" si="147"/>
        <v>75</v>
      </c>
      <c r="E410" s="1">
        <f t="shared" si="148"/>
        <v>13</v>
      </c>
      <c r="F410">
        <f t="shared" si="155"/>
        <v>11</v>
      </c>
      <c r="G410">
        <f t="shared" si="155"/>
        <v>0</v>
      </c>
      <c r="H410">
        <f t="shared" si="155"/>
        <v>2</v>
      </c>
      <c r="I410">
        <f t="shared" si="155"/>
        <v>1</v>
      </c>
      <c r="J410">
        <f t="shared" si="155"/>
        <v>9</v>
      </c>
      <c r="K410">
        <f t="shared" si="155"/>
        <v>0</v>
      </c>
      <c r="L410">
        <f t="shared" si="155"/>
        <v>1</v>
      </c>
      <c r="M410">
        <f t="shared" si="155"/>
        <v>2</v>
      </c>
      <c r="N410">
        <f t="shared" si="155"/>
        <v>3</v>
      </c>
      <c r="O410">
        <f t="shared" si="155"/>
        <v>0</v>
      </c>
      <c r="P410">
        <f t="shared" si="156"/>
        <v>0</v>
      </c>
      <c r="Q410">
        <f t="shared" si="156"/>
        <v>2</v>
      </c>
      <c r="R410">
        <f t="shared" si="156"/>
        <v>4</v>
      </c>
      <c r="S410">
        <f t="shared" si="156"/>
        <v>5</v>
      </c>
      <c r="T410">
        <f t="shared" si="156"/>
        <v>1</v>
      </c>
      <c r="U410">
        <f t="shared" si="156"/>
        <v>0</v>
      </c>
      <c r="V410">
        <f t="shared" si="156"/>
        <v>0</v>
      </c>
      <c r="W410">
        <f t="shared" si="156"/>
        <v>4</v>
      </c>
      <c r="X410">
        <f t="shared" si="156"/>
        <v>7</v>
      </c>
      <c r="Y410">
        <f t="shared" si="156"/>
        <v>3</v>
      </c>
      <c r="Z410">
        <f t="shared" si="157"/>
        <v>1</v>
      </c>
      <c r="AA410">
        <f t="shared" si="157"/>
        <v>2</v>
      </c>
      <c r="AB410">
        <f t="shared" si="157"/>
        <v>1</v>
      </c>
      <c r="AC410">
        <f t="shared" si="157"/>
        <v>0</v>
      </c>
      <c r="AD410">
        <f t="shared" si="157"/>
        <v>1</v>
      </c>
      <c r="AE410">
        <f t="shared" si="157"/>
        <v>0</v>
      </c>
      <c r="AF410" s="56">
        <f t="shared" si="149"/>
        <v>18</v>
      </c>
      <c r="AG410" s="59">
        <f t="shared" si="150"/>
        <v>5.7692307692307692</v>
      </c>
      <c r="AH410">
        <f t="shared" si="151"/>
        <v>0.32051282051282048</v>
      </c>
    </row>
    <row r="411" spans="1:34" ht="15" x14ac:dyDescent="0.2">
      <c r="A411">
        <v>127</v>
      </c>
      <c r="B411" s="57" t="s">
        <v>192</v>
      </c>
      <c r="C411" s="57"/>
      <c r="D411">
        <f t="shared" si="147"/>
        <v>75</v>
      </c>
      <c r="E411" s="1">
        <f t="shared" si="148"/>
        <v>17</v>
      </c>
      <c r="F411">
        <f t="shared" si="155"/>
        <v>8</v>
      </c>
      <c r="G411">
        <f t="shared" si="155"/>
        <v>1</v>
      </c>
      <c r="H411">
        <f t="shared" si="155"/>
        <v>1</v>
      </c>
      <c r="I411">
        <f t="shared" si="155"/>
        <v>3</v>
      </c>
      <c r="J411">
        <f t="shared" si="155"/>
        <v>3</v>
      </c>
      <c r="K411">
        <f t="shared" si="155"/>
        <v>2</v>
      </c>
      <c r="L411">
        <f t="shared" si="155"/>
        <v>0</v>
      </c>
      <c r="M411">
        <f t="shared" si="155"/>
        <v>2</v>
      </c>
      <c r="N411">
        <f t="shared" si="155"/>
        <v>4</v>
      </c>
      <c r="O411">
        <f t="shared" si="155"/>
        <v>0</v>
      </c>
      <c r="P411">
        <f t="shared" si="156"/>
        <v>1</v>
      </c>
      <c r="Q411">
        <f t="shared" si="156"/>
        <v>3</v>
      </c>
      <c r="R411">
        <f t="shared" si="156"/>
        <v>0</v>
      </c>
      <c r="S411">
        <f t="shared" si="156"/>
        <v>4</v>
      </c>
      <c r="T411">
        <f t="shared" si="156"/>
        <v>4</v>
      </c>
      <c r="U411">
        <f t="shared" si="156"/>
        <v>1</v>
      </c>
      <c r="V411">
        <f t="shared" si="156"/>
        <v>0</v>
      </c>
      <c r="W411">
        <f t="shared" si="156"/>
        <v>5</v>
      </c>
      <c r="X411">
        <f t="shared" si="156"/>
        <v>5</v>
      </c>
      <c r="Y411">
        <f t="shared" si="156"/>
        <v>2</v>
      </c>
      <c r="Z411">
        <f t="shared" si="157"/>
        <v>2</v>
      </c>
      <c r="AA411">
        <f t="shared" si="157"/>
        <v>0</v>
      </c>
      <c r="AB411">
        <f t="shared" si="157"/>
        <v>3</v>
      </c>
      <c r="AC411">
        <f t="shared" si="157"/>
        <v>0</v>
      </c>
      <c r="AD411">
        <f t="shared" si="157"/>
        <v>1</v>
      </c>
      <c r="AE411">
        <f t="shared" si="157"/>
        <v>0</v>
      </c>
      <c r="AF411" s="56">
        <f t="shared" si="149"/>
        <v>19</v>
      </c>
      <c r="AG411" s="59">
        <f t="shared" si="150"/>
        <v>4.4117647058823533</v>
      </c>
      <c r="AH411">
        <f t="shared" si="151"/>
        <v>0.2321981424148607</v>
      </c>
    </row>
    <row r="412" spans="1:34" ht="15" x14ac:dyDescent="0.2">
      <c r="A412">
        <v>124</v>
      </c>
      <c r="B412" s="57" t="s">
        <v>189</v>
      </c>
      <c r="C412" s="57"/>
      <c r="D412">
        <f t="shared" si="147"/>
        <v>75</v>
      </c>
      <c r="E412" s="1">
        <f t="shared" si="148"/>
        <v>12</v>
      </c>
      <c r="F412">
        <f t="shared" ref="F412:O421" si="158">LEN($B412)-LEN(SUBSTITUTE($B412,F$1,""))</f>
        <v>4</v>
      </c>
      <c r="G412">
        <f t="shared" si="158"/>
        <v>2</v>
      </c>
      <c r="H412">
        <f t="shared" si="158"/>
        <v>1</v>
      </c>
      <c r="I412">
        <f t="shared" si="158"/>
        <v>0</v>
      </c>
      <c r="J412">
        <f t="shared" si="158"/>
        <v>6</v>
      </c>
      <c r="K412">
        <f t="shared" si="158"/>
        <v>3</v>
      </c>
      <c r="L412">
        <f t="shared" si="158"/>
        <v>2</v>
      </c>
      <c r="M412">
        <f t="shared" si="158"/>
        <v>1</v>
      </c>
      <c r="N412">
        <f t="shared" si="158"/>
        <v>7</v>
      </c>
      <c r="O412">
        <f t="shared" si="158"/>
        <v>0</v>
      </c>
      <c r="P412">
        <f t="shared" ref="P412:Y421" si="159">LEN($B412)-LEN(SUBSTITUTE($B412,P$1,""))</f>
        <v>1</v>
      </c>
      <c r="Q412">
        <f t="shared" si="159"/>
        <v>3</v>
      </c>
      <c r="R412">
        <f t="shared" si="159"/>
        <v>2</v>
      </c>
      <c r="S412">
        <f t="shared" si="159"/>
        <v>4</v>
      </c>
      <c r="T412">
        <f t="shared" si="159"/>
        <v>10</v>
      </c>
      <c r="U412">
        <f t="shared" si="159"/>
        <v>2</v>
      </c>
      <c r="V412">
        <f t="shared" si="159"/>
        <v>0</v>
      </c>
      <c r="W412">
        <f t="shared" si="159"/>
        <v>2</v>
      </c>
      <c r="X412">
        <f t="shared" si="159"/>
        <v>7</v>
      </c>
      <c r="Y412">
        <f t="shared" si="159"/>
        <v>3</v>
      </c>
      <c r="Z412">
        <f t="shared" ref="Z412:AE421" si="160">LEN($B412)-LEN(SUBSTITUTE($B412,Z$1,""))</f>
        <v>2</v>
      </c>
      <c r="AA412">
        <f t="shared" si="160"/>
        <v>0</v>
      </c>
      <c r="AB412">
        <f t="shared" si="160"/>
        <v>0</v>
      </c>
      <c r="AC412">
        <f t="shared" si="160"/>
        <v>0</v>
      </c>
      <c r="AD412">
        <f t="shared" si="160"/>
        <v>1</v>
      </c>
      <c r="AE412">
        <f t="shared" si="160"/>
        <v>0</v>
      </c>
      <c r="AF412" s="56">
        <f t="shared" si="149"/>
        <v>19</v>
      </c>
      <c r="AG412" s="59">
        <f t="shared" si="150"/>
        <v>6.25</v>
      </c>
      <c r="AH412">
        <f t="shared" si="151"/>
        <v>0.32894736842105265</v>
      </c>
    </row>
    <row r="413" spans="1:34" ht="15" x14ac:dyDescent="0.2">
      <c r="A413">
        <v>587</v>
      </c>
      <c r="B413" s="57" t="s">
        <v>608</v>
      </c>
      <c r="C413" s="57"/>
      <c r="D413">
        <f t="shared" si="147"/>
        <v>75</v>
      </c>
      <c r="E413" s="1">
        <f t="shared" si="148"/>
        <v>12</v>
      </c>
      <c r="F413">
        <f t="shared" si="158"/>
        <v>3</v>
      </c>
      <c r="G413">
        <f t="shared" si="158"/>
        <v>1</v>
      </c>
      <c r="H413">
        <f t="shared" si="158"/>
        <v>2</v>
      </c>
      <c r="I413">
        <f t="shared" si="158"/>
        <v>1</v>
      </c>
      <c r="J413">
        <f t="shared" si="158"/>
        <v>9</v>
      </c>
      <c r="K413">
        <f t="shared" si="158"/>
        <v>2</v>
      </c>
      <c r="L413">
        <f t="shared" si="158"/>
        <v>0</v>
      </c>
      <c r="M413">
        <f t="shared" si="158"/>
        <v>1</v>
      </c>
      <c r="N413">
        <f t="shared" si="158"/>
        <v>3</v>
      </c>
      <c r="O413">
        <f t="shared" si="158"/>
        <v>0</v>
      </c>
      <c r="P413">
        <f t="shared" si="159"/>
        <v>1</v>
      </c>
      <c r="Q413">
        <f t="shared" si="159"/>
        <v>3</v>
      </c>
      <c r="R413">
        <f t="shared" si="159"/>
        <v>1</v>
      </c>
      <c r="S413">
        <f t="shared" si="159"/>
        <v>6</v>
      </c>
      <c r="T413">
        <f t="shared" si="159"/>
        <v>10</v>
      </c>
      <c r="U413">
        <f t="shared" si="159"/>
        <v>0</v>
      </c>
      <c r="V413">
        <f t="shared" si="159"/>
        <v>0</v>
      </c>
      <c r="W413">
        <f t="shared" si="159"/>
        <v>5</v>
      </c>
      <c r="X413">
        <f t="shared" si="159"/>
        <v>2</v>
      </c>
      <c r="Y413">
        <f t="shared" si="159"/>
        <v>4</v>
      </c>
      <c r="Z413">
        <f t="shared" si="160"/>
        <v>3</v>
      </c>
      <c r="AA413">
        <f t="shared" si="160"/>
        <v>1</v>
      </c>
      <c r="AB413">
        <f t="shared" si="160"/>
        <v>1</v>
      </c>
      <c r="AC413">
        <f t="shared" si="160"/>
        <v>0</v>
      </c>
      <c r="AD413">
        <f t="shared" si="160"/>
        <v>3</v>
      </c>
      <c r="AE413">
        <f t="shared" si="160"/>
        <v>0</v>
      </c>
      <c r="AF413" s="56">
        <f t="shared" si="149"/>
        <v>20</v>
      </c>
      <c r="AG413" s="59">
        <f t="shared" si="150"/>
        <v>6.25</v>
      </c>
      <c r="AH413">
        <f t="shared" si="151"/>
        <v>0.3125</v>
      </c>
    </row>
    <row r="414" spans="1:34" ht="15" x14ac:dyDescent="0.2">
      <c r="A414">
        <v>92</v>
      </c>
      <c r="B414" s="57" t="s">
        <v>157</v>
      </c>
      <c r="C414" s="57"/>
      <c r="D414">
        <f t="shared" si="147"/>
        <v>75</v>
      </c>
      <c r="E414" s="1">
        <f t="shared" si="148"/>
        <v>13</v>
      </c>
      <c r="F414">
        <f t="shared" si="158"/>
        <v>1</v>
      </c>
      <c r="G414">
        <f t="shared" si="158"/>
        <v>1</v>
      </c>
      <c r="H414">
        <f t="shared" si="158"/>
        <v>0</v>
      </c>
      <c r="I414">
        <f t="shared" si="158"/>
        <v>2</v>
      </c>
      <c r="J414">
        <f t="shared" si="158"/>
        <v>6</v>
      </c>
      <c r="K414">
        <f t="shared" si="158"/>
        <v>2</v>
      </c>
      <c r="L414">
        <f t="shared" si="158"/>
        <v>2</v>
      </c>
      <c r="M414">
        <f t="shared" si="158"/>
        <v>3</v>
      </c>
      <c r="N414">
        <f t="shared" si="158"/>
        <v>6</v>
      </c>
      <c r="O414">
        <f t="shared" si="158"/>
        <v>0</v>
      </c>
      <c r="P414">
        <f t="shared" si="159"/>
        <v>0</v>
      </c>
      <c r="Q414">
        <f t="shared" si="159"/>
        <v>2</v>
      </c>
      <c r="R414">
        <f t="shared" si="159"/>
        <v>1</v>
      </c>
      <c r="S414">
        <f t="shared" si="159"/>
        <v>5</v>
      </c>
      <c r="T414">
        <f t="shared" si="159"/>
        <v>7</v>
      </c>
      <c r="U414">
        <f t="shared" si="159"/>
        <v>1</v>
      </c>
      <c r="V414">
        <f t="shared" si="159"/>
        <v>0</v>
      </c>
      <c r="W414">
        <f t="shared" si="159"/>
        <v>4</v>
      </c>
      <c r="X414">
        <f t="shared" si="159"/>
        <v>3</v>
      </c>
      <c r="Y414">
        <f t="shared" si="159"/>
        <v>6</v>
      </c>
      <c r="Z414">
        <f t="shared" si="160"/>
        <v>3</v>
      </c>
      <c r="AA414">
        <f t="shared" si="160"/>
        <v>1</v>
      </c>
      <c r="AB414">
        <f t="shared" si="160"/>
        <v>1</v>
      </c>
      <c r="AC414">
        <f t="shared" si="160"/>
        <v>0</v>
      </c>
      <c r="AD414">
        <f t="shared" si="160"/>
        <v>2</v>
      </c>
      <c r="AE414">
        <f t="shared" si="160"/>
        <v>0</v>
      </c>
      <c r="AF414" s="56">
        <f t="shared" si="149"/>
        <v>20</v>
      </c>
      <c r="AG414" s="59">
        <f t="shared" si="150"/>
        <v>5.7692307692307692</v>
      </c>
      <c r="AH414">
        <f t="shared" si="151"/>
        <v>0.28846153846153844</v>
      </c>
    </row>
    <row r="415" spans="1:34" ht="15" x14ac:dyDescent="0.2">
      <c r="A415">
        <v>138</v>
      </c>
      <c r="B415" s="57" t="s">
        <v>203</v>
      </c>
      <c r="C415" s="57"/>
      <c r="D415">
        <f t="shared" si="147"/>
        <v>74</v>
      </c>
      <c r="E415" s="1">
        <f t="shared" si="148"/>
        <v>15</v>
      </c>
      <c r="F415">
        <f t="shared" si="158"/>
        <v>4</v>
      </c>
      <c r="G415">
        <f t="shared" si="158"/>
        <v>0</v>
      </c>
      <c r="H415">
        <f t="shared" si="158"/>
        <v>0</v>
      </c>
      <c r="I415">
        <f t="shared" si="158"/>
        <v>2</v>
      </c>
      <c r="J415">
        <f t="shared" si="158"/>
        <v>7</v>
      </c>
      <c r="K415">
        <f t="shared" si="158"/>
        <v>2</v>
      </c>
      <c r="L415">
        <f t="shared" si="158"/>
        <v>0</v>
      </c>
      <c r="M415">
        <f t="shared" si="158"/>
        <v>6</v>
      </c>
      <c r="N415">
        <f t="shared" si="158"/>
        <v>3</v>
      </c>
      <c r="O415">
        <f t="shared" si="158"/>
        <v>0</v>
      </c>
      <c r="P415">
        <f t="shared" si="159"/>
        <v>1</v>
      </c>
      <c r="Q415">
        <f t="shared" si="159"/>
        <v>1</v>
      </c>
      <c r="R415">
        <f t="shared" si="159"/>
        <v>0</v>
      </c>
      <c r="S415">
        <f t="shared" si="159"/>
        <v>4</v>
      </c>
      <c r="T415">
        <f t="shared" si="159"/>
        <v>7</v>
      </c>
      <c r="U415">
        <f t="shared" si="159"/>
        <v>2</v>
      </c>
      <c r="V415">
        <f t="shared" si="159"/>
        <v>0</v>
      </c>
      <c r="W415">
        <f t="shared" si="159"/>
        <v>3</v>
      </c>
      <c r="X415">
        <f t="shared" si="159"/>
        <v>5</v>
      </c>
      <c r="Y415">
        <f t="shared" si="159"/>
        <v>7</v>
      </c>
      <c r="Z415">
        <f t="shared" si="160"/>
        <v>0</v>
      </c>
      <c r="AA415">
        <f t="shared" si="160"/>
        <v>0</v>
      </c>
      <c r="AB415">
        <f t="shared" si="160"/>
        <v>3</v>
      </c>
      <c r="AC415">
        <f t="shared" si="160"/>
        <v>0</v>
      </c>
      <c r="AD415">
        <f t="shared" si="160"/>
        <v>1</v>
      </c>
      <c r="AE415">
        <f t="shared" si="160"/>
        <v>0</v>
      </c>
      <c r="AF415" s="56">
        <f t="shared" si="149"/>
        <v>16</v>
      </c>
      <c r="AG415" s="59">
        <f t="shared" si="150"/>
        <v>4.9333333333333336</v>
      </c>
      <c r="AH415">
        <f t="shared" si="151"/>
        <v>0.30833333333333335</v>
      </c>
    </row>
    <row r="416" spans="1:34" ht="15" x14ac:dyDescent="0.2">
      <c r="A416">
        <v>562</v>
      </c>
      <c r="B416" s="57" t="s">
        <v>584</v>
      </c>
      <c r="C416" s="57"/>
      <c r="D416">
        <f t="shared" si="147"/>
        <v>74</v>
      </c>
      <c r="E416" s="1">
        <f t="shared" si="148"/>
        <v>14</v>
      </c>
      <c r="F416">
        <f t="shared" si="158"/>
        <v>6</v>
      </c>
      <c r="G416">
        <f t="shared" si="158"/>
        <v>5</v>
      </c>
      <c r="H416">
        <f t="shared" si="158"/>
        <v>1</v>
      </c>
      <c r="I416">
        <f t="shared" si="158"/>
        <v>0</v>
      </c>
      <c r="J416">
        <f t="shared" si="158"/>
        <v>8</v>
      </c>
      <c r="K416">
        <f t="shared" si="158"/>
        <v>3</v>
      </c>
      <c r="L416">
        <f t="shared" si="158"/>
        <v>0</v>
      </c>
      <c r="M416">
        <f t="shared" si="158"/>
        <v>3</v>
      </c>
      <c r="N416">
        <f t="shared" si="158"/>
        <v>2</v>
      </c>
      <c r="O416">
        <f t="shared" si="158"/>
        <v>1</v>
      </c>
      <c r="P416">
        <f t="shared" si="159"/>
        <v>0</v>
      </c>
      <c r="Q416">
        <f t="shared" si="159"/>
        <v>3</v>
      </c>
      <c r="R416">
        <f t="shared" si="159"/>
        <v>0</v>
      </c>
      <c r="S416">
        <f t="shared" si="159"/>
        <v>3</v>
      </c>
      <c r="T416">
        <f t="shared" si="159"/>
        <v>5</v>
      </c>
      <c r="U416">
        <f t="shared" si="159"/>
        <v>1</v>
      </c>
      <c r="V416">
        <f t="shared" si="159"/>
        <v>0</v>
      </c>
      <c r="W416">
        <f t="shared" si="159"/>
        <v>5</v>
      </c>
      <c r="X416">
        <f t="shared" si="159"/>
        <v>6</v>
      </c>
      <c r="Y416">
        <f t="shared" si="159"/>
        <v>4</v>
      </c>
      <c r="Z416">
        <f t="shared" si="160"/>
        <v>2</v>
      </c>
      <c r="AA416">
        <f t="shared" si="160"/>
        <v>0</v>
      </c>
      <c r="AB416">
        <f t="shared" si="160"/>
        <v>1</v>
      </c>
      <c r="AC416">
        <f t="shared" si="160"/>
        <v>0</v>
      </c>
      <c r="AD416">
        <f t="shared" si="160"/>
        <v>0</v>
      </c>
      <c r="AE416">
        <f t="shared" si="160"/>
        <v>0</v>
      </c>
      <c r="AF416" s="56">
        <f t="shared" si="149"/>
        <v>17</v>
      </c>
      <c r="AG416" s="59">
        <f t="shared" si="150"/>
        <v>5.2857142857142856</v>
      </c>
      <c r="AH416">
        <f t="shared" si="151"/>
        <v>0.31092436974789917</v>
      </c>
    </row>
    <row r="417" spans="1:34" ht="15" x14ac:dyDescent="0.2">
      <c r="A417">
        <v>100</v>
      </c>
      <c r="B417" s="57" t="s">
        <v>165</v>
      </c>
      <c r="C417" s="57"/>
      <c r="D417">
        <f t="shared" si="147"/>
        <v>74</v>
      </c>
      <c r="E417" s="1">
        <f t="shared" si="148"/>
        <v>16</v>
      </c>
      <c r="F417">
        <f t="shared" si="158"/>
        <v>8</v>
      </c>
      <c r="G417">
        <f t="shared" si="158"/>
        <v>0</v>
      </c>
      <c r="H417">
        <f t="shared" si="158"/>
        <v>5</v>
      </c>
      <c r="I417">
        <f t="shared" si="158"/>
        <v>1</v>
      </c>
      <c r="J417">
        <f t="shared" si="158"/>
        <v>7</v>
      </c>
      <c r="K417">
        <f t="shared" si="158"/>
        <v>4</v>
      </c>
      <c r="L417">
        <f t="shared" si="158"/>
        <v>0</v>
      </c>
      <c r="M417">
        <f t="shared" si="158"/>
        <v>5</v>
      </c>
      <c r="N417">
        <f t="shared" si="158"/>
        <v>3</v>
      </c>
      <c r="O417">
        <f t="shared" si="158"/>
        <v>0</v>
      </c>
      <c r="P417">
        <f t="shared" si="159"/>
        <v>0</v>
      </c>
      <c r="Q417">
        <f t="shared" si="159"/>
        <v>5</v>
      </c>
      <c r="R417">
        <f t="shared" si="159"/>
        <v>1</v>
      </c>
      <c r="S417">
        <f t="shared" si="159"/>
        <v>1</v>
      </c>
      <c r="T417">
        <f t="shared" si="159"/>
        <v>3</v>
      </c>
      <c r="U417">
        <f t="shared" si="159"/>
        <v>2</v>
      </c>
      <c r="V417">
        <f t="shared" si="159"/>
        <v>0</v>
      </c>
      <c r="W417">
        <f t="shared" si="159"/>
        <v>1</v>
      </c>
      <c r="X417">
        <f t="shared" si="159"/>
        <v>2</v>
      </c>
      <c r="Y417">
        <f t="shared" si="159"/>
        <v>6</v>
      </c>
      <c r="Z417">
        <f t="shared" si="160"/>
        <v>1</v>
      </c>
      <c r="AA417">
        <f t="shared" si="160"/>
        <v>0</v>
      </c>
      <c r="AB417">
        <f t="shared" si="160"/>
        <v>0</v>
      </c>
      <c r="AC417">
        <f t="shared" si="160"/>
        <v>0</v>
      </c>
      <c r="AD417">
        <f t="shared" si="160"/>
        <v>2</v>
      </c>
      <c r="AE417">
        <f t="shared" si="160"/>
        <v>0</v>
      </c>
      <c r="AF417" s="56">
        <f t="shared" si="149"/>
        <v>17</v>
      </c>
      <c r="AG417" s="59">
        <f t="shared" si="150"/>
        <v>4.625</v>
      </c>
      <c r="AH417">
        <f t="shared" si="151"/>
        <v>0.27205882352941174</v>
      </c>
    </row>
    <row r="418" spans="1:34" ht="15" x14ac:dyDescent="0.2">
      <c r="A418">
        <v>122</v>
      </c>
      <c r="B418" s="57" t="s">
        <v>187</v>
      </c>
      <c r="C418" s="57"/>
      <c r="D418">
        <f t="shared" si="147"/>
        <v>74</v>
      </c>
      <c r="E418" s="1">
        <f t="shared" si="148"/>
        <v>15</v>
      </c>
      <c r="F418">
        <f t="shared" si="158"/>
        <v>4</v>
      </c>
      <c r="G418">
        <f t="shared" si="158"/>
        <v>1</v>
      </c>
      <c r="H418">
        <f t="shared" si="158"/>
        <v>1</v>
      </c>
      <c r="I418">
        <f t="shared" si="158"/>
        <v>1</v>
      </c>
      <c r="J418">
        <f t="shared" si="158"/>
        <v>9</v>
      </c>
      <c r="K418">
        <f t="shared" si="158"/>
        <v>1</v>
      </c>
      <c r="L418">
        <f t="shared" si="158"/>
        <v>1</v>
      </c>
      <c r="M418">
        <f t="shared" si="158"/>
        <v>5</v>
      </c>
      <c r="N418">
        <f t="shared" si="158"/>
        <v>2</v>
      </c>
      <c r="O418">
        <f t="shared" si="158"/>
        <v>0</v>
      </c>
      <c r="P418">
        <f t="shared" si="159"/>
        <v>1</v>
      </c>
      <c r="Q418">
        <f t="shared" si="159"/>
        <v>4</v>
      </c>
      <c r="R418">
        <f t="shared" si="159"/>
        <v>2</v>
      </c>
      <c r="S418">
        <f t="shared" si="159"/>
        <v>3</v>
      </c>
      <c r="T418">
        <f t="shared" si="159"/>
        <v>6</v>
      </c>
      <c r="U418">
        <f t="shared" si="159"/>
        <v>1</v>
      </c>
      <c r="V418">
        <f t="shared" si="159"/>
        <v>0</v>
      </c>
      <c r="W418">
        <f t="shared" si="159"/>
        <v>2</v>
      </c>
      <c r="X418">
        <f t="shared" si="159"/>
        <v>5</v>
      </c>
      <c r="Y418">
        <f t="shared" si="159"/>
        <v>4</v>
      </c>
      <c r="Z418">
        <f t="shared" si="160"/>
        <v>2</v>
      </c>
      <c r="AA418">
        <f t="shared" si="160"/>
        <v>1</v>
      </c>
      <c r="AB418">
        <f t="shared" si="160"/>
        <v>4</v>
      </c>
      <c r="AC418">
        <f t="shared" si="160"/>
        <v>0</v>
      </c>
      <c r="AD418">
        <f t="shared" si="160"/>
        <v>0</v>
      </c>
      <c r="AE418">
        <f t="shared" si="160"/>
        <v>0</v>
      </c>
      <c r="AF418" s="56">
        <f t="shared" si="149"/>
        <v>21</v>
      </c>
      <c r="AG418" s="59">
        <f t="shared" si="150"/>
        <v>4.9333333333333336</v>
      </c>
      <c r="AH418">
        <f t="shared" si="151"/>
        <v>0.23492063492063492</v>
      </c>
    </row>
    <row r="419" spans="1:34" ht="15" x14ac:dyDescent="0.2">
      <c r="A419">
        <v>74</v>
      </c>
      <c r="B419" s="57" t="s">
        <v>139</v>
      </c>
      <c r="C419" s="57"/>
      <c r="D419">
        <f t="shared" si="147"/>
        <v>73</v>
      </c>
      <c r="E419" s="1">
        <f t="shared" si="148"/>
        <v>14</v>
      </c>
      <c r="F419">
        <f t="shared" si="158"/>
        <v>1</v>
      </c>
      <c r="G419">
        <f t="shared" si="158"/>
        <v>0</v>
      </c>
      <c r="H419">
        <f t="shared" si="158"/>
        <v>0</v>
      </c>
      <c r="I419">
        <f t="shared" si="158"/>
        <v>2</v>
      </c>
      <c r="J419">
        <f t="shared" si="158"/>
        <v>8</v>
      </c>
      <c r="K419">
        <f t="shared" si="158"/>
        <v>1</v>
      </c>
      <c r="L419">
        <f t="shared" si="158"/>
        <v>3</v>
      </c>
      <c r="M419">
        <f t="shared" si="158"/>
        <v>3</v>
      </c>
      <c r="N419">
        <f t="shared" si="158"/>
        <v>3</v>
      </c>
      <c r="O419">
        <f t="shared" si="158"/>
        <v>0</v>
      </c>
      <c r="P419">
        <f t="shared" si="159"/>
        <v>1</v>
      </c>
      <c r="Q419">
        <f t="shared" si="159"/>
        <v>0</v>
      </c>
      <c r="R419">
        <f t="shared" si="159"/>
        <v>1</v>
      </c>
      <c r="S419">
        <f t="shared" si="159"/>
        <v>4</v>
      </c>
      <c r="T419">
        <f t="shared" si="159"/>
        <v>8</v>
      </c>
      <c r="U419">
        <f t="shared" si="159"/>
        <v>0</v>
      </c>
      <c r="V419">
        <f t="shared" si="159"/>
        <v>0</v>
      </c>
      <c r="W419">
        <f t="shared" si="159"/>
        <v>4</v>
      </c>
      <c r="X419">
        <f t="shared" si="159"/>
        <v>1</v>
      </c>
      <c r="Y419">
        <f t="shared" si="159"/>
        <v>7</v>
      </c>
      <c r="Z419">
        <f t="shared" si="160"/>
        <v>3</v>
      </c>
      <c r="AA419">
        <f t="shared" si="160"/>
        <v>0</v>
      </c>
      <c r="AB419">
        <f t="shared" si="160"/>
        <v>3</v>
      </c>
      <c r="AC419">
        <f t="shared" si="160"/>
        <v>0</v>
      </c>
      <c r="AD419">
        <f t="shared" si="160"/>
        <v>3</v>
      </c>
      <c r="AE419">
        <f t="shared" si="160"/>
        <v>0</v>
      </c>
      <c r="AF419" s="56">
        <f t="shared" si="149"/>
        <v>17</v>
      </c>
      <c r="AG419" s="59">
        <f t="shared" si="150"/>
        <v>5.2142857142857144</v>
      </c>
      <c r="AH419">
        <f t="shared" si="151"/>
        <v>0.30672268907563027</v>
      </c>
    </row>
    <row r="420" spans="1:34" ht="15" x14ac:dyDescent="0.2">
      <c r="A420">
        <v>336</v>
      </c>
      <c r="B420" s="57" t="s">
        <v>396</v>
      </c>
      <c r="C420" s="57"/>
      <c r="D420">
        <f t="shared" si="147"/>
        <v>73</v>
      </c>
      <c r="E420" s="1">
        <f t="shared" si="148"/>
        <v>13</v>
      </c>
      <c r="F420">
        <f t="shared" si="158"/>
        <v>2</v>
      </c>
      <c r="G420">
        <f t="shared" si="158"/>
        <v>1</v>
      </c>
      <c r="H420">
        <f t="shared" si="158"/>
        <v>4</v>
      </c>
      <c r="I420">
        <f t="shared" si="158"/>
        <v>4</v>
      </c>
      <c r="J420">
        <f t="shared" si="158"/>
        <v>7</v>
      </c>
      <c r="K420">
        <f t="shared" si="158"/>
        <v>2</v>
      </c>
      <c r="L420">
        <f t="shared" si="158"/>
        <v>1</v>
      </c>
      <c r="M420">
        <f t="shared" si="158"/>
        <v>1</v>
      </c>
      <c r="N420">
        <f t="shared" si="158"/>
        <v>8</v>
      </c>
      <c r="O420">
        <f t="shared" si="158"/>
        <v>0</v>
      </c>
      <c r="P420">
        <f t="shared" si="159"/>
        <v>0</v>
      </c>
      <c r="Q420">
        <f t="shared" si="159"/>
        <v>1</v>
      </c>
      <c r="R420">
        <f t="shared" si="159"/>
        <v>2</v>
      </c>
      <c r="S420">
        <f t="shared" si="159"/>
        <v>5</v>
      </c>
      <c r="T420">
        <f t="shared" si="159"/>
        <v>7</v>
      </c>
      <c r="U420">
        <f t="shared" si="159"/>
        <v>0</v>
      </c>
      <c r="V420">
        <f t="shared" si="159"/>
        <v>0</v>
      </c>
      <c r="W420">
        <f t="shared" si="159"/>
        <v>2</v>
      </c>
      <c r="X420">
        <f t="shared" si="159"/>
        <v>3</v>
      </c>
      <c r="Y420">
        <f t="shared" si="159"/>
        <v>5</v>
      </c>
      <c r="Z420">
        <f t="shared" si="160"/>
        <v>1</v>
      </c>
      <c r="AA420">
        <f t="shared" si="160"/>
        <v>1</v>
      </c>
      <c r="AB420">
        <f t="shared" si="160"/>
        <v>2</v>
      </c>
      <c r="AC420">
        <f t="shared" si="160"/>
        <v>0</v>
      </c>
      <c r="AD420">
        <f t="shared" si="160"/>
        <v>0</v>
      </c>
      <c r="AE420">
        <f t="shared" si="160"/>
        <v>0</v>
      </c>
      <c r="AF420" s="56">
        <f t="shared" si="149"/>
        <v>19</v>
      </c>
      <c r="AG420" s="59">
        <f t="shared" si="150"/>
        <v>5.615384615384615</v>
      </c>
      <c r="AH420">
        <f t="shared" si="151"/>
        <v>0.2955465587044534</v>
      </c>
    </row>
    <row r="421" spans="1:34" ht="15" x14ac:dyDescent="0.2">
      <c r="A421">
        <v>16</v>
      </c>
      <c r="B421" s="57" t="s">
        <v>81</v>
      </c>
      <c r="C421" s="57"/>
      <c r="D421">
        <f t="shared" si="147"/>
        <v>73</v>
      </c>
      <c r="E421" s="1">
        <f t="shared" si="148"/>
        <v>14</v>
      </c>
      <c r="F421">
        <f t="shared" si="158"/>
        <v>3</v>
      </c>
      <c r="G421">
        <f t="shared" si="158"/>
        <v>0</v>
      </c>
      <c r="H421">
        <f t="shared" si="158"/>
        <v>1</v>
      </c>
      <c r="I421">
        <f t="shared" si="158"/>
        <v>2</v>
      </c>
      <c r="J421">
        <f t="shared" si="158"/>
        <v>9</v>
      </c>
      <c r="K421">
        <f t="shared" si="158"/>
        <v>1</v>
      </c>
      <c r="L421">
        <f t="shared" si="158"/>
        <v>1</v>
      </c>
      <c r="M421">
        <f t="shared" si="158"/>
        <v>3</v>
      </c>
      <c r="N421">
        <f t="shared" si="158"/>
        <v>4</v>
      </c>
      <c r="O421">
        <f t="shared" si="158"/>
        <v>0</v>
      </c>
      <c r="P421">
        <f t="shared" si="159"/>
        <v>0</v>
      </c>
      <c r="Q421">
        <f t="shared" si="159"/>
        <v>1</v>
      </c>
      <c r="R421">
        <f t="shared" si="159"/>
        <v>1</v>
      </c>
      <c r="S421">
        <f t="shared" si="159"/>
        <v>6</v>
      </c>
      <c r="T421">
        <f t="shared" si="159"/>
        <v>6</v>
      </c>
      <c r="U421">
        <f t="shared" si="159"/>
        <v>3</v>
      </c>
      <c r="V421">
        <f t="shared" si="159"/>
        <v>0</v>
      </c>
      <c r="W421">
        <f t="shared" si="159"/>
        <v>2</v>
      </c>
      <c r="X421">
        <f t="shared" si="159"/>
        <v>5</v>
      </c>
      <c r="Y421">
        <f t="shared" si="159"/>
        <v>6</v>
      </c>
      <c r="Z421">
        <f t="shared" si="160"/>
        <v>3</v>
      </c>
      <c r="AA421">
        <f t="shared" si="160"/>
        <v>1</v>
      </c>
      <c r="AB421">
        <f t="shared" si="160"/>
        <v>0</v>
      </c>
      <c r="AC421">
        <f t="shared" si="160"/>
        <v>0</v>
      </c>
      <c r="AD421">
        <f t="shared" si="160"/>
        <v>1</v>
      </c>
      <c r="AE421">
        <f t="shared" si="160"/>
        <v>0</v>
      </c>
      <c r="AF421" s="56">
        <f t="shared" si="149"/>
        <v>19</v>
      </c>
      <c r="AG421" s="59">
        <f t="shared" si="150"/>
        <v>5.2142857142857144</v>
      </c>
      <c r="AH421">
        <f t="shared" si="151"/>
        <v>0.27443609022556392</v>
      </c>
    </row>
    <row r="422" spans="1:34" ht="15" x14ac:dyDescent="0.2">
      <c r="A422">
        <v>30</v>
      </c>
      <c r="B422" s="57" t="s">
        <v>95</v>
      </c>
      <c r="C422" s="57"/>
      <c r="D422">
        <f t="shared" si="147"/>
        <v>73</v>
      </c>
      <c r="E422" s="1">
        <f t="shared" si="148"/>
        <v>12</v>
      </c>
      <c r="F422">
        <f t="shared" ref="F422:O431" si="161">LEN($B422)-LEN(SUBSTITUTE($B422,F$1,""))</f>
        <v>6</v>
      </c>
      <c r="G422">
        <f t="shared" si="161"/>
        <v>1</v>
      </c>
      <c r="H422">
        <f t="shared" si="161"/>
        <v>1</v>
      </c>
      <c r="I422">
        <f t="shared" si="161"/>
        <v>0</v>
      </c>
      <c r="J422">
        <f t="shared" si="161"/>
        <v>3</v>
      </c>
      <c r="K422">
        <f t="shared" si="161"/>
        <v>2</v>
      </c>
      <c r="L422">
        <f t="shared" si="161"/>
        <v>5</v>
      </c>
      <c r="M422">
        <f t="shared" si="161"/>
        <v>4</v>
      </c>
      <c r="N422">
        <f t="shared" si="161"/>
        <v>6</v>
      </c>
      <c r="O422">
        <f t="shared" si="161"/>
        <v>0</v>
      </c>
      <c r="P422">
        <f t="shared" ref="P422:Y431" si="162">LEN($B422)-LEN(SUBSTITUTE($B422,P$1,""))</f>
        <v>1</v>
      </c>
      <c r="Q422">
        <f t="shared" si="162"/>
        <v>2</v>
      </c>
      <c r="R422">
        <f t="shared" si="162"/>
        <v>0</v>
      </c>
      <c r="S422">
        <f t="shared" si="162"/>
        <v>4</v>
      </c>
      <c r="T422">
        <f t="shared" si="162"/>
        <v>1</v>
      </c>
      <c r="U422">
        <f t="shared" si="162"/>
        <v>1</v>
      </c>
      <c r="V422">
        <f t="shared" si="162"/>
        <v>0</v>
      </c>
      <c r="W422">
        <f t="shared" si="162"/>
        <v>3</v>
      </c>
      <c r="X422">
        <f t="shared" si="162"/>
        <v>3</v>
      </c>
      <c r="Y422">
        <f t="shared" si="162"/>
        <v>10</v>
      </c>
      <c r="Z422">
        <f t="shared" ref="Z422:AE431" si="163">LEN($B422)-LEN(SUBSTITUTE($B422,Z$1,""))</f>
        <v>3</v>
      </c>
      <c r="AA422">
        <f t="shared" si="163"/>
        <v>1</v>
      </c>
      <c r="AB422">
        <f t="shared" si="163"/>
        <v>1</v>
      </c>
      <c r="AC422">
        <f t="shared" si="163"/>
        <v>0</v>
      </c>
      <c r="AD422">
        <f t="shared" si="163"/>
        <v>1</v>
      </c>
      <c r="AE422">
        <f t="shared" si="163"/>
        <v>0</v>
      </c>
      <c r="AF422" s="56">
        <f t="shared" si="149"/>
        <v>20</v>
      </c>
      <c r="AG422" s="59">
        <f t="shared" si="150"/>
        <v>6.083333333333333</v>
      </c>
      <c r="AH422">
        <f t="shared" si="151"/>
        <v>0.30416666666666664</v>
      </c>
    </row>
    <row r="423" spans="1:34" ht="15" x14ac:dyDescent="0.2">
      <c r="A423">
        <v>77</v>
      </c>
      <c r="B423" s="57" t="s">
        <v>142</v>
      </c>
      <c r="C423" s="57"/>
      <c r="D423">
        <f t="shared" si="147"/>
        <v>72</v>
      </c>
      <c r="E423" s="1">
        <f t="shared" si="148"/>
        <v>14</v>
      </c>
      <c r="F423">
        <f t="shared" si="161"/>
        <v>2</v>
      </c>
      <c r="G423">
        <f t="shared" si="161"/>
        <v>2</v>
      </c>
      <c r="H423">
        <f t="shared" si="161"/>
        <v>0</v>
      </c>
      <c r="I423">
        <f t="shared" si="161"/>
        <v>0</v>
      </c>
      <c r="J423">
        <f t="shared" si="161"/>
        <v>6</v>
      </c>
      <c r="K423">
        <f t="shared" si="161"/>
        <v>2</v>
      </c>
      <c r="L423">
        <f t="shared" si="161"/>
        <v>2</v>
      </c>
      <c r="M423">
        <f t="shared" si="161"/>
        <v>7</v>
      </c>
      <c r="N423">
        <f t="shared" si="161"/>
        <v>4</v>
      </c>
      <c r="O423">
        <f t="shared" si="161"/>
        <v>0</v>
      </c>
      <c r="P423">
        <f t="shared" si="162"/>
        <v>0</v>
      </c>
      <c r="Q423">
        <f t="shared" si="162"/>
        <v>2</v>
      </c>
      <c r="R423">
        <f t="shared" si="162"/>
        <v>3</v>
      </c>
      <c r="S423">
        <f t="shared" si="162"/>
        <v>3</v>
      </c>
      <c r="T423">
        <f t="shared" si="162"/>
        <v>6</v>
      </c>
      <c r="U423">
        <f t="shared" si="162"/>
        <v>0</v>
      </c>
      <c r="V423">
        <f t="shared" si="162"/>
        <v>0</v>
      </c>
      <c r="W423">
        <f t="shared" si="162"/>
        <v>1</v>
      </c>
      <c r="X423">
        <f t="shared" si="162"/>
        <v>4</v>
      </c>
      <c r="Y423">
        <f t="shared" si="162"/>
        <v>12</v>
      </c>
      <c r="Z423">
        <f t="shared" si="163"/>
        <v>0</v>
      </c>
      <c r="AA423">
        <f t="shared" si="163"/>
        <v>0</v>
      </c>
      <c r="AB423">
        <f t="shared" si="163"/>
        <v>0</v>
      </c>
      <c r="AC423">
        <f t="shared" si="163"/>
        <v>0</v>
      </c>
      <c r="AD423">
        <f t="shared" si="163"/>
        <v>0</v>
      </c>
      <c r="AE423">
        <f t="shared" si="163"/>
        <v>0</v>
      </c>
      <c r="AF423" s="56">
        <f t="shared" si="149"/>
        <v>14</v>
      </c>
      <c r="AG423" s="59">
        <f t="shared" si="150"/>
        <v>5.1428571428571432</v>
      </c>
      <c r="AH423">
        <f t="shared" si="151"/>
        <v>0.36734693877551022</v>
      </c>
    </row>
    <row r="424" spans="1:34" ht="15" x14ac:dyDescent="0.2">
      <c r="A424">
        <v>155</v>
      </c>
      <c r="B424" s="57" t="s">
        <v>220</v>
      </c>
      <c r="C424" s="57"/>
      <c r="D424">
        <f t="shared" si="147"/>
        <v>72</v>
      </c>
      <c r="E424" s="1">
        <f t="shared" si="148"/>
        <v>15</v>
      </c>
      <c r="F424">
        <f t="shared" si="161"/>
        <v>1</v>
      </c>
      <c r="G424">
        <f t="shared" si="161"/>
        <v>0</v>
      </c>
      <c r="H424">
        <f t="shared" si="161"/>
        <v>0</v>
      </c>
      <c r="I424">
        <f t="shared" si="161"/>
        <v>3</v>
      </c>
      <c r="J424">
        <f t="shared" si="161"/>
        <v>4</v>
      </c>
      <c r="K424">
        <f t="shared" si="161"/>
        <v>3</v>
      </c>
      <c r="L424">
        <f t="shared" si="161"/>
        <v>4</v>
      </c>
      <c r="M424">
        <f t="shared" si="161"/>
        <v>4</v>
      </c>
      <c r="N424">
        <f t="shared" si="161"/>
        <v>7</v>
      </c>
      <c r="O424">
        <f t="shared" si="161"/>
        <v>0</v>
      </c>
      <c r="P424">
        <f t="shared" si="162"/>
        <v>0</v>
      </c>
      <c r="Q424">
        <f t="shared" si="162"/>
        <v>2</v>
      </c>
      <c r="R424">
        <f t="shared" si="162"/>
        <v>0</v>
      </c>
      <c r="S424">
        <f t="shared" si="162"/>
        <v>5</v>
      </c>
      <c r="T424">
        <f t="shared" si="162"/>
        <v>6</v>
      </c>
      <c r="U424">
        <f t="shared" si="162"/>
        <v>1</v>
      </c>
      <c r="V424">
        <f t="shared" si="162"/>
        <v>0</v>
      </c>
      <c r="W424">
        <f t="shared" si="162"/>
        <v>2</v>
      </c>
      <c r="X424">
        <f t="shared" si="162"/>
        <v>4</v>
      </c>
      <c r="Y424">
        <f t="shared" si="162"/>
        <v>5</v>
      </c>
      <c r="Z424">
        <f t="shared" si="163"/>
        <v>2</v>
      </c>
      <c r="AA424">
        <f t="shared" si="163"/>
        <v>0</v>
      </c>
      <c r="AB424">
        <f t="shared" si="163"/>
        <v>1</v>
      </c>
      <c r="AC424">
        <f t="shared" si="163"/>
        <v>0</v>
      </c>
      <c r="AD424">
        <f t="shared" si="163"/>
        <v>2</v>
      </c>
      <c r="AE424">
        <f t="shared" si="163"/>
        <v>0</v>
      </c>
      <c r="AF424" s="56">
        <f t="shared" si="149"/>
        <v>17</v>
      </c>
      <c r="AG424" s="59">
        <f t="shared" si="150"/>
        <v>4.8</v>
      </c>
      <c r="AH424">
        <f t="shared" si="151"/>
        <v>0.28235294117647058</v>
      </c>
    </row>
    <row r="425" spans="1:34" ht="15" x14ac:dyDescent="0.2">
      <c r="A425">
        <v>588</v>
      </c>
      <c r="B425" s="57" t="s">
        <v>609</v>
      </c>
      <c r="C425" s="57"/>
      <c r="D425">
        <f t="shared" si="147"/>
        <v>72</v>
      </c>
      <c r="E425" s="1">
        <f t="shared" si="148"/>
        <v>14</v>
      </c>
      <c r="F425">
        <f t="shared" si="161"/>
        <v>4</v>
      </c>
      <c r="G425">
        <f t="shared" si="161"/>
        <v>1</v>
      </c>
      <c r="H425">
        <f t="shared" si="161"/>
        <v>0</v>
      </c>
      <c r="I425">
        <f t="shared" si="161"/>
        <v>1</v>
      </c>
      <c r="J425">
        <f t="shared" si="161"/>
        <v>6</v>
      </c>
      <c r="K425">
        <f t="shared" si="161"/>
        <v>1</v>
      </c>
      <c r="L425">
        <f t="shared" si="161"/>
        <v>1</v>
      </c>
      <c r="M425">
        <f t="shared" si="161"/>
        <v>4</v>
      </c>
      <c r="N425">
        <f t="shared" si="161"/>
        <v>3</v>
      </c>
      <c r="O425">
        <f t="shared" si="161"/>
        <v>0</v>
      </c>
      <c r="P425">
        <f t="shared" si="162"/>
        <v>1</v>
      </c>
      <c r="Q425">
        <f t="shared" si="162"/>
        <v>2</v>
      </c>
      <c r="R425">
        <f t="shared" si="162"/>
        <v>3</v>
      </c>
      <c r="S425">
        <f t="shared" si="162"/>
        <v>4</v>
      </c>
      <c r="T425">
        <f t="shared" si="162"/>
        <v>4</v>
      </c>
      <c r="U425">
        <f t="shared" si="162"/>
        <v>0</v>
      </c>
      <c r="V425">
        <f t="shared" si="162"/>
        <v>0</v>
      </c>
      <c r="W425">
        <f t="shared" si="162"/>
        <v>4</v>
      </c>
      <c r="X425">
        <f t="shared" si="162"/>
        <v>0</v>
      </c>
      <c r="Y425">
        <f t="shared" si="162"/>
        <v>8</v>
      </c>
      <c r="Z425">
        <f t="shared" si="163"/>
        <v>3</v>
      </c>
      <c r="AA425">
        <f t="shared" si="163"/>
        <v>1</v>
      </c>
      <c r="AB425">
        <f t="shared" si="163"/>
        <v>1</v>
      </c>
      <c r="AC425">
        <f t="shared" si="163"/>
        <v>0</v>
      </c>
      <c r="AD425">
        <f t="shared" si="163"/>
        <v>3</v>
      </c>
      <c r="AE425">
        <f t="shared" si="163"/>
        <v>0</v>
      </c>
      <c r="AF425" s="56">
        <f t="shared" si="149"/>
        <v>19</v>
      </c>
      <c r="AG425" s="59">
        <f t="shared" si="150"/>
        <v>5.1428571428571432</v>
      </c>
      <c r="AH425">
        <f t="shared" si="151"/>
        <v>0.27067669172932335</v>
      </c>
    </row>
    <row r="426" spans="1:34" ht="15" x14ac:dyDescent="0.2">
      <c r="A426">
        <v>168</v>
      </c>
      <c r="B426" s="57" t="s">
        <v>232</v>
      </c>
      <c r="C426" s="57"/>
      <c r="D426">
        <f t="shared" si="147"/>
        <v>72</v>
      </c>
      <c r="E426" s="1">
        <f t="shared" si="148"/>
        <v>12</v>
      </c>
      <c r="F426">
        <f t="shared" si="161"/>
        <v>4</v>
      </c>
      <c r="G426">
        <f t="shared" si="161"/>
        <v>0</v>
      </c>
      <c r="H426">
        <f t="shared" si="161"/>
        <v>1</v>
      </c>
      <c r="I426">
        <f t="shared" si="161"/>
        <v>2</v>
      </c>
      <c r="J426">
        <f t="shared" si="161"/>
        <v>3</v>
      </c>
      <c r="K426">
        <f t="shared" si="161"/>
        <v>2</v>
      </c>
      <c r="L426">
        <f t="shared" si="161"/>
        <v>1</v>
      </c>
      <c r="M426">
        <f t="shared" si="161"/>
        <v>3</v>
      </c>
      <c r="N426">
        <f t="shared" si="161"/>
        <v>5</v>
      </c>
      <c r="O426">
        <f t="shared" si="161"/>
        <v>1</v>
      </c>
      <c r="P426">
        <f t="shared" si="162"/>
        <v>0</v>
      </c>
      <c r="Q426">
        <f t="shared" si="162"/>
        <v>2</v>
      </c>
      <c r="R426">
        <f t="shared" si="162"/>
        <v>4</v>
      </c>
      <c r="S426">
        <f t="shared" si="162"/>
        <v>4</v>
      </c>
      <c r="T426">
        <f t="shared" si="162"/>
        <v>7</v>
      </c>
      <c r="U426">
        <f t="shared" si="162"/>
        <v>1</v>
      </c>
      <c r="V426">
        <f t="shared" si="162"/>
        <v>0</v>
      </c>
      <c r="W426">
        <f t="shared" si="162"/>
        <v>2</v>
      </c>
      <c r="X426">
        <f t="shared" si="162"/>
        <v>5</v>
      </c>
      <c r="Y426">
        <f t="shared" si="162"/>
        <v>5</v>
      </c>
      <c r="Z426">
        <f t="shared" si="163"/>
        <v>4</v>
      </c>
      <c r="AA426">
        <f t="shared" si="163"/>
        <v>1</v>
      </c>
      <c r="AB426">
        <f t="shared" si="163"/>
        <v>0</v>
      </c>
      <c r="AC426">
        <f t="shared" si="163"/>
        <v>0</v>
      </c>
      <c r="AD426">
        <f t="shared" si="163"/>
        <v>1</v>
      </c>
      <c r="AE426">
        <f t="shared" si="163"/>
        <v>0</v>
      </c>
      <c r="AF426" s="56">
        <f t="shared" si="149"/>
        <v>20</v>
      </c>
      <c r="AG426" s="59">
        <f t="shared" si="150"/>
        <v>6</v>
      </c>
      <c r="AH426">
        <f t="shared" si="151"/>
        <v>0.3</v>
      </c>
    </row>
    <row r="427" spans="1:34" ht="15" x14ac:dyDescent="0.2">
      <c r="A427">
        <v>85</v>
      </c>
      <c r="B427" s="57" t="s">
        <v>150</v>
      </c>
      <c r="C427" s="57"/>
      <c r="D427">
        <f t="shared" si="147"/>
        <v>72</v>
      </c>
      <c r="E427" s="1">
        <f t="shared" si="148"/>
        <v>11</v>
      </c>
      <c r="F427">
        <f t="shared" si="161"/>
        <v>7</v>
      </c>
      <c r="G427">
        <f t="shared" si="161"/>
        <v>3</v>
      </c>
      <c r="H427">
        <f t="shared" si="161"/>
        <v>2</v>
      </c>
      <c r="I427">
        <f t="shared" si="161"/>
        <v>3</v>
      </c>
      <c r="J427">
        <f t="shared" si="161"/>
        <v>9</v>
      </c>
      <c r="K427">
        <f t="shared" si="161"/>
        <v>0</v>
      </c>
      <c r="L427">
        <f t="shared" si="161"/>
        <v>0</v>
      </c>
      <c r="M427">
        <f t="shared" si="161"/>
        <v>1</v>
      </c>
      <c r="N427">
        <f t="shared" si="161"/>
        <v>5</v>
      </c>
      <c r="O427">
        <f t="shared" si="161"/>
        <v>0</v>
      </c>
      <c r="P427">
        <f t="shared" si="162"/>
        <v>0</v>
      </c>
      <c r="Q427">
        <f t="shared" si="162"/>
        <v>3</v>
      </c>
      <c r="R427">
        <f t="shared" si="162"/>
        <v>1</v>
      </c>
      <c r="S427">
        <f t="shared" si="162"/>
        <v>3</v>
      </c>
      <c r="T427">
        <f t="shared" si="162"/>
        <v>1</v>
      </c>
      <c r="U427">
        <f t="shared" si="162"/>
        <v>2</v>
      </c>
      <c r="V427">
        <f t="shared" si="162"/>
        <v>1</v>
      </c>
      <c r="W427">
        <f t="shared" si="162"/>
        <v>2</v>
      </c>
      <c r="X427">
        <f t="shared" si="162"/>
        <v>1</v>
      </c>
      <c r="Y427">
        <f t="shared" si="162"/>
        <v>8</v>
      </c>
      <c r="Z427">
        <f t="shared" si="163"/>
        <v>3</v>
      </c>
      <c r="AA427">
        <f t="shared" si="163"/>
        <v>1</v>
      </c>
      <c r="AB427">
        <f t="shared" si="163"/>
        <v>1</v>
      </c>
      <c r="AC427">
        <f t="shared" si="163"/>
        <v>1</v>
      </c>
      <c r="AD427">
        <f t="shared" si="163"/>
        <v>3</v>
      </c>
      <c r="AE427">
        <f t="shared" si="163"/>
        <v>0</v>
      </c>
      <c r="AF427" s="56">
        <f t="shared" si="149"/>
        <v>21</v>
      </c>
      <c r="AG427" s="59">
        <f t="shared" si="150"/>
        <v>6.5454545454545459</v>
      </c>
      <c r="AH427">
        <f t="shared" si="151"/>
        <v>0.31168831168831168</v>
      </c>
    </row>
    <row r="428" spans="1:34" ht="15" x14ac:dyDescent="0.2">
      <c r="A428">
        <v>69</v>
      </c>
      <c r="B428" s="57" t="s">
        <v>134</v>
      </c>
      <c r="C428" s="57"/>
      <c r="D428">
        <f t="shared" si="147"/>
        <v>71</v>
      </c>
      <c r="E428" s="1">
        <f t="shared" si="148"/>
        <v>15</v>
      </c>
      <c r="F428">
        <f t="shared" si="161"/>
        <v>5</v>
      </c>
      <c r="G428">
        <f t="shared" si="161"/>
        <v>0</v>
      </c>
      <c r="H428">
        <f t="shared" si="161"/>
        <v>0</v>
      </c>
      <c r="I428">
        <f t="shared" si="161"/>
        <v>3</v>
      </c>
      <c r="J428">
        <f t="shared" si="161"/>
        <v>6</v>
      </c>
      <c r="K428">
        <f t="shared" si="161"/>
        <v>5</v>
      </c>
      <c r="L428">
        <f t="shared" si="161"/>
        <v>0</v>
      </c>
      <c r="M428">
        <f t="shared" si="161"/>
        <v>3</v>
      </c>
      <c r="N428">
        <f t="shared" si="161"/>
        <v>4</v>
      </c>
      <c r="O428">
        <f t="shared" si="161"/>
        <v>0</v>
      </c>
      <c r="P428">
        <f t="shared" si="162"/>
        <v>0</v>
      </c>
      <c r="Q428">
        <f t="shared" si="162"/>
        <v>1</v>
      </c>
      <c r="R428">
        <f t="shared" si="162"/>
        <v>0</v>
      </c>
      <c r="S428">
        <f t="shared" si="162"/>
        <v>0</v>
      </c>
      <c r="T428">
        <f t="shared" si="162"/>
        <v>4</v>
      </c>
      <c r="U428">
        <f t="shared" si="162"/>
        <v>0</v>
      </c>
      <c r="V428">
        <f t="shared" si="162"/>
        <v>0</v>
      </c>
      <c r="W428">
        <f t="shared" si="162"/>
        <v>4</v>
      </c>
      <c r="X428">
        <f t="shared" si="162"/>
        <v>5</v>
      </c>
      <c r="Y428">
        <f t="shared" si="162"/>
        <v>7</v>
      </c>
      <c r="Z428">
        <f t="shared" si="163"/>
        <v>1</v>
      </c>
      <c r="AA428">
        <f t="shared" si="163"/>
        <v>0</v>
      </c>
      <c r="AB428">
        <f t="shared" si="163"/>
        <v>2</v>
      </c>
      <c r="AC428">
        <f t="shared" si="163"/>
        <v>0</v>
      </c>
      <c r="AD428">
        <f t="shared" si="163"/>
        <v>5</v>
      </c>
      <c r="AE428">
        <f t="shared" si="163"/>
        <v>0</v>
      </c>
      <c r="AF428" s="56">
        <f t="shared" si="149"/>
        <v>14</v>
      </c>
      <c r="AG428" s="59">
        <f t="shared" si="150"/>
        <v>4.7333333333333334</v>
      </c>
      <c r="AH428">
        <f t="shared" si="151"/>
        <v>0.33809523809523812</v>
      </c>
    </row>
    <row r="429" spans="1:34" ht="15" x14ac:dyDescent="0.2">
      <c r="A429">
        <v>561</v>
      </c>
      <c r="B429" s="57" t="s">
        <v>583</v>
      </c>
      <c r="C429" s="57"/>
      <c r="D429">
        <f t="shared" si="147"/>
        <v>71</v>
      </c>
      <c r="E429" s="1">
        <f t="shared" si="148"/>
        <v>13</v>
      </c>
      <c r="F429">
        <f t="shared" si="161"/>
        <v>5</v>
      </c>
      <c r="G429">
        <f t="shared" si="161"/>
        <v>0</v>
      </c>
      <c r="H429">
        <f t="shared" si="161"/>
        <v>0</v>
      </c>
      <c r="I429">
        <f t="shared" si="161"/>
        <v>4</v>
      </c>
      <c r="J429">
        <f t="shared" si="161"/>
        <v>7</v>
      </c>
      <c r="K429">
        <f t="shared" si="161"/>
        <v>2</v>
      </c>
      <c r="L429">
        <f t="shared" si="161"/>
        <v>2</v>
      </c>
      <c r="M429">
        <f t="shared" si="161"/>
        <v>2</v>
      </c>
      <c r="N429">
        <f t="shared" si="161"/>
        <v>3</v>
      </c>
      <c r="O429">
        <f t="shared" si="161"/>
        <v>0</v>
      </c>
      <c r="P429">
        <f t="shared" si="162"/>
        <v>1</v>
      </c>
      <c r="Q429">
        <f t="shared" si="162"/>
        <v>1</v>
      </c>
      <c r="R429">
        <f t="shared" si="162"/>
        <v>1</v>
      </c>
      <c r="S429">
        <f t="shared" si="162"/>
        <v>5</v>
      </c>
      <c r="T429">
        <f t="shared" si="162"/>
        <v>4</v>
      </c>
      <c r="U429">
        <f t="shared" si="162"/>
        <v>2</v>
      </c>
      <c r="V429">
        <f t="shared" si="162"/>
        <v>0</v>
      </c>
      <c r="W429">
        <f t="shared" si="162"/>
        <v>4</v>
      </c>
      <c r="X429">
        <f t="shared" si="162"/>
        <v>4</v>
      </c>
      <c r="Y429">
        <f t="shared" si="162"/>
        <v>5</v>
      </c>
      <c r="Z429">
        <f t="shared" si="163"/>
        <v>2</v>
      </c>
      <c r="AA429">
        <f t="shared" si="163"/>
        <v>0</v>
      </c>
      <c r="AB429">
        <f t="shared" si="163"/>
        <v>0</v>
      </c>
      <c r="AC429">
        <f t="shared" si="163"/>
        <v>0</v>
      </c>
      <c r="AD429">
        <f t="shared" si="163"/>
        <v>0</v>
      </c>
      <c r="AE429">
        <f t="shared" si="163"/>
        <v>0</v>
      </c>
      <c r="AF429" s="56">
        <f t="shared" si="149"/>
        <v>17</v>
      </c>
      <c r="AG429" s="59">
        <f t="shared" si="150"/>
        <v>5.4615384615384617</v>
      </c>
      <c r="AH429">
        <f t="shared" si="151"/>
        <v>0.32126696832579188</v>
      </c>
    </row>
    <row r="430" spans="1:34" ht="15" x14ac:dyDescent="0.2">
      <c r="A430">
        <v>252</v>
      </c>
      <c r="B430" s="57" t="s">
        <v>315</v>
      </c>
      <c r="C430" s="57"/>
      <c r="D430">
        <f t="shared" si="147"/>
        <v>71</v>
      </c>
      <c r="E430" s="1">
        <f t="shared" si="148"/>
        <v>14</v>
      </c>
      <c r="F430">
        <f t="shared" si="161"/>
        <v>4</v>
      </c>
      <c r="G430">
        <f t="shared" si="161"/>
        <v>0</v>
      </c>
      <c r="H430">
        <f t="shared" si="161"/>
        <v>0</v>
      </c>
      <c r="I430">
        <f t="shared" si="161"/>
        <v>0</v>
      </c>
      <c r="J430">
        <f t="shared" si="161"/>
        <v>4</v>
      </c>
      <c r="K430">
        <f t="shared" si="161"/>
        <v>2</v>
      </c>
      <c r="L430">
        <f t="shared" si="161"/>
        <v>1</v>
      </c>
      <c r="M430">
        <f t="shared" si="161"/>
        <v>2</v>
      </c>
      <c r="N430">
        <f t="shared" si="161"/>
        <v>5</v>
      </c>
      <c r="O430">
        <f t="shared" si="161"/>
        <v>0</v>
      </c>
      <c r="P430">
        <f t="shared" si="162"/>
        <v>0</v>
      </c>
      <c r="Q430">
        <f t="shared" si="162"/>
        <v>4</v>
      </c>
      <c r="R430">
        <f t="shared" si="162"/>
        <v>2</v>
      </c>
      <c r="S430">
        <f t="shared" si="162"/>
        <v>3</v>
      </c>
      <c r="T430">
        <f t="shared" si="162"/>
        <v>5</v>
      </c>
      <c r="U430">
        <f t="shared" si="162"/>
        <v>2</v>
      </c>
      <c r="V430">
        <f t="shared" si="162"/>
        <v>0</v>
      </c>
      <c r="W430">
        <f t="shared" si="162"/>
        <v>3</v>
      </c>
      <c r="X430">
        <f t="shared" si="162"/>
        <v>1</v>
      </c>
      <c r="Y430">
        <f t="shared" si="162"/>
        <v>7</v>
      </c>
      <c r="Z430">
        <f t="shared" si="163"/>
        <v>4</v>
      </c>
      <c r="AA430">
        <f t="shared" si="163"/>
        <v>2</v>
      </c>
      <c r="AB430">
        <f t="shared" si="163"/>
        <v>1</v>
      </c>
      <c r="AC430">
        <f t="shared" si="163"/>
        <v>0</v>
      </c>
      <c r="AD430">
        <f t="shared" si="163"/>
        <v>3</v>
      </c>
      <c r="AE430">
        <f t="shared" si="163"/>
        <v>0</v>
      </c>
      <c r="AF430" s="56">
        <f t="shared" si="149"/>
        <v>18</v>
      </c>
      <c r="AG430" s="59">
        <f t="shared" si="150"/>
        <v>5.0714285714285712</v>
      </c>
      <c r="AH430">
        <f t="shared" si="151"/>
        <v>0.28174603174603174</v>
      </c>
    </row>
    <row r="431" spans="1:34" ht="15" x14ac:dyDescent="0.2">
      <c r="A431">
        <v>247</v>
      </c>
      <c r="B431" s="57" t="s">
        <v>310</v>
      </c>
      <c r="C431" s="57"/>
      <c r="D431">
        <f t="shared" si="147"/>
        <v>71</v>
      </c>
      <c r="E431" s="1">
        <f t="shared" si="148"/>
        <v>14</v>
      </c>
      <c r="F431">
        <f t="shared" si="161"/>
        <v>1</v>
      </c>
      <c r="G431">
        <f t="shared" si="161"/>
        <v>0</v>
      </c>
      <c r="H431">
        <f t="shared" si="161"/>
        <v>2</v>
      </c>
      <c r="I431">
        <f t="shared" si="161"/>
        <v>2</v>
      </c>
      <c r="J431">
        <f t="shared" si="161"/>
        <v>8</v>
      </c>
      <c r="K431">
        <f t="shared" si="161"/>
        <v>0</v>
      </c>
      <c r="L431">
        <f t="shared" si="161"/>
        <v>1</v>
      </c>
      <c r="M431">
        <f t="shared" si="161"/>
        <v>4</v>
      </c>
      <c r="N431">
        <f t="shared" si="161"/>
        <v>6</v>
      </c>
      <c r="O431">
        <f t="shared" si="161"/>
        <v>0</v>
      </c>
      <c r="P431">
        <f t="shared" si="162"/>
        <v>0</v>
      </c>
      <c r="Q431">
        <f t="shared" si="162"/>
        <v>2</v>
      </c>
      <c r="R431">
        <f t="shared" si="162"/>
        <v>2</v>
      </c>
      <c r="S431">
        <f t="shared" si="162"/>
        <v>3</v>
      </c>
      <c r="T431">
        <f t="shared" si="162"/>
        <v>7</v>
      </c>
      <c r="U431">
        <f t="shared" si="162"/>
        <v>0</v>
      </c>
      <c r="V431">
        <f t="shared" si="162"/>
        <v>0</v>
      </c>
      <c r="W431">
        <f t="shared" si="162"/>
        <v>4</v>
      </c>
      <c r="X431">
        <f t="shared" si="162"/>
        <v>3</v>
      </c>
      <c r="Y431">
        <f t="shared" si="162"/>
        <v>6</v>
      </c>
      <c r="Z431">
        <f t="shared" si="163"/>
        <v>1</v>
      </c>
      <c r="AA431">
        <f t="shared" si="163"/>
        <v>1</v>
      </c>
      <c r="AB431">
        <f t="shared" si="163"/>
        <v>2</v>
      </c>
      <c r="AC431">
        <f t="shared" si="163"/>
        <v>0</v>
      </c>
      <c r="AD431">
        <f t="shared" si="163"/>
        <v>2</v>
      </c>
      <c r="AE431">
        <f t="shared" si="163"/>
        <v>0</v>
      </c>
      <c r="AF431" s="56">
        <f t="shared" si="149"/>
        <v>18</v>
      </c>
      <c r="AG431" s="59">
        <f t="shared" si="150"/>
        <v>5.0714285714285712</v>
      </c>
      <c r="AH431">
        <f t="shared" si="151"/>
        <v>0.28174603174603174</v>
      </c>
    </row>
    <row r="432" spans="1:34" ht="15" x14ac:dyDescent="0.2">
      <c r="A432">
        <v>226</v>
      </c>
      <c r="B432" s="57" t="s">
        <v>289</v>
      </c>
      <c r="C432" s="57"/>
      <c r="D432">
        <f t="shared" si="147"/>
        <v>71</v>
      </c>
      <c r="E432" s="1">
        <f t="shared" si="148"/>
        <v>12</v>
      </c>
      <c r="F432">
        <f t="shared" ref="F432:O441" si="164">LEN($B432)-LEN(SUBSTITUTE($B432,F$1,""))</f>
        <v>1</v>
      </c>
      <c r="G432">
        <f t="shared" si="164"/>
        <v>0</v>
      </c>
      <c r="H432">
        <f t="shared" si="164"/>
        <v>2</v>
      </c>
      <c r="I432">
        <f t="shared" si="164"/>
        <v>4</v>
      </c>
      <c r="J432">
        <f t="shared" si="164"/>
        <v>5</v>
      </c>
      <c r="K432">
        <f t="shared" si="164"/>
        <v>4</v>
      </c>
      <c r="L432">
        <f t="shared" si="164"/>
        <v>1</v>
      </c>
      <c r="M432">
        <f t="shared" si="164"/>
        <v>1</v>
      </c>
      <c r="N432">
        <f t="shared" si="164"/>
        <v>7</v>
      </c>
      <c r="O432">
        <f t="shared" si="164"/>
        <v>0</v>
      </c>
      <c r="P432">
        <f t="shared" ref="P432:Y441" si="165">LEN($B432)-LEN(SUBSTITUTE($B432,P$1,""))</f>
        <v>1</v>
      </c>
      <c r="Q432">
        <f t="shared" si="165"/>
        <v>1</v>
      </c>
      <c r="R432">
        <f t="shared" si="165"/>
        <v>0</v>
      </c>
      <c r="S432">
        <f t="shared" si="165"/>
        <v>5</v>
      </c>
      <c r="T432">
        <f t="shared" si="165"/>
        <v>4</v>
      </c>
      <c r="U432">
        <f t="shared" si="165"/>
        <v>0</v>
      </c>
      <c r="V432">
        <f t="shared" si="165"/>
        <v>0</v>
      </c>
      <c r="W432">
        <f t="shared" si="165"/>
        <v>2</v>
      </c>
      <c r="X432">
        <f t="shared" si="165"/>
        <v>4</v>
      </c>
      <c r="Y432">
        <f t="shared" si="165"/>
        <v>6</v>
      </c>
      <c r="Z432">
        <f t="shared" ref="Z432:AE441" si="166">LEN($B432)-LEN(SUBSTITUTE($B432,Z$1,""))</f>
        <v>3</v>
      </c>
      <c r="AA432">
        <f t="shared" si="166"/>
        <v>1</v>
      </c>
      <c r="AB432">
        <f t="shared" si="166"/>
        <v>0</v>
      </c>
      <c r="AC432">
        <f t="shared" si="166"/>
        <v>0</v>
      </c>
      <c r="AD432">
        <f t="shared" si="166"/>
        <v>4</v>
      </c>
      <c r="AE432">
        <f t="shared" si="166"/>
        <v>0</v>
      </c>
      <c r="AF432" s="56">
        <f t="shared" si="149"/>
        <v>18</v>
      </c>
      <c r="AG432" s="59">
        <f t="shared" si="150"/>
        <v>5.916666666666667</v>
      </c>
      <c r="AH432">
        <f t="shared" si="151"/>
        <v>0.32870370370370372</v>
      </c>
    </row>
    <row r="433" spans="1:34" ht="15" x14ac:dyDescent="0.2">
      <c r="A433">
        <v>154</v>
      </c>
      <c r="B433" s="57" t="s">
        <v>219</v>
      </c>
      <c r="C433" s="57"/>
      <c r="D433">
        <f t="shared" si="147"/>
        <v>71</v>
      </c>
      <c r="E433" s="1">
        <f t="shared" si="148"/>
        <v>13</v>
      </c>
      <c r="F433">
        <f t="shared" si="164"/>
        <v>2</v>
      </c>
      <c r="G433">
        <f t="shared" si="164"/>
        <v>2</v>
      </c>
      <c r="H433">
        <f t="shared" si="164"/>
        <v>0</v>
      </c>
      <c r="I433">
        <f t="shared" si="164"/>
        <v>4</v>
      </c>
      <c r="J433">
        <f t="shared" si="164"/>
        <v>10</v>
      </c>
      <c r="K433">
        <f t="shared" si="164"/>
        <v>1</v>
      </c>
      <c r="L433">
        <f t="shared" si="164"/>
        <v>1</v>
      </c>
      <c r="M433">
        <f t="shared" si="164"/>
        <v>6</v>
      </c>
      <c r="N433">
        <f t="shared" si="164"/>
        <v>4</v>
      </c>
      <c r="O433">
        <f t="shared" si="164"/>
        <v>0</v>
      </c>
      <c r="P433">
        <f t="shared" si="165"/>
        <v>1</v>
      </c>
      <c r="Q433">
        <f t="shared" si="165"/>
        <v>1</v>
      </c>
      <c r="R433">
        <f t="shared" si="165"/>
        <v>0</v>
      </c>
      <c r="S433">
        <f t="shared" si="165"/>
        <v>2</v>
      </c>
      <c r="T433">
        <f t="shared" si="165"/>
        <v>4</v>
      </c>
      <c r="U433">
        <f t="shared" si="165"/>
        <v>0</v>
      </c>
      <c r="V433">
        <f t="shared" si="165"/>
        <v>0</v>
      </c>
      <c r="W433">
        <f t="shared" si="165"/>
        <v>2</v>
      </c>
      <c r="X433">
        <f t="shared" si="165"/>
        <v>3</v>
      </c>
      <c r="Y433">
        <f t="shared" si="165"/>
        <v>9</v>
      </c>
      <c r="Z433">
        <f t="shared" si="166"/>
        <v>2</v>
      </c>
      <c r="AA433">
        <f t="shared" si="166"/>
        <v>1</v>
      </c>
      <c r="AB433">
        <f t="shared" si="166"/>
        <v>1</v>
      </c>
      <c r="AC433">
        <f t="shared" si="166"/>
        <v>0</v>
      </c>
      <c r="AD433">
        <f t="shared" si="166"/>
        <v>0</v>
      </c>
      <c r="AE433">
        <f t="shared" si="166"/>
        <v>0</v>
      </c>
      <c r="AF433" s="56">
        <f t="shared" si="149"/>
        <v>18</v>
      </c>
      <c r="AG433" s="59">
        <f t="shared" si="150"/>
        <v>5.4615384615384617</v>
      </c>
      <c r="AH433">
        <f t="shared" si="151"/>
        <v>0.30341880341880345</v>
      </c>
    </row>
    <row r="434" spans="1:34" ht="15" x14ac:dyDescent="0.2">
      <c r="A434">
        <v>206</v>
      </c>
      <c r="B434" s="57" t="s">
        <v>270</v>
      </c>
      <c r="C434" s="57"/>
      <c r="D434">
        <f t="shared" si="147"/>
        <v>71</v>
      </c>
      <c r="E434" s="1">
        <f t="shared" si="148"/>
        <v>13</v>
      </c>
      <c r="F434">
        <f t="shared" si="164"/>
        <v>3</v>
      </c>
      <c r="G434">
        <f t="shared" si="164"/>
        <v>1</v>
      </c>
      <c r="H434">
        <f t="shared" si="164"/>
        <v>2</v>
      </c>
      <c r="I434">
        <f t="shared" si="164"/>
        <v>1</v>
      </c>
      <c r="J434">
        <f t="shared" si="164"/>
        <v>8</v>
      </c>
      <c r="K434">
        <f t="shared" si="164"/>
        <v>1</v>
      </c>
      <c r="L434">
        <f t="shared" si="164"/>
        <v>2</v>
      </c>
      <c r="M434">
        <f t="shared" si="164"/>
        <v>2</v>
      </c>
      <c r="N434">
        <f t="shared" si="164"/>
        <v>4</v>
      </c>
      <c r="O434">
        <f t="shared" si="164"/>
        <v>0</v>
      </c>
      <c r="P434">
        <f t="shared" si="165"/>
        <v>0</v>
      </c>
      <c r="Q434">
        <f t="shared" si="165"/>
        <v>4</v>
      </c>
      <c r="R434">
        <f t="shared" si="165"/>
        <v>1</v>
      </c>
      <c r="S434">
        <f t="shared" si="165"/>
        <v>5</v>
      </c>
      <c r="T434">
        <f t="shared" si="165"/>
        <v>3</v>
      </c>
      <c r="U434">
        <f t="shared" si="165"/>
        <v>1</v>
      </c>
      <c r="V434">
        <f t="shared" si="165"/>
        <v>0</v>
      </c>
      <c r="W434">
        <f t="shared" si="165"/>
        <v>2</v>
      </c>
      <c r="X434">
        <f t="shared" si="165"/>
        <v>3</v>
      </c>
      <c r="Y434">
        <f t="shared" si="165"/>
        <v>7</v>
      </c>
      <c r="Z434">
        <f t="shared" si="166"/>
        <v>2</v>
      </c>
      <c r="AA434">
        <f t="shared" si="166"/>
        <v>0</v>
      </c>
      <c r="AB434">
        <f t="shared" si="166"/>
        <v>2</v>
      </c>
      <c r="AC434">
        <f t="shared" si="166"/>
        <v>0</v>
      </c>
      <c r="AD434">
        <f t="shared" si="166"/>
        <v>2</v>
      </c>
      <c r="AE434">
        <f t="shared" si="166"/>
        <v>0</v>
      </c>
      <c r="AF434" s="56">
        <f t="shared" si="149"/>
        <v>20</v>
      </c>
      <c r="AG434" s="59">
        <f t="shared" si="150"/>
        <v>5.4615384615384617</v>
      </c>
      <c r="AH434">
        <f t="shared" si="151"/>
        <v>0.27307692307692311</v>
      </c>
    </row>
    <row r="435" spans="1:34" ht="15" x14ac:dyDescent="0.2">
      <c r="A435">
        <v>607</v>
      </c>
      <c r="B435" s="57" t="s">
        <v>627</v>
      </c>
      <c r="C435" s="57"/>
      <c r="D435">
        <f t="shared" si="147"/>
        <v>70</v>
      </c>
      <c r="E435" s="1">
        <f t="shared" si="148"/>
        <v>13</v>
      </c>
      <c r="F435">
        <f t="shared" si="164"/>
        <v>3</v>
      </c>
      <c r="G435">
        <f t="shared" si="164"/>
        <v>0</v>
      </c>
      <c r="H435">
        <f t="shared" si="164"/>
        <v>3</v>
      </c>
      <c r="I435">
        <f t="shared" si="164"/>
        <v>1</v>
      </c>
      <c r="J435">
        <f t="shared" si="164"/>
        <v>11</v>
      </c>
      <c r="K435">
        <f t="shared" si="164"/>
        <v>2</v>
      </c>
      <c r="L435">
        <f t="shared" si="164"/>
        <v>1</v>
      </c>
      <c r="M435">
        <f t="shared" si="164"/>
        <v>0</v>
      </c>
      <c r="N435">
        <f t="shared" si="164"/>
        <v>3</v>
      </c>
      <c r="O435">
        <f t="shared" si="164"/>
        <v>0</v>
      </c>
      <c r="P435">
        <f t="shared" si="165"/>
        <v>0</v>
      </c>
      <c r="Q435">
        <f t="shared" si="165"/>
        <v>5</v>
      </c>
      <c r="R435">
        <f t="shared" si="165"/>
        <v>0</v>
      </c>
      <c r="S435">
        <f t="shared" si="165"/>
        <v>2</v>
      </c>
      <c r="T435">
        <f t="shared" si="165"/>
        <v>2</v>
      </c>
      <c r="U435">
        <f t="shared" si="165"/>
        <v>0</v>
      </c>
      <c r="V435">
        <f t="shared" si="165"/>
        <v>0</v>
      </c>
      <c r="W435">
        <f t="shared" si="165"/>
        <v>5</v>
      </c>
      <c r="X435">
        <f t="shared" si="165"/>
        <v>9</v>
      </c>
      <c r="Y435">
        <f t="shared" si="165"/>
        <v>2</v>
      </c>
      <c r="Z435">
        <f t="shared" si="166"/>
        <v>3</v>
      </c>
      <c r="AA435">
        <f t="shared" si="166"/>
        <v>0</v>
      </c>
      <c r="AB435">
        <f t="shared" si="166"/>
        <v>1</v>
      </c>
      <c r="AC435">
        <f t="shared" si="166"/>
        <v>0</v>
      </c>
      <c r="AD435">
        <f t="shared" si="166"/>
        <v>1</v>
      </c>
      <c r="AE435">
        <f t="shared" si="166"/>
        <v>0</v>
      </c>
      <c r="AF435" s="56">
        <f t="shared" si="149"/>
        <v>16</v>
      </c>
      <c r="AG435" s="59">
        <f t="shared" si="150"/>
        <v>5.384615384615385</v>
      </c>
      <c r="AH435">
        <f t="shared" si="151"/>
        <v>0.33653846153846156</v>
      </c>
    </row>
    <row r="436" spans="1:34" ht="15" x14ac:dyDescent="0.2">
      <c r="A436">
        <v>363</v>
      </c>
      <c r="B436" s="57" t="s">
        <v>421</v>
      </c>
      <c r="C436" s="57"/>
      <c r="D436">
        <f t="shared" si="147"/>
        <v>70</v>
      </c>
      <c r="E436" s="1">
        <f t="shared" si="148"/>
        <v>14</v>
      </c>
      <c r="F436">
        <f t="shared" si="164"/>
        <v>6</v>
      </c>
      <c r="G436">
        <f t="shared" si="164"/>
        <v>0</v>
      </c>
      <c r="H436">
        <f t="shared" si="164"/>
        <v>0</v>
      </c>
      <c r="I436">
        <f t="shared" si="164"/>
        <v>0</v>
      </c>
      <c r="J436">
        <f t="shared" si="164"/>
        <v>6</v>
      </c>
      <c r="K436">
        <f t="shared" si="164"/>
        <v>0</v>
      </c>
      <c r="L436">
        <f t="shared" si="164"/>
        <v>1</v>
      </c>
      <c r="M436">
        <f t="shared" si="164"/>
        <v>4</v>
      </c>
      <c r="N436">
        <f t="shared" si="164"/>
        <v>4</v>
      </c>
      <c r="O436">
        <f t="shared" si="164"/>
        <v>0</v>
      </c>
      <c r="P436">
        <f t="shared" si="165"/>
        <v>3</v>
      </c>
      <c r="Q436">
        <f t="shared" si="165"/>
        <v>5</v>
      </c>
      <c r="R436">
        <f t="shared" si="165"/>
        <v>2</v>
      </c>
      <c r="S436">
        <f t="shared" si="165"/>
        <v>6</v>
      </c>
      <c r="T436">
        <f t="shared" si="165"/>
        <v>4</v>
      </c>
      <c r="U436">
        <f t="shared" si="165"/>
        <v>0</v>
      </c>
      <c r="V436">
        <f t="shared" si="165"/>
        <v>0</v>
      </c>
      <c r="W436">
        <f t="shared" si="165"/>
        <v>2</v>
      </c>
      <c r="X436">
        <f t="shared" si="165"/>
        <v>2</v>
      </c>
      <c r="Y436">
        <f t="shared" si="165"/>
        <v>1</v>
      </c>
      <c r="Z436">
        <f t="shared" si="166"/>
        <v>2</v>
      </c>
      <c r="AA436">
        <f t="shared" si="166"/>
        <v>2</v>
      </c>
      <c r="AB436">
        <f t="shared" si="166"/>
        <v>2</v>
      </c>
      <c r="AC436">
        <f t="shared" si="166"/>
        <v>0</v>
      </c>
      <c r="AD436">
        <f t="shared" si="166"/>
        <v>2</v>
      </c>
      <c r="AE436">
        <f t="shared" si="166"/>
        <v>0</v>
      </c>
      <c r="AF436" s="56">
        <f t="shared" si="149"/>
        <v>17</v>
      </c>
      <c r="AG436" s="59">
        <f t="shared" si="150"/>
        <v>5</v>
      </c>
      <c r="AH436">
        <f t="shared" si="151"/>
        <v>0.29411764705882354</v>
      </c>
    </row>
    <row r="437" spans="1:34" ht="15" x14ac:dyDescent="0.2">
      <c r="A437">
        <v>198</v>
      </c>
      <c r="B437" s="57" t="s">
        <v>262</v>
      </c>
      <c r="C437" s="57"/>
      <c r="D437">
        <f t="shared" si="147"/>
        <v>70</v>
      </c>
      <c r="E437" s="1">
        <f t="shared" si="148"/>
        <v>11</v>
      </c>
      <c r="F437">
        <f t="shared" si="164"/>
        <v>2</v>
      </c>
      <c r="G437">
        <f t="shared" si="164"/>
        <v>0</v>
      </c>
      <c r="H437">
        <f t="shared" si="164"/>
        <v>1</v>
      </c>
      <c r="I437">
        <f t="shared" si="164"/>
        <v>0</v>
      </c>
      <c r="J437">
        <f t="shared" si="164"/>
        <v>5</v>
      </c>
      <c r="K437">
        <f t="shared" si="164"/>
        <v>0</v>
      </c>
      <c r="L437">
        <f t="shared" si="164"/>
        <v>3</v>
      </c>
      <c r="M437">
        <f t="shared" si="164"/>
        <v>6</v>
      </c>
      <c r="N437">
        <f t="shared" si="164"/>
        <v>3</v>
      </c>
      <c r="O437">
        <f t="shared" si="164"/>
        <v>1</v>
      </c>
      <c r="P437">
        <f t="shared" si="165"/>
        <v>0</v>
      </c>
      <c r="Q437">
        <f t="shared" si="165"/>
        <v>1</v>
      </c>
      <c r="R437">
        <f t="shared" si="165"/>
        <v>2</v>
      </c>
      <c r="S437">
        <f t="shared" si="165"/>
        <v>4</v>
      </c>
      <c r="T437">
        <f t="shared" si="165"/>
        <v>5</v>
      </c>
      <c r="U437">
        <f t="shared" si="165"/>
        <v>1</v>
      </c>
      <c r="V437">
        <f t="shared" si="165"/>
        <v>0</v>
      </c>
      <c r="W437">
        <f t="shared" si="165"/>
        <v>5</v>
      </c>
      <c r="X437">
        <f t="shared" si="165"/>
        <v>6</v>
      </c>
      <c r="Y437">
        <f t="shared" si="165"/>
        <v>8</v>
      </c>
      <c r="Z437">
        <f t="shared" si="166"/>
        <v>2</v>
      </c>
      <c r="AA437">
        <f t="shared" si="166"/>
        <v>0</v>
      </c>
      <c r="AB437">
        <f t="shared" si="166"/>
        <v>2</v>
      </c>
      <c r="AC437">
        <f t="shared" si="166"/>
        <v>0</v>
      </c>
      <c r="AD437">
        <f t="shared" si="166"/>
        <v>0</v>
      </c>
      <c r="AE437">
        <f t="shared" si="166"/>
        <v>0</v>
      </c>
      <c r="AF437" s="56">
        <f t="shared" si="149"/>
        <v>17</v>
      </c>
      <c r="AG437" s="59">
        <f t="shared" si="150"/>
        <v>6.3636363636363633</v>
      </c>
      <c r="AH437">
        <f t="shared" si="151"/>
        <v>0.37433155080213903</v>
      </c>
    </row>
    <row r="438" spans="1:34" ht="15" x14ac:dyDescent="0.2">
      <c r="A438">
        <v>420</v>
      </c>
      <c r="B438" s="57" t="s">
        <v>468</v>
      </c>
      <c r="C438" s="57"/>
      <c r="D438">
        <f t="shared" si="147"/>
        <v>70</v>
      </c>
      <c r="E438" s="1">
        <f t="shared" si="148"/>
        <v>14</v>
      </c>
      <c r="F438">
        <f t="shared" si="164"/>
        <v>5</v>
      </c>
      <c r="G438">
        <f t="shared" si="164"/>
        <v>1</v>
      </c>
      <c r="H438">
        <f t="shared" si="164"/>
        <v>0</v>
      </c>
      <c r="I438">
        <f t="shared" si="164"/>
        <v>1</v>
      </c>
      <c r="J438">
        <f t="shared" si="164"/>
        <v>5</v>
      </c>
      <c r="K438">
        <f t="shared" si="164"/>
        <v>1</v>
      </c>
      <c r="L438">
        <f t="shared" si="164"/>
        <v>2</v>
      </c>
      <c r="M438">
        <f t="shared" si="164"/>
        <v>2</v>
      </c>
      <c r="N438">
        <f t="shared" si="164"/>
        <v>4</v>
      </c>
      <c r="O438">
        <f t="shared" si="164"/>
        <v>1</v>
      </c>
      <c r="P438">
        <f t="shared" si="165"/>
        <v>0</v>
      </c>
      <c r="Q438">
        <f t="shared" si="165"/>
        <v>3</v>
      </c>
      <c r="R438">
        <f t="shared" si="165"/>
        <v>2</v>
      </c>
      <c r="S438">
        <f t="shared" si="165"/>
        <v>4</v>
      </c>
      <c r="T438">
        <f t="shared" si="165"/>
        <v>4</v>
      </c>
      <c r="U438">
        <f t="shared" si="165"/>
        <v>1</v>
      </c>
      <c r="V438">
        <f t="shared" si="165"/>
        <v>0</v>
      </c>
      <c r="W438">
        <f t="shared" si="165"/>
        <v>1</v>
      </c>
      <c r="X438">
        <f t="shared" si="165"/>
        <v>5</v>
      </c>
      <c r="Y438">
        <f t="shared" si="165"/>
        <v>5</v>
      </c>
      <c r="Z438">
        <f t="shared" si="166"/>
        <v>4</v>
      </c>
      <c r="AA438">
        <f t="shared" si="166"/>
        <v>0</v>
      </c>
      <c r="AB438">
        <f t="shared" si="166"/>
        <v>1</v>
      </c>
      <c r="AC438">
        <f t="shared" si="166"/>
        <v>0</v>
      </c>
      <c r="AD438">
        <f t="shared" si="166"/>
        <v>1</v>
      </c>
      <c r="AE438">
        <f t="shared" si="166"/>
        <v>1</v>
      </c>
      <c r="AF438" s="56">
        <f t="shared" si="149"/>
        <v>21</v>
      </c>
      <c r="AG438" s="59">
        <f t="shared" si="150"/>
        <v>5</v>
      </c>
      <c r="AH438">
        <f t="shared" si="151"/>
        <v>0.23809523809523808</v>
      </c>
    </row>
    <row r="439" spans="1:34" ht="15" x14ac:dyDescent="0.2">
      <c r="A439">
        <v>149</v>
      </c>
      <c r="B439" s="57" t="s">
        <v>214</v>
      </c>
      <c r="C439" s="57"/>
      <c r="D439">
        <f t="shared" si="147"/>
        <v>70</v>
      </c>
      <c r="E439" s="1">
        <f t="shared" si="148"/>
        <v>13</v>
      </c>
      <c r="F439">
        <f t="shared" si="164"/>
        <v>3</v>
      </c>
      <c r="G439">
        <f t="shared" si="164"/>
        <v>1</v>
      </c>
      <c r="H439">
        <f t="shared" si="164"/>
        <v>1</v>
      </c>
      <c r="I439">
        <f t="shared" si="164"/>
        <v>1</v>
      </c>
      <c r="J439">
        <f t="shared" si="164"/>
        <v>7</v>
      </c>
      <c r="K439">
        <f t="shared" si="164"/>
        <v>1</v>
      </c>
      <c r="L439">
        <f t="shared" si="164"/>
        <v>1</v>
      </c>
      <c r="M439">
        <f t="shared" si="164"/>
        <v>3</v>
      </c>
      <c r="N439">
        <f t="shared" si="164"/>
        <v>5</v>
      </c>
      <c r="O439">
        <f t="shared" si="164"/>
        <v>0</v>
      </c>
      <c r="P439">
        <f t="shared" si="165"/>
        <v>0</v>
      </c>
      <c r="Q439">
        <f t="shared" si="165"/>
        <v>3</v>
      </c>
      <c r="R439">
        <f t="shared" si="165"/>
        <v>2</v>
      </c>
      <c r="S439">
        <f t="shared" si="165"/>
        <v>4</v>
      </c>
      <c r="T439">
        <f t="shared" si="165"/>
        <v>5</v>
      </c>
      <c r="U439">
        <f t="shared" si="165"/>
        <v>2</v>
      </c>
      <c r="V439">
        <f t="shared" si="165"/>
        <v>0</v>
      </c>
      <c r="W439">
        <f t="shared" si="165"/>
        <v>5</v>
      </c>
      <c r="X439">
        <f t="shared" si="165"/>
        <v>4</v>
      </c>
      <c r="Y439">
        <f t="shared" si="165"/>
        <v>3</v>
      </c>
      <c r="Z439">
        <f t="shared" si="166"/>
        <v>1</v>
      </c>
      <c r="AA439">
        <f t="shared" si="166"/>
        <v>1</v>
      </c>
      <c r="AB439">
        <f t="shared" si="166"/>
        <v>2</v>
      </c>
      <c r="AC439">
        <f t="shared" si="166"/>
        <v>0</v>
      </c>
      <c r="AD439">
        <f t="shared" si="166"/>
        <v>1</v>
      </c>
      <c r="AE439">
        <f t="shared" si="166"/>
        <v>0</v>
      </c>
      <c r="AF439" s="56">
        <f t="shared" si="149"/>
        <v>21</v>
      </c>
      <c r="AG439" s="59">
        <f t="shared" si="150"/>
        <v>5.384615384615385</v>
      </c>
      <c r="AH439">
        <f t="shared" si="151"/>
        <v>0.25641025641025644</v>
      </c>
    </row>
    <row r="440" spans="1:34" ht="15" x14ac:dyDescent="0.2">
      <c r="A440">
        <v>197</v>
      </c>
      <c r="B440" s="57" t="s">
        <v>261</v>
      </c>
      <c r="C440" s="57"/>
      <c r="D440">
        <f t="shared" si="147"/>
        <v>69</v>
      </c>
      <c r="E440" s="1">
        <f t="shared" si="148"/>
        <v>12</v>
      </c>
      <c r="F440">
        <f t="shared" si="164"/>
        <v>4</v>
      </c>
      <c r="G440">
        <f t="shared" si="164"/>
        <v>0</v>
      </c>
      <c r="H440">
        <f t="shared" si="164"/>
        <v>0</v>
      </c>
      <c r="I440">
        <f t="shared" si="164"/>
        <v>2</v>
      </c>
      <c r="J440">
        <f t="shared" si="164"/>
        <v>10</v>
      </c>
      <c r="K440">
        <f t="shared" si="164"/>
        <v>2</v>
      </c>
      <c r="L440">
        <f t="shared" si="164"/>
        <v>1</v>
      </c>
      <c r="M440">
        <f t="shared" si="164"/>
        <v>2</v>
      </c>
      <c r="N440">
        <f t="shared" si="164"/>
        <v>4</v>
      </c>
      <c r="O440">
        <f t="shared" si="164"/>
        <v>0</v>
      </c>
      <c r="P440">
        <f t="shared" si="165"/>
        <v>1</v>
      </c>
      <c r="Q440">
        <f t="shared" si="165"/>
        <v>2</v>
      </c>
      <c r="R440">
        <f t="shared" si="165"/>
        <v>1</v>
      </c>
      <c r="S440">
        <f t="shared" si="165"/>
        <v>5</v>
      </c>
      <c r="T440">
        <f t="shared" si="165"/>
        <v>5</v>
      </c>
      <c r="U440">
        <f t="shared" si="165"/>
        <v>1</v>
      </c>
      <c r="V440">
        <f t="shared" si="165"/>
        <v>0</v>
      </c>
      <c r="W440">
        <f t="shared" si="165"/>
        <v>1</v>
      </c>
      <c r="X440">
        <f t="shared" si="165"/>
        <v>6</v>
      </c>
      <c r="Y440">
        <f t="shared" si="165"/>
        <v>6</v>
      </c>
      <c r="Z440">
        <f t="shared" si="166"/>
        <v>1</v>
      </c>
      <c r="AA440">
        <f t="shared" si="166"/>
        <v>0</v>
      </c>
      <c r="AB440">
        <f t="shared" si="166"/>
        <v>0</v>
      </c>
      <c r="AC440">
        <f t="shared" si="166"/>
        <v>0</v>
      </c>
      <c r="AD440">
        <f t="shared" si="166"/>
        <v>2</v>
      </c>
      <c r="AE440">
        <f t="shared" si="166"/>
        <v>0</v>
      </c>
      <c r="AF440" s="56">
        <f t="shared" si="149"/>
        <v>18</v>
      </c>
      <c r="AG440" s="59">
        <f t="shared" si="150"/>
        <v>5.75</v>
      </c>
      <c r="AH440">
        <f t="shared" si="151"/>
        <v>0.31944444444444442</v>
      </c>
    </row>
    <row r="441" spans="1:34" ht="15" x14ac:dyDescent="0.2">
      <c r="A441">
        <v>129</v>
      </c>
      <c r="B441" s="57" t="s">
        <v>194</v>
      </c>
      <c r="C441" s="57"/>
      <c r="D441">
        <f t="shared" si="147"/>
        <v>69</v>
      </c>
      <c r="E441" s="1">
        <f t="shared" si="148"/>
        <v>12</v>
      </c>
      <c r="F441">
        <f t="shared" si="164"/>
        <v>1</v>
      </c>
      <c r="G441">
        <f t="shared" si="164"/>
        <v>0</v>
      </c>
      <c r="H441">
        <f t="shared" si="164"/>
        <v>2</v>
      </c>
      <c r="I441">
        <f t="shared" si="164"/>
        <v>0</v>
      </c>
      <c r="J441">
        <f t="shared" si="164"/>
        <v>10</v>
      </c>
      <c r="K441">
        <f t="shared" si="164"/>
        <v>1</v>
      </c>
      <c r="L441">
        <f t="shared" si="164"/>
        <v>1</v>
      </c>
      <c r="M441">
        <f t="shared" si="164"/>
        <v>2</v>
      </c>
      <c r="N441">
        <f t="shared" si="164"/>
        <v>1</v>
      </c>
      <c r="O441">
        <f t="shared" si="164"/>
        <v>0</v>
      </c>
      <c r="P441">
        <f t="shared" si="165"/>
        <v>1</v>
      </c>
      <c r="Q441">
        <f t="shared" si="165"/>
        <v>3</v>
      </c>
      <c r="R441">
        <f t="shared" si="165"/>
        <v>0</v>
      </c>
      <c r="S441">
        <f t="shared" si="165"/>
        <v>3</v>
      </c>
      <c r="T441">
        <f t="shared" si="165"/>
        <v>4</v>
      </c>
      <c r="U441">
        <f t="shared" si="165"/>
        <v>0</v>
      </c>
      <c r="V441">
        <f t="shared" si="165"/>
        <v>0</v>
      </c>
      <c r="W441">
        <f t="shared" si="165"/>
        <v>6</v>
      </c>
      <c r="X441">
        <f t="shared" si="165"/>
        <v>4</v>
      </c>
      <c r="Y441">
        <f t="shared" si="165"/>
        <v>4</v>
      </c>
      <c r="Z441">
        <f t="shared" si="166"/>
        <v>3</v>
      </c>
      <c r="AA441">
        <f t="shared" si="166"/>
        <v>2</v>
      </c>
      <c r="AB441">
        <f t="shared" si="166"/>
        <v>2</v>
      </c>
      <c r="AC441">
        <f t="shared" si="166"/>
        <v>0</v>
      </c>
      <c r="AD441">
        <f t="shared" si="166"/>
        <v>2</v>
      </c>
      <c r="AE441">
        <f t="shared" si="166"/>
        <v>0</v>
      </c>
      <c r="AF441" s="56">
        <f t="shared" si="149"/>
        <v>18</v>
      </c>
      <c r="AG441" s="59">
        <f t="shared" si="150"/>
        <v>5.75</v>
      </c>
      <c r="AH441">
        <f t="shared" si="151"/>
        <v>0.31944444444444442</v>
      </c>
    </row>
    <row r="442" spans="1:34" ht="15" x14ac:dyDescent="0.2">
      <c r="A442">
        <v>98</v>
      </c>
      <c r="B442" s="57" t="s">
        <v>163</v>
      </c>
      <c r="C442" s="57"/>
      <c r="D442">
        <f t="shared" si="147"/>
        <v>69</v>
      </c>
      <c r="E442" s="1">
        <f t="shared" si="148"/>
        <v>13</v>
      </c>
      <c r="F442">
        <f t="shared" ref="F442:O451" si="167">LEN($B442)-LEN(SUBSTITUTE($B442,F$1,""))</f>
        <v>3</v>
      </c>
      <c r="G442">
        <f t="shared" si="167"/>
        <v>1</v>
      </c>
      <c r="H442">
        <f t="shared" si="167"/>
        <v>0</v>
      </c>
      <c r="I442">
        <f t="shared" si="167"/>
        <v>2</v>
      </c>
      <c r="J442">
        <f t="shared" si="167"/>
        <v>13</v>
      </c>
      <c r="K442">
        <f t="shared" si="167"/>
        <v>1</v>
      </c>
      <c r="L442">
        <f t="shared" si="167"/>
        <v>1</v>
      </c>
      <c r="M442">
        <f t="shared" si="167"/>
        <v>2</v>
      </c>
      <c r="N442">
        <f t="shared" si="167"/>
        <v>2</v>
      </c>
      <c r="O442">
        <f t="shared" si="167"/>
        <v>0</v>
      </c>
      <c r="P442">
        <f t="shared" ref="P442:Y451" si="168">LEN($B442)-LEN(SUBSTITUTE($B442,P$1,""))</f>
        <v>0</v>
      </c>
      <c r="Q442">
        <f t="shared" si="168"/>
        <v>1</v>
      </c>
      <c r="R442">
        <f t="shared" si="168"/>
        <v>3</v>
      </c>
      <c r="S442">
        <f t="shared" si="168"/>
        <v>5</v>
      </c>
      <c r="T442">
        <f t="shared" si="168"/>
        <v>4</v>
      </c>
      <c r="U442">
        <f t="shared" si="168"/>
        <v>2</v>
      </c>
      <c r="V442">
        <f t="shared" si="168"/>
        <v>0</v>
      </c>
      <c r="W442">
        <f t="shared" si="168"/>
        <v>3</v>
      </c>
      <c r="X442">
        <f t="shared" si="168"/>
        <v>4</v>
      </c>
      <c r="Y442">
        <f t="shared" si="168"/>
        <v>5</v>
      </c>
      <c r="Z442">
        <f t="shared" ref="Z442:AE451" si="169">LEN($B442)-LEN(SUBSTITUTE($B442,Z$1,""))</f>
        <v>2</v>
      </c>
      <c r="AA442">
        <f t="shared" si="169"/>
        <v>1</v>
      </c>
      <c r="AB442">
        <f t="shared" si="169"/>
        <v>0</v>
      </c>
      <c r="AC442">
        <f t="shared" si="169"/>
        <v>0</v>
      </c>
      <c r="AD442">
        <f t="shared" si="169"/>
        <v>1</v>
      </c>
      <c r="AE442">
        <f t="shared" si="169"/>
        <v>0</v>
      </c>
      <c r="AF442" s="56">
        <f t="shared" si="149"/>
        <v>19</v>
      </c>
      <c r="AG442" s="59">
        <f t="shared" si="150"/>
        <v>5.3076923076923075</v>
      </c>
      <c r="AH442">
        <f t="shared" si="151"/>
        <v>0.27935222672064774</v>
      </c>
    </row>
    <row r="443" spans="1:34" ht="15" x14ac:dyDescent="0.2">
      <c r="A443">
        <v>33</v>
      </c>
      <c r="B443" s="57" t="s">
        <v>98</v>
      </c>
      <c r="C443" s="57"/>
      <c r="D443">
        <f t="shared" si="147"/>
        <v>69</v>
      </c>
      <c r="E443" s="1">
        <f t="shared" si="148"/>
        <v>14</v>
      </c>
      <c r="F443">
        <f t="shared" si="167"/>
        <v>6</v>
      </c>
      <c r="G443">
        <f t="shared" si="167"/>
        <v>1</v>
      </c>
      <c r="H443">
        <f t="shared" si="167"/>
        <v>3</v>
      </c>
      <c r="I443">
        <f t="shared" si="167"/>
        <v>2</v>
      </c>
      <c r="J443">
        <f t="shared" si="167"/>
        <v>3</v>
      </c>
      <c r="K443">
        <f t="shared" si="167"/>
        <v>2</v>
      </c>
      <c r="L443">
        <f t="shared" si="167"/>
        <v>1</v>
      </c>
      <c r="M443">
        <f t="shared" si="167"/>
        <v>3</v>
      </c>
      <c r="N443">
        <f t="shared" si="167"/>
        <v>2</v>
      </c>
      <c r="O443">
        <f t="shared" si="167"/>
        <v>0</v>
      </c>
      <c r="P443">
        <f t="shared" si="168"/>
        <v>0</v>
      </c>
      <c r="Q443">
        <f t="shared" si="168"/>
        <v>3</v>
      </c>
      <c r="R443">
        <f t="shared" si="168"/>
        <v>2</v>
      </c>
      <c r="S443">
        <f t="shared" si="168"/>
        <v>4</v>
      </c>
      <c r="T443">
        <f t="shared" si="168"/>
        <v>7</v>
      </c>
      <c r="U443">
        <f t="shared" si="168"/>
        <v>0</v>
      </c>
      <c r="V443">
        <f t="shared" si="168"/>
        <v>0</v>
      </c>
      <c r="W443">
        <f t="shared" si="168"/>
        <v>3</v>
      </c>
      <c r="X443">
        <f t="shared" si="168"/>
        <v>2</v>
      </c>
      <c r="Y443">
        <f t="shared" si="168"/>
        <v>3</v>
      </c>
      <c r="Z443">
        <f t="shared" si="169"/>
        <v>2</v>
      </c>
      <c r="AA443">
        <f t="shared" si="169"/>
        <v>3</v>
      </c>
      <c r="AB443">
        <f t="shared" si="169"/>
        <v>2</v>
      </c>
      <c r="AC443">
        <f t="shared" si="169"/>
        <v>0</v>
      </c>
      <c r="AD443">
        <f t="shared" si="169"/>
        <v>1</v>
      </c>
      <c r="AE443">
        <f t="shared" si="169"/>
        <v>0</v>
      </c>
      <c r="AF443" s="56">
        <f t="shared" si="149"/>
        <v>20</v>
      </c>
      <c r="AG443" s="59">
        <f t="shared" si="150"/>
        <v>4.9285714285714288</v>
      </c>
      <c r="AH443">
        <f t="shared" si="151"/>
        <v>0.24642857142857144</v>
      </c>
    </row>
    <row r="444" spans="1:34" ht="15" x14ac:dyDescent="0.2">
      <c r="A444">
        <v>19</v>
      </c>
      <c r="B444" s="57" t="s">
        <v>84</v>
      </c>
      <c r="C444" s="57"/>
      <c r="D444">
        <f t="shared" si="147"/>
        <v>68</v>
      </c>
      <c r="E444" s="1">
        <f t="shared" si="148"/>
        <v>13</v>
      </c>
      <c r="F444">
        <f t="shared" si="167"/>
        <v>4</v>
      </c>
      <c r="G444">
        <f t="shared" si="167"/>
        <v>0</v>
      </c>
      <c r="H444">
        <f t="shared" si="167"/>
        <v>2</v>
      </c>
      <c r="I444">
        <f t="shared" si="167"/>
        <v>1</v>
      </c>
      <c r="J444">
        <f t="shared" si="167"/>
        <v>8</v>
      </c>
      <c r="K444">
        <f t="shared" si="167"/>
        <v>1</v>
      </c>
      <c r="L444">
        <f t="shared" si="167"/>
        <v>1</v>
      </c>
      <c r="M444">
        <f t="shared" si="167"/>
        <v>0</v>
      </c>
      <c r="N444">
        <f t="shared" si="167"/>
        <v>6</v>
      </c>
      <c r="O444">
        <f t="shared" si="167"/>
        <v>0</v>
      </c>
      <c r="P444">
        <f t="shared" si="168"/>
        <v>2</v>
      </c>
      <c r="Q444">
        <f t="shared" si="168"/>
        <v>2</v>
      </c>
      <c r="R444">
        <f t="shared" si="168"/>
        <v>1</v>
      </c>
      <c r="S444">
        <f t="shared" si="168"/>
        <v>3</v>
      </c>
      <c r="T444">
        <f t="shared" si="168"/>
        <v>2</v>
      </c>
      <c r="U444">
        <f t="shared" si="168"/>
        <v>1</v>
      </c>
      <c r="V444">
        <f t="shared" si="168"/>
        <v>0</v>
      </c>
      <c r="W444">
        <f t="shared" si="168"/>
        <v>5</v>
      </c>
      <c r="X444">
        <f t="shared" si="168"/>
        <v>8</v>
      </c>
      <c r="Y444">
        <f t="shared" si="168"/>
        <v>3</v>
      </c>
      <c r="Z444">
        <f t="shared" si="169"/>
        <v>3</v>
      </c>
      <c r="AA444">
        <f t="shared" si="169"/>
        <v>0</v>
      </c>
      <c r="AB444">
        <f t="shared" si="169"/>
        <v>0</v>
      </c>
      <c r="AC444">
        <f t="shared" si="169"/>
        <v>0</v>
      </c>
      <c r="AD444">
        <f t="shared" si="169"/>
        <v>0</v>
      </c>
      <c r="AE444">
        <f t="shared" si="169"/>
        <v>0</v>
      </c>
      <c r="AF444" s="56">
        <f t="shared" si="149"/>
        <v>17</v>
      </c>
      <c r="AG444" s="59">
        <f t="shared" si="150"/>
        <v>5.2307692307692308</v>
      </c>
      <c r="AH444">
        <f t="shared" si="151"/>
        <v>0.30769230769230771</v>
      </c>
    </row>
    <row r="445" spans="1:34" ht="15" x14ac:dyDescent="0.2">
      <c r="A445">
        <v>239</v>
      </c>
      <c r="B445" s="57" t="s">
        <v>302</v>
      </c>
      <c r="C445" s="57"/>
      <c r="D445">
        <f t="shared" si="147"/>
        <v>68</v>
      </c>
      <c r="E445" s="1">
        <f t="shared" si="148"/>
        <v>13</v>
      </c>
      <c r="F445">
        <f t="shared" si="167"/>
        <v>2</v>
      </c>
      <c r="G445">
        <f t="shared" si="167"/>
        <v>0</v>
      </c>
      <c r="H445">
        <f t="shared" si="167"/>
        <v>0</v>
      </c>
      <c r="I445">
        <f t="shared" si="167"/>
        <v>1</v>
      </c>
      <c r="J445">
        <f t="shared" si="167"/>
        <v>7</v>
      </c>
      <c r="K445">
        <f t="shared" si="167"/>
        <v>2</v>
      </c>
      <c r="L445">
        <f t="shared" si="167"/>
        <v>2</v>
      </c>
      <c r="M445">
        <f t="shared" si="167"/>
        <v>2</v>
      </c>
      <c r="N445">
        <f t="shared" si="167"/>
        <v>3</v>
      </c>
      <c r="O445">
        <f t="shared" si="167"/>
        <v>0</v>
      </c>
      <c r="P445">
        <f t="shared" si="168"/>
        <v>0</v>
      </c>
      <c r="Q445">
        <f t="shared" si="168"/>
        <v>2</v>
      </c>
      <c r="R445">
        <f t="shared" si="168"/>
        <v>2</v>
      </c>
      <c r="S445">
        <f t="shared" si="168"/>
        <v>4</v>
      </c>
      <c r="T445">
        <f t="shared" si="168"/>
        <v>6</v>
      </c>
      <c r="U445">
        <f t="shared" si="168"/>
        <v>1</v>
      </c>
      <c r="V445">
        <f t="shared" si="168"/>
        <v>0</v>
      </c>
      <c r="W445">
        <f t="shared" si="168"/>
        <v>6</v>
      </c>
      <c r="X445">
        <f t="shared" si="168"/>
        <v>4</v>
      </c>
      <c r="Y445">
        <f t="shared" si="168"/>
        <v>4</v>
      </c>
      <c r="Z445">
        <f t="shared" si="169"/>
        <v>2</v>
      </c>
      <c r="AA445">
        <f t="shared" si="169"/>
        <v>2</v>
      </c>
      <c r="AB445">
        <f t="shared" si="169"/>
        <v>1</v>
      </c>
      <c r="AC445">
        <f t="shared" si="169"/>
        <v>0</v>
      </c>
      <c r="AD445">
        <f t="shared" si="169"/>
        <v>2</v>
      </c>
      <c r="AE445">
        <f t="shared" si="169"/>
        <v>0</v>
      </c>
      <c r="AF445" s="56">
        <f t="shared" si="149"/>
        <v>19</v>
      </c>
      <c r="AG445" s="59">
        <f t="shared" si="150"/>
        <v>5.2307692307692308</v>
      </c>
      <c r="AH445">
        <f t="shared" si="151"/>
        <v>0.27530364372469635</v>
      </c>
    </row>
    <row r="446" spans="1:34" ht="15" x14ac:dyDescent="0.2">
      <c r="A446">
        <v>161</v>
      </c>
      <c r="B446" s="57" t="s">
        <v>225</v>
      </c>
      <c r="C446" s="57"/>
      <c r="D446">
        <f t="shared" si="147"/>
        <v>68</v>
      </c>
      <c r="E446" s="1">
        <f t="shared" si="148"/>
        <v>11</v>
      </c>
      <c r="F446">
        <f t="shared" si="167"/>
        <v>2</v>
      </c>
      <c r="G446">
        <f t="shared" si="167"/>
        <v>0</v>
      </c>
      <c r="H446">
        <f t="shared" si="167"/>
        <v>1</v>
      </c>
      <c r="I446">
        <f t="shared" si="167"/>
        <v>2</v>
      </c>
      <c r="J446">
        <f t="shared" si="167"/>
        <v>6</v>
      </c>
      <c r="K446">
        <f t="shared" si="167"/>
        <v>0</v>
      </c>
      <c r="L446">
        <f t="shared" si="167"/>
        <v>5</v>
      </c>
      <c r="M446">
        <f t="shared" si="167"/>
        <v>4</v>
      </c>
      <c r="N446">
        <f t="shared" si="167"/>
        <v>6</v>
      </c>
      <c r="O446">
        <f t="shared" si="167"/>
        <v>0</v>
      </c>
      <c r="P446">
        <f t="shared" si="168"/>
        <v>1</v>
      </c>
      <c r="Q446">
        <f t="shared" si="168"/>
        <v>3</v>
      </c>
      <c r="R446">
        <f t="shared" si="168"/>
        <v>0</v>
      </c>
      <c r="S446">
        <f t="shared" si="168"/>
        <v>5</v>
      </c>
      <c r="T446">
        <f t="shared" si="168"/>
        <v>2</v>
      </c>
      <c r="U446">
        <f t="shared" si="168"/>
        <v>1</v>
      </c>
      <c r="V446">
        <f t="shared" si="168"/>
        <v>0</v>
      </c>
      <c r="W446">
        <f t="shared" si="168"/>
        <v>3</v>
      </c>
      <c r="X446">
        <f t="shared" si="168"/>
        <v>2</v>
      </c>
      <c r="Y446">
        <f t="shared" si="168"/>
        <v>5</v>
      </c>
      <c r="Z446">
        <f t="shared" si="169"/>
        <v>1</v>
      </c>
      <c r="AA446">
        <f t="shared" si="169"/>
        <v>3</v>
      </c>
      <c r="AB446">
        <f t="shared" si="169"/>
        <v>1</v>
      </c>
      <c r="AC446">
        <f t="shared" si="169"/>
        <v>0</v>
      </c>
      <c r="AD446">
        <f t="shared" si="169"/>
        <v>2</v>
      </c>
      <c r="AE446">
        <f t="shared" si="169"/>
        <v>0</v>
      </c>
      <c r="AF446" s="56">
        <f t="shared" si="149"/>
        <v>19</v>
      </c>
      <c r="AG446" s="59">
        <f t="shared" si="150"/>
        <v>6.1818181818181817</v>
      </c>
      <c r="AH446">
        <f t="shared" si="151"/>
        <v>0.32535885167464113</v>
      </c>
    </row>
    <row r="447" spans="1:34" ht="15" x14ac:dyDescent="0.2">
      <c r="A447">
        <v>563</v>
      </c>
      <c r="B447" s="57" t="s">
        <v>585</v>
      </c>
      <c r="C447" s="57"/>
      <c r="D447">
        <f t="shared" si="147"/>
        <v>67</v>
      </c>
      <c r="E447" s="1">
        <f t="shared" si="148"/>
        <v>13</v>
      </c>
      <c r="F447">
        <f t="shared" si="167"/>
        <v>1</v>
      </c>
      <c r="G447">
        <f t="shared" si="167"/>
        <v>0</v>
      </c>
      <c r="H447">
        <f t="shared" si="167"/>
        <v>1</v>
      </c>
      <c r="I447">
        <f t="shared" si="167"/>
        <v>1</v>
      </c>
      <c r="J447">
        <f t="shared" si="167"/>
        <v>11</v>
      </c>
      <c r="K447">
        <f t="shared" si="167"/>
        <v>3</v>
      </c>
      <c r="L447">
        <f t="shared" si="167"/>
        <v>0</v>
      </c>
      <c r="M447">
        <f t="shared" si="167"/>
        <v>2</v>
      </c>
      <c r="N447">
        <f t="shared" si="167"/>
        <v>8</v>
      </c>
      <c r="O447">
        <f t="shared" si="167"/>
        <v>0</v>
      </c>
      <c r="P447">
        <f t="shared" si="168"/>
        <v>0</v>
      </c>
      <c r="Q447">
        <f t="shared" si="168"/>
        <v>3</v>
      </c>
      <c r="R447">
        <f t="shared" si="168"/>
        <v>0</v>
      </c>
      <c r="S447">
        <f t="shared" si="168"/>
        <v>3</v>
      </c>
      <c r="T447">
        <f t="shared" si="168"/>
        <v>5</v>
      </c>
      <c r="U447">
        <f t="shared" si="168"/>
        <v>2</v>
      </c>
      <c r="V447">
        <f t="shared" si="168"/>
        <v>0</v>
      </c>
      <c r="W447">
        <f t="shared" si="168"/>
        <v>1</v>
      </c>
      <c r="X447">
        <f t="shared" si="168"/>
        <v>4</v>
      </c>
      <c r="Y447">
        <f t="shared" si="168"/>
        <v>5</v>
      </c>
      <c r="Z447">
        <f t="shared" si="169"/>
        <v>0</v>
      </c>
      <c r="AA447">
        <f t="shared" si="169"/>
        <v>1</v>
      </c>
      <c r="AB447">
        <f t="shared" si="169"/>
        <v>1</v>
      </c>
      <c r="AC447">
        <f t="shared" si="169"/>
        <v>0</v>
      </c>
      <c r="AD447">
        <f t="shared" si="169"/>
        <v>0</v>
      </c>
      <c r="AE447">
        <f t="shared" si="169"/>
        <v>0</v>
      </c>
      <c r="AF447" s="56">
        <f t="shared" si="149"/>
        <v>16</v>
      </c>
      <c r="AG447" s="59">
        <f t="shared" si="150"/>
        <v>5.1538461538461542</v>
      </c>
      <c r="AH447">
        <f t="shared" si="151"/>
        <v>0.32211538461538464</v>
      </c>
    </row>
    <row r="448" spans="1:34" ht="15" x14ac:dyDescent="0.2">
      <c r="A448">
        <v>167</v>
      </c>
      <c r="B448" s="57" t="s">
        <v>231</v>
      </c>
      <c r="C448" s="57"/>
      <c r="D448">
        <f t="shared" si="147"/>
        <v>67</v>
      </c>
      <c r="E448" s="1">
        <f t="shared" si="148"/>
        <v>15</v>
      </c>
      <c r="F448">
        <f t="shared" si="167"/>
        <v>7</v>
      </c>
      <c r="G448">
        <f t="shared" si="167"/>
        <v>0</v>
      </c>
      <c r="H448">
        <f t="shared" si="167"/>
        <v>0</v>
      </c>
      <c r="I448">
        <f t="shared" si="167"/>
        <v>2</v>
      </c>
      <c r="J448">
        <f t="shared" si="167"/>
        <v>0</v>
      </c>
      <c r="K448">
        <f t="shared" si="167"/>
        <v>0</v>
      </c>
      <c r="L448">
        <f t="shared" si="167"/>
        <v>2</v>
      </c>
      <c r="M448">
        <f t="shared" si="167"/>
        <v>2</v>
      </c>
      <c r="N448">
        <f t="shared" si="167"/>
        <v>4</v>
      </c>
      <c r="O448">
        <f t="shared" si="167"/>
        <v>0</v>
      </c>
      <c r="P448">
        <f t="shared" si="168"/>
        <v>0</v>
      </c>
      <c r="Q448">
        <f t="shared" si="168"/>
        <v>1</v>
      </c>
      <c r="R448">
        <f t="shared" si="168"/>
        <v>1</v>
      </c>
      <c r="S448">
        <f t="shared" si="168"/>
        <v>4</v>
      </c>
      <c r="T448">
        <f t="shared" si="168"/>
        <v>5</v>
      </c>
      <c r="U448">
        <f t="shared" si="168"/>
        <v>1</v>
      </c>
      <c r="V448">
        <f t="shared" si="168"/>
        <v>0</v>
      </c>
      <c r="W448">
        <f t="shared" si="168"/>
        <v>1</v>
      </c>
      <c r="X448">
        <f t="shared" si="168"/>
        <v>5</v>
      </c>
      <c r="Y448">
        <f t="shared" si="168"/>
        <v>6</v>
      </c>
      <c r="Z448">
        <f t="shared" si="169"/>
        <v>0</v>
      </c>
      <c r="AA448">
        <f t="shared" si="169"/>
        <v>1</v>
      </c>
      <c r="AB448">
        <f t="shared" si="169"/>
        <v>2</v>
      </c>
      <c r="AC448">
        <f t="shared" si="169"/>
        <v>0</v>
      </c>
      <c r="AD448">
        <f t="shared" si="169"/>
        <v>2</v>
      </c>
      <c r="AE448">
        <f t="shared" si="169"/>
        <v>0</v>
      </c>
      <c r="AF448" s="56">
        <f t="shared" si="149"/>
        <v>16</v>
      </c>
      <c r="AG448" s="59">
        <f t="shared" si="150"/>
        <v>4.4666666666666668</v>
      </c>
      <c r="AH448">
        <f t="shared" si="151"/>
        <v>0.27916666666666667</v>
      </c>
    </row>
    <row r="449" spans="1:34" ht="15" x14ac:dyDescent="0.2">
      <c r="A449">
        <v>603</v>
      </c>
      <c r="B449" s="57" t="s">
        <v>623</v>
      </c>
      <c r="C449" s="57"/>
      <c r="D449">
        <f t="shared" si="147"/>
        <v>67</v>
      </c>
      <c r="E449" s="1">
        <f t="shared" si="148"/>
        <v>12</v>
      </c>
      <c r="F449">
        <f t="shared" si="167"/>
        <v>4</v>
      </c>
      <c r="G449">
        <f t="shared" si="167"/>
        <v>1</v>
      </c>
      <c r="H449">
        <f t="shared" si="167"/>
        <v>0</v>
      </c>
      <c r="I449">
        <f t="shared" si="167"/>
        <v>1</v>
      </c>
      <c r="J449">
        <f t="shared" si="167"/>
        <v>8</v>
      </c>
      <c r="K449">
        <f t="shared" si="167"/>
        <v>0</v>
      </c>
      <c r="L449">
        <f t="shared" si="167"/>
        <v>3</v>
      </c>
      <c r="M449">
        <f t="shared" si="167"/>
        <v>1</v>
      </c>
      <c r="N449">
        <f t="shared" si="167"/>
        <v>3</v>
      </c>
      <c r="O449">
        <f t="shared" si="167"/>
        <v>0</v>
      </c>
      <c r="P449">
        <f t="shared" si="168"/>
        <v>0</v>
      </c>
      <c r="Q449">
        <f t="shared" si="168"/>
        <v>4</v>
      </c>
      <c r="R449">
        <f t="shared" si="168"/>
        <v>1</v>
      </c>
      <c r="S449">
        <f t="shared" si="168"/>
        <v>2</v>
      </c>
      <c r="T449">
        <f t="shared" si="168"/>
        <v>5</v>
      </c>
      <c r="U449">
        <f t="shared" si="168"/>
        <v>0</v>
      </c>
      <c r="V449">
        <f t="shared" si="168"/>
        <v>0</v>
      </c>
      <c r="W449">
        <f t="shared" si="168"/>
        <v>6</v>
      </c>
      <c r="X449">
        <f t="shared" si="168"/>
        <v>1</v>
      </c>
      <c r="Y449">
        <f t="shared" si="168"/>
        <v>4</v>
      </c>
      <c r="Z449">
        <f t="shared" si="169"/>
        <v>2</v>
      </c>
      <c r="AA449">
        <f t="shared" si="169"/>
        <v>0</v>
      </c>
      <c r="AB449">
        <f t="shared" si="169"/>
        <v>3</v>
      </c>
      <c r="AC449">
        <f t="shared" si="169"/>
        <v>0</v>
      </c>
      <c r="AD449">
        <f t="shared" si="169"/>
        <v>3</v>
      </c>
      <c r="AE449">
        <f t="shared" si="169"/>
        <v>0</v>
      </c>
      <c r="AF449" s="56">
        <f t="shared" si="149"/>
        <v>17</v>
      </c>
      <c r="AG449" s="59">
        <f t="shared" si="150"/>
        <v>5.583333333333333</v>
      </c>
      <c r="AH449">
        <f t="shared" si="151"/>
        <v>0.32843137254901961</v>
      </c>
    </row>
    <row r="450" spans="1:34" ht="15" x14ac:dyDescent="0.2">
      <c r="A450">
        <v>477</v>
      </c>
      <c r="B450" s="57" t="s">
        <v>515</v>
      </c>
      <c r="C450" s="57"/>
      <c r="D450">
        <f t="shared" ref="D450:D513" si="170">LEN(B450)</f>
        <v>67</v>
      </c>
      <c r="E450" s="1">
        <f t="shared" ref="E450:E513" si="171">IF(LEN(TRIM(B450))=0,0,LEN(TRIM(B450))-LEN(SUBSTITUTE(B450," ",""))+1)</f>
        <v>14</v>
      </c>
      <c r="F450">
        <f t="shared" si="167"/>
        <v>3</v>
      </c>
      <c r="G450">
        <f t="shared" si="167"/>
        <v>3</v>
      </c>
      <c r="H450">
        <f t="shared" si="167"/>
        <v>1</v>
      </c>
      <c r="I450">
        <f t="shared" si="167"/>
        <v>3</v>
      </c>
      <c r="J450">
        <f t="shared" si="167"/>
        <v>7</v>
      </c>
      <c r="K450">
        <f t="shared" si="167"/>
        <v>0</v>
      </c>
      <c r="L450">
        <f t="shared" si="167"/>
        <v>2</v>
      </c>
      <c r="M450">
        <f t="shared" si="167"/>
        <v>0</v>
      </c>
      <c r="N450">
        <f t="shared" si="167"/>
        <v>2</v>
      </c>
      <c r="O450">
        <f t="shared" si="167"/>
        <v>0</v>
      </c>
      <c r="P450">
        <f t="shared" si="168"/>
        <v>1</v>
      </c>
      <c r="Q450">
        <f t="shared" si="168"/>
        <v>1</v>
      </c>
      <c r="R450">
        <f t="shared" si="168"/>
        <v>2</v>
      </c>
      <c r="S450">
        <f t="shared" si="168"/>
        <v>7</v>
      </c>
      <c r="T450">
        <f t="shared" si="168"/>
        <v>4</v>
      </c>
      <c r="U450">
        <f t="shared" si="168"/>
        <v>0</v>
      </c>
      <c r="V450">
        <f t="shared" si="168"/>
        <v>0</v>
      </c>
      <c r="W450">
        <f t="shared" si="168"/>
        <v>2</v>
      </c>
      <c r="X450">
        <f t="shared" si="168"/>
        <v>4</v>
      </c>
      <c r="Y450">
        <f t="shared" si="168"/>
        <v>2</v>
      </c>
      <c r="Z450">
        <f t="shared" si="169"/>
        <v>3</v>
      </c>
      <c r="AA450">
        <f t="shared" si="169"/>
        <v>0</v>
      </c>
      <c r="AB450">
        <f t="shared" si="169"/>
        <v>0</v>
      </c>
      <c r="AC450">
        <f t="shared" si="169"/>
        <v>0</v>
      </c>
      <c r="AD450">
        <f t="shared" si="169"/>
        <v>3</v>
      </c>
      <c r="AE450">
        <f t="shared" si="169"/>
        <v>0</v>
      </c>
      <c r="AF450" s="56">
        <f t="shared" ref="AF450:AF513" si="172">26-COUNTIF(F450:AE450,0)</f>
        <v>17</v>
      </c>
      <c r="AG450" s="59">
        <f t="shared" ref="AG450:AG513" si="173">D450/E450</f>
        <v>4.7857142857142856</v>
      </c>
      <c r="AH450">
        <f t="shared" ref="AH450:AH513" si="174">AG450/AF450</f>
        <v>0.28151260504201681</v>
      </c>
    </row>
    <row r="451" spans="1:34" ht="15" x14ac:dyDescent="0.2">
      <c r="A451">
        <v>255</v>
      </c>
      <c r="B451" s="57" t="s">
        <v>318</v>
      </c>
      <c r="C451" s="57"/>
      <c r="D451">
        <f t="shared" si="170"/>
        <v>67</v>
      </c>
      <c r="E451" s="1">
        <f t="shared" si="171"/>
        <v>12</v>
      </c>
      <c r="F451">
        <f t="shared" si="167"/>
        <v>4</v>
      </c>
      <c r="G451">
        <f t="shared" si="167"/>
        <v>0</v>
      </c>
      <c r="H451">
        <f t="shared" si="167"/>
        <v>4</v>
      </c>
      <c r="I451">
        <f t="shared" si="167"/>
        <v>3</v>
      </c>
      <c r="J451">
        <f t="shared" si="167"/>
        <v>7</v>
      </c>
      <c r="K451">
        <f t="shared" si="167"/>
        <v>1</v>
      </c>
      <c r="L451">
        <f t="shared" si="167"/>
        <v>1</v>
      </c>
      <c r="M451">
        <f t="shared" si="167"/>
        <v>3</v>
      </c>
      <c r="N451">
        <f t="shared" si="167"/>
        <v>3</v>
      </c>
      <c r="O451">
        <f t="shared" si="167"/>
        <v>0</v>
      </c>
      <c r="P451">
        <f t="shared" si="168"/>
        <v>0</v>
      </c>
      <c r="Q451">
        <f t="shared" si="168"/>
        <v>2</v>
      </c>
      <c r="R451">
        <f t="shared" si="168"/>
        <v>0</v>
      </c>
      <c r="S451">
        <f t="shared" si="168"/>
        <v>4</v>
      </c>
      <c r="T451">
        <f t="shared" si="168"/>
        <v>2</v>
      </c>
      <c r="U451">
        <f t="shared" si="168"/>
        <v>1</v>
      </c>
      <c r="V451">
        <f t="shared" si="168"/>
        <v>0</v>
      </c>
      <c r="W451">
        <f t="shared" si="168"/>
        <v>2</v>
      </c>
      <c r="X451">
        <f t="shared" si="168"/>
        <v>1</v>
      </c>
      <c r="Y451">
        <f t="shared" si="168"/>
        <v>7</v>
      </c>
      <c r="Z451">
        <f t="shared" si="169"/>
        <v>4</v>
      </c>
      <c r="AA451">
        <f t="shared" si="169"/>
        <v>0</v>
      </c>
      <c r="AB451">
        <f t="shared" si="169"/>
        <v>0</v>
      </c>
      <c r="AC451">
        <f t="shared" si="169"/>
        <v>0</v>
      </c>
      <c r="AD451">
        <f t="shared" si="169"/>
        <v>2</v>
      </c>
      <c r="AE451">
        <f t="shared" si="169"/>
        <v>0</v>
      </c>
      <c r="AF451" s="56">
        <f t="shared" si="172"/>
        <v>17</v>
      </c>
      <c r="AG451" s="59">
        <f t="shared" si="173"/>
        <v>5.583333333333333</v>
      </c>
      <c r="AH451">
        <f t="shared" si="174"/>
        <v>0.32843137254901961</v>
      </c>
    </row>
    <row r="452" spans="1:34" ht="15" x14ac:dyDescent="0.2">
      <c r="A452">
        <v>590</v>
      </c>
      <c r="B452" s="57" t="s">
        <v>611</v>
      </c>
      <c r="C452" s="57"/>
      <c r="D452">
        <f t="shared" si="170"/>
        <v>66</v>
      </c>
      <c r="E452" s="1">
        <f t="shared" si="171"/>
        <v>12</v>
      </c>
      <c r="F452">
        <f t="shared" ref="F452:O461" si="175">LEN($B452)-LEN(SUBSTITUTE($B452,F$1,""))</f>
        <v>1</v>
      </c>
      <c r="G452">
        <f t="shared" si="175"/>
        <v>0</v>
      </c>
      <c r="H452">
        <f t="shared" si="175"/>
        <v>1</v>
      </c>
      <c r="I452">
        <f t="shared" si="175"/>
        <v>1</v>
      </c>
      <c r="J452">
        <f t="shared" si="175"/>
        <v>11</v>
      </c>
      <c r="K452">
        <f t="shared" si="175"/>
        <v>3</v>
      </c>
      <c r="L452">
        <f t="shared" si="175"/>
        <v>0</v>
      </c>
      <c r="M452">
        <f t="shared" si="175"/>
        <v>2</v>
      </c>
      <c r="N452">
        <f t="shared" si="175"/>
        <v>7</v>
      </c>
      <c r="O452">
        <f t="shared" si="175"/>
        <v>0</v>
      </c>
      <c r="P452">
        <f t="shared" ref="P452:Y461" si="176">LEN($B452)-LEN(SUBSTITUTE($B452,P$1,""))</f>
        <v>0</v>
      </c>
      <c r="Q452">
        <f t="shared" si="176"/>
        <v>3</v>
      </c>
      <c r="R452">
        <f t="shared" si="176"/>
        <v>0</v>
      </c>
      <c r="S452">
        <f t="shared" si="176"/>
        <v>3</v>
      </c>
      <c r="T452">
        <f t="shared" si="176"/>
        <v>5</v>
      </c>
      <c r="U452">
        <f t="shared" si="176"/>
        <v>2</v>
      </c>
      <c r="V452">
        <f t="shared" si="176"/>
        <v>0</v>
      </c>
      <c r="W452">
        <f t="shared" si="176"/>
        <v>1</v>
      </c>
      <c r="X452">
        <f t="shared" si="176"/>
        <v>4</v>
      </c>
      <c r="Y452">
        <f t="shared" si="176"/>
        <v>5</v>
      </c>
      <c r="Z452">
        <f t="shared" ref="Z452:AE461" si="177">LEN($B452)-LEN(SUBSTITUTE($B452,Z$1,""))</f>
        <v>0</v>
      </c>
      <c r="AA452">
        <f t="shared" si="177"/>
        <v>1</v>
      </c>
      <c r="AB452">
        <f t="shared" si="177"/>
        <v>1</v>
      </c>
      <c r="AC452">
        <f t="shared" si="177"/>
        <v>0</v>
      </c>
      <c r="AD452">
        <f t="shared" si="177"/>
        <v>0</v>
      </c>
      <c r="AE452">
        <f t="shared" si="177"/>
        <v>0</v>
      </c>
      <c r="AF452" s="56">
        <f t="shared" si="172"/>
        <v>16</v>
      </c>
      <c r="AG452" s="59">
        <f t="shared" si="173"/>
        <v>5.5</v>
      </c>
      <c r="AH452">
        <f t="shared" si="174"/>
        <v>0.34375</v>
      </c>
    </row>
    <row r="453" spans="1:34" ht="15" x14ac:dyDescent="0.2">
      <c r="A453">
        <v>68</v>
      </c>
      <c r="B453" s="57" t="s">
        <v>133</v>
      </c>
      <c r="C453" s="57"/>
      <c r="D453">
        <f t="shared" si="170"/>
        <v>66</v>
      </c>
      <c r="E453" s="1">
        <f t="shared" si="171"/>
        <v>12</v>
      </c>
      <c r="F453">
        <f t="shared" si="175"/>
        <v>1</v>
      </c>
      <c r="G453">
        <f t="shared" si="175"/>
        <v>0</v>
      </c>
      <c r="H453">
        <f t="shared" si="175"/>
        <v>1</v>
      </c>
      <c r="I453">
        <f t="shared" si="175"/>
        <v>4</v>
      </c>
      <c r="J453">
        <f t="shared" si="175"/>
        <v>6</v>
      </c>
      <c r="K453">
        <f t="shared" si="175"/>
        <v>1</v>
      </c>
      <c r="L453">
        <f t="shared" si="175"/>
        <v>0</v>
      </c>
      <c r="M453">
        <f t="shared" si="175"/>
        <v>3</v>
      </c>
      <c r="N453">
        <f t="shared" si="175"/>
        <v>3</v>
      </c>
      <c r="O453">
        <f t="shared" si="175"/>
        <v>0</v>
      </c>
      <c r="P453">
        <f t="shared" si="176"/>
        <v>0</v>
      </c>
      <c r="Q453">
        <f t="shared" si="176"/>
        <v>0</v>
      </c>
      <c r="R453">
        <f t="shared" si="176"/>
        <v>2</v>
      </c>
      <c r="S453">
        <f t="shared" si="176"/>
        <v>5</v>
      </c>
      <c r="T453">
        <f t="shared" si="176"/>
        <v>8</v>
      </c>
      <c r="U453">
        <f t="shared" si="176"/>
        <v>0</v>
      </c>
      <c r="V453">
        <f t="shared" si="176"/>
        <v>0</v>
      </c>
      <c r="W453">
        <f t="shared" si="176"/>
        <v>5</v>
      </c>
      <c r="X453">
        <f t="shared" si="176"/>
        <v>4</v>
      </c>
      <c r="Y453">
        <f t="shared" si="176"/>
        <v>4</v>
      </c>
      <c r="Z453">
        <f t="shared" si="177"/>
        <v>0</v>
      </c>
      <c r="AA453">
        <f t="shared" si="177"/>
        <v>1</v>
      </c>
      <c r="AB453">
        <f t="shared" si="177"/>
        <v>3</v>
      </c>
      <c r="AC453">
        <f t="shared" si="177"/>
        <v>0</v>
      </c>
      <c r="AD453">
        <f t="shared" si="177"/>
        <v>1</v>
      </c>
      <c r="AE453">
        <f t="shared" si="177"/>
        <v>1</v>
      </c>
      <c r="AF453" s="56">
        <f t="shared" si="172"/>
        <v>17</v>
      </c>
      <c r="AG453" s="59">
        <f t="shared" si="173"/>
        <v>5.5</v>
      </c>
      <c r="AH453">
        <f t="shared" si="174"/>
        <v>0.3235294117647059</v>
      </c>
    </row>
    <row r="454" spans="1:34" ht="15" x14ac:dyDescent="0.2">
      <c r="A454">
        <v>496</v>
      </c>
      <c r="B454" s="57" t="s">
        <v>680</v>
      </c>
      <c r="C454" s="57"/>
      <c r="D454">
        <f t="shared" si="170"/>
        <v>66</v>
      </c>
      <c r="E454" s="1">
        <f t="shared" si="171"/>
        <v>12</v>
      </c>
      <c r="F454">
        <f t="shared" si="175"/>
        <v>2</v>
      </c>
      <c r="G454">
        <f t="shared" si="175"/>
        <v>1</v>
      </c>
      <c r="H454">
        <f t="shared" si="175"/>
        <v>0</v>
      </c>
      <c r="I454">
        <f t="shared" si="175"/>
        <v>1</v>
      </c>
      <c r="J454">
        <f t="shared" si="175"/>
        <v>8</v>
      </c>
      <c r="K454">
        <f t="shared" si="175"/>
        <v>2</v>
      </c>
      <c r="L454">
        <f t="shared" si="175"/>
        <v>0</v>
      </c>
      <c r="M454">
        <f t="shared" si="175"/>
        <v>1</v>
      </c>
      <c r="N454">
        <f t="shared" si="175"/>
        <v>5</v>
      </c>
      <c r="O454">
        <f t="shared" si="175"/>
        <v>0</v>
      </c>
      <c r="P454">
        <f t="shared" si="176"/>
        <v>1</v>
      </c>
      <c r="Q454">
        <f t="shared" si="176"/>
        <v>3</v>
      </c>
      <c r="R454">
        <f t="shared" si="176"/>
        <v>0</v>
      </c>
      <c r="S454">
        <f t="shared" si="176"/>
        <v>2</v>
      </c>
      <c r="T454">
        <f t="shared" si="176"/>
        <v>2</v>
      </c>
      <c r="U454">
        <f t="shared" si="176"/>
        <v>0</v>
      </c>
      <c r="V454">
        <f t="shared" si="176"/>
        <v>0</v>
      </c>
      <c r="W454">
        <f t="shared" si="176"/>
        <v>4</v>
      </c>
      <c r="X454">
        <f t="shared" si="176"/>
        <v>7</v>
      </c>
      <c r="Y454">
        <f t="shared" si="176"/>
        <v>6</v>
      </c>
      <c r="Z454">
        <f t="shared" si="177"/>
        <v>1</v>
      </c>
      <c r="AA454">
        <f t="shared" si="177"/>
        <v>1</v>
      </c>
      <c r="AB454">
        <f t="shared" si="177"/>
        <v>2</v>
      </c>
      <c r="AC454">
        <f t="shared" si="177"/>
        <v>1</v>
      </c>
      <c r="AD454">
        <f t="shared" si="177"/>
        <v>0</v>
      </c>
      <c r="AE454">
        <f t="shared" si="177"/>
        <v>0</v>
      </c>
      <c r="AF454" s="56">
        <f t="shared" si="172"/>
        <v>18</v>
      </c>
      <c r="AG454" s="59">
        <f t="shared" si="173"/>
        <v>5.5</v>
      </c>
      <c r="AH454">
        <f t="shared" si="174"/>
        <v>0.30555555555555558</v>
      </c>
    </row>
    <row r="455" spans="1:34" ht="15" x14ac:dyDescent="0.2">
      <c r="A455">
        <v>321</v>
      </c>
      <c r="B455" s="57" t="s">
        <v>381</v>
      </c>
      <c r="C455" s="57"/>
      <c r="D455">
        <f t="shared" si="170"/>
        <v>66</v>
      </c>
      <c r="E455" s="1">
        <f t="shared" si="171"/>
        <v>11</v>
      </c>
      <c r="F455">
        <f t="shared" si="175"/>
        <v>1</v>
      </c>
      <c r="G455">
        <f t="shared" si="175"/>
        <v>0</v>
      </c>
      <c r="H455">
        <f t="shared" si="175"/>
        <v>0</v>
      </c>
      <c r="I455">
        <f t="shared" si="175"/>
        <v>2</v>
      </c>
      <c r="J455">
        <f t="shared" si="175"/>
        <v>8</v>
      </c>
      <c r="K455">
        <f t="shared" si="175"/>
        <v>1</v>
      </c>
      <c r="L455">
        <f t="shared" si="175"/>
        <v>0</v>
      </c>
      <c r="M455">
        <f t="shared" si="175"/>
        <v>1</v>
      </c>
      <c r="N455">
        <f t="shared" si="175"/>
        <v>3</v>
      </c>
      <c r="O455">
        <f t="shared" si="175"/>
        <v>1</v>
      </c>
      <c r="P455">
        <f t="shared" si="176"/>
        <v>1</v>
      </c>
      <c r="Q455">
        <f t="shared" si="176"/>
        <v>5</v>
      </c>
      <c r="R455">
        <f t="shared" si="176"/>
        <v>3</v>
      </c>
      <c r="S455">
        <f t="shared" si="176"/>
        <v>3</v>
      </c>
      <c r="T455">
        <f t="shared" si="176"/>
        <v>3</v>
      </c>
      <c r="U455">
        <f t="shared" si="176"/>
        <v>0</v>
      </c>
      <c r="V455">
        <f t="shared" si="176"/>
        <v>0</v>
      </c>
      <c r="W455">
        <f t="shared" si="176"/>
        <v>3</v>
      </c>
      <c r="X455">
        <f t="shared" si="176"/>
        <v>6</v>
      </c>
      <c r="Y455">
        <f t="shared" si="176"/>
        <v>5</v>
      </c>
      <c r="Z455">
        <f t="shared" si="177"/>
        <v>1</v>
      </c>
      <c r="AA455">
        <f t="shared" si="177"/>
        <v>0</v>
      </c>
      <c r="AB455">
        <f t="shared" si="177"/>
        <v>2</v>
      </c>
      <c r="AC455">
        <f t="shared" si="177"/>
        <v>0</v>
      </c>
      <c r="AD455">
        <f t="shared" si="177"/>
        <v>1</v>
      </c>
      <c r="AE455">
        <f t="shared" si="177"/>
        <v>0</v>
      </c>
      <c r="AF455" s="56">
        <f t="shared" si="172"/>
        <v>18</v>
      </c>
      <c r="AG455" s="59">
        <f t="shared" si="173"/>
        <v>6</v>
      </c>
      <c r="AH455">
        <f t="shared" si="174"/>
        <v>0.33333333333333331</v>
      </c>
    </row>
    <row r="456" spans="1:34" ht="15" x14ac:dyDescent="0.2">
      <c r="A456">
        <v>8</v>
      </c>
      <c r="B456" s="57" t="s">
        <v>73</v>
      </c>
      <c r="C456" s="57"/>
      <c r="D456">
        <f t="shared" si="170"/>
        <v>66</v>
      </c>
      <c r="E456" s="1">
        <f t="shared" si="171"/>
        <v>13</v>
      </c>
      <c r="F456">
        <f t="shared" si="175"/>
        <v>4</v>
      </c>
      <c r="G456">
        <f t="shared" si="175"/>
        <v>0</v>
      </c>
      <c r="H456">
        <f t="shared" si="175"/>
        <v>3</v>
      </c>
      <c r="I456">
        <f t="shared" si="175"/>
        <v>1</v>
      </c>
      <c r="J456">
        <f t="shared" si="175"/>
        <v>6</v>
      </c>
      <c r="K456">
        <f t="shared" si="175"/>
        <v>1</v>
      </c>
      <c r="L456">
        <f t="shared" si="175"/>
        <v>1</v>
      </c>
      <c r="M456">
        <f t="shared" si="175"/>
        <v>4</v>
      </c>
      <c r="N456">
        <f t="shared" si="175"/>
        <v>2</v>
      </c>
      <c r="O456">
        <f t="shared" si="175"/>
        <v>0</v>
      </c>
      <c r="P456">
        <f t="shared" si="176"/>
        <v>0</v>
      </c>
      <c r="Q456">
        <f t="shared" si="176"/>
        <v>3</v>
      </c>
      <c r="R456">
        <f t="shared" si="176"/>
        <v>0</v>
      </c>
      <c r="S456">
        <f t="shared" si="176"/>
        <v>3</v>
      </c>
      <c r="T456">
        <f t="shared" si="176"/>
        <v>6</v>
      </c>
      <c r="U456">
        <f t="shared" si="176"/>
        <v>1</v>
      </c>
      <c r="V456">
        <f t="shared" si="176"/>
        <v>0</v>
      </c>
      <c r="W456">
        <f t="shared" si="176"/>
        <v>4</v>
      </c>
      <c r="X456">
        <f t="shared" si="176"/>
        <v>5</v>
      </c>
      <c r="Y456">
        <f t="shared" si="176"/>
        <v>4</v>
      </c>
      <c r="Z456">
        <f t="shared" si="177"/>
        <v>2</v>
      </c>
      <c r="AA456">
        <f t="shared" si="177"/>
        <v>0</v>
      </c>
      <c r="AB456">
        <f t="shared" si="177"/>
        <v>2</v>
      </c>
      <c r="AC456">
        <f t="shared" si="177"/>
        <v>0</v>
      </c>
      <c r="AD456">
        <f t="shared" si="177"/>
        <v>1</v>
      </c>
      <c r="AE456">
        <f t="shared" si="177"/>
        <v>0</v>
      </c>
      <c r="AF456" s="56">
        <f t="shared" si="172"/>
        <v>18</v>
      </c>
      <c r="AG456" s="59">
        <f t="shared" si="173"/>
        <v>5.0769230769230766</v>
      </c>
      <c r="AH456">
        <f t="shared" si="174"/>
        <v>0.28205128205128205</v>
      </c>
    </row>
    <row r="457" spans="1:34" ht="15" x14ac:dyDescent="0.2">
      <c r="A457">
        <v>254</v>
      </c>
      <c r="B457" s="57" t="s">
        <v>317</v>
      </c>
      <c r="C457" s="57"/>
      <c r="D457">
        <f t="shared" si="170"/>
        <v>66</v>
      </c>
      <c r="E457" s="1">
        <f t="shared" si="171"/>
        <v>12</v>
      </c>
      <c r="F457">
        <f t="shared" si="175"/>
        <v>4</v>
      </c>
      <c r="G457">
        <f t="shared" si="175"/>
        <v>1</v>
      </c>
      <c r="H457">
        <f t="shared" si="175"/>
        <v>1</v>
      </c>
      <c r="I457">
        <f t="shared" si="175"/>
        <v>2</v>
      </c>
      <c r="J457">
        <f t="shared" si="175"/>
        <v>5</v>
      </c>
      <c r="K457">
        <f t="shared" si="175"/>
        <v>1</v>
      </c>
      <c r="L457">
        <f t="shared" si="175"/>
        <v>0</v>
      </c>
      <c r="M457">
        <f t="shared" si="175"/>
        <v>3</v>
      </c>
      <c r="N457">
        <f t="shared" si="175"/>
        <v>0</v>
      </c>
      <c r="O457">
        <f t="shared" si="175"/>
        <v>0</v>
      </c>
      <c r="P457">
        <f t="shared" si="176"/>
        <v>1</v>
      </c>
      <c r="Q457">
        <f t="shared" si="176"/>
        <v>5</v>
      </c>
      <c r="R457">
        <f t="shared" si="176"/>
        <v>1</v>
      </c>
      <c r="S457">
        <f t="shared" si="176"/>
        <v>2</v>
      </c>
      <c r="T457">
        <f t="shared" si="176"/>
        <v>6</v>
      </c>
      <c r="U457">
        <f t="shared" si="176"/>
        <v>0</v>
      </c>
      <c r="V457">
        <f t="shared" si="176"/>
        <v>0</v>
      </c>
      <c r="W457">
        <f t="shared" si="176"/>
        <v>1</v>
      </c>
      <c r="X457">
        <f t="shared" si="176"/>
        <v>2</v>
      </c>
      <c r="Y457">
        <f t="shared" si="176"/>
        <v>5</v>
      </c>
      <c r="Z457">
        <f t="shared" si="177"/>
        <v>4</v>
      </c>
      <c r="AA457">
        <f t="shared" si="177"/>
        <v>1</v>
      </c>
      <c r="AB457">
        <f t="shared" si="177"/>
        <v>2</v>
      </c>
      <c r="AC457">
        <f t="shared" si="177"/>
        <v>0</v>
      </c>
      <c r="AD457">
        <f t="shared" si="177"/>
        <v>2</v>
      </c>
      <c r="AE457">
        <f t="shared" si="177"/>
        <v>0</v>
      </c>
      <c r="AF457" s="56">
        <f t="shared" si="172"/>
        <v>19</v>
      </c>
      <c r="AG457" s="59">
        <f t="shared" si="173"/>
        <v>5.5</v>
      </c>
      <c r="AH457">
        <f t="shared" si="174"/>
        <v>0.28947368421052633</v>
      </c>
    </row>
    <row r="458" spans="1:34" ht="15" x14ac:dyDescent="0.2">
      <c r="A458">
        <v>580</v>
      </c>
      <c r="B458" s="57" t="s">
        <v>601</v>
      </c>
      <c r="C458" s="57"/>
      <c r="D458">
        <f t="shared" si="170"/>
        <v>65</v>
      </c>
      <c r="E458" s="1">
        <f t="shared" si="171"/>
        <v>11</v>
      </c>
      <c r="F458">
        <f t="shared" si="175"/>
        <v>2</v>
      </c>
      <c r="G458">
        <f t="shared" si="175"/>
        <v>1</v>
      </c>
      <c r="H458">
        <f t="shared" si="175"/>
        <v>0</v>
      </c>
      <c r="I458">
        <f t="shared" si="175"/>
        <v>0</v>
      </c>
      <c r="J458">
        <f t="shared" si="175"/>
        <v>5</v>
      </c>
      <c r="K458">
        <f t="shared" si="175"/>
        <v>0</v>
      </c>
      <c r="L458">
        <f t="shared" si="175"/>
        <v>2</v>
      </c>
      <c r="M458">
        <f t="shared" si="175"/>
        <v>2</v>
      </c>
      <c r="N458">
        <f t="shared" si="175"/>
        <v>7</v>
      </c>
      <c r="O458">
        <f t="shared" si="175"/>
        <v>0</v>
      </c>
      <c r="P458">
        <f t="shared" si="176"/>
        <v>0</v>
      </c>
      <c r="Q458">
        <f t="shared" si="176"/>
        <v>1</v>
      </c>
      <c r="R458">
        <f t="shared" si="176"/>
        <v>1</v>
      </c>
      <c r="S458">
        <f t="shared" si="176"/>
        <v>7</v>
      </c>
      <c r="T458">
        <f t="shared" si="176"/>
        <v>5</v>
      </c>
      <c r="U458">
        <f t="shared" si="176"/>
        <v>2</v>
      </c>
      <c r="V458">
        <f t="shared" si="176"/>
        <v>1</v>
      </c>
      <c r="W458">
        <f t="shared" si="176"/>
        <v>2</v>
      </c>
      <c r="X458">
        <f t="shared" si="176"/>
        <v>4</v>
      </c>
      <c r="Y458">
        <f t="shared" si="176"/>
        <v>10</v>
      </c>
      <c r="Z458">
        <f t="shared" si="177"/>
        <v>1</v>
      </c>
      <c r="AA458">
        <f t="shared" si="177"/>
        <v>0</v>
      </c>
      <c r="AB458">
        <f t="shared" si="177"/>
        <v>0</v>
      </c>
      <c r="AC458">
        <f t="shared" si="177"/>
        <v>0</v>
      </c>
      <c r="AD458">
        <f t="shared" si="177"/>
        <v>0</v>
      </c>
      <c r="AE458">
        <f t="shared" si="177"/>
        <v>0</v>
      </c>
      <c r="AF458" s="56">
        <f t="shared" si="172"/>
        <v>16</v>
      </c>
      <c r="AG458" s="59">
        <f t="shared" si="173"/>
        <v>5.9090909090909092</v>
      </c>
      <c r="AH458">
        <f t="shared" si="174"/>
        <v>0.36931818181818182</v>
      </c>
    </row>
    <row r="459" spans="1:34" ht="15" x14ac:dyDescent="0.2">
      <c r="A459">
        <v>172</v>
      </c>
      <c r="B459" s="57" t="s">
        <v>236</v>
      </c>
      <c r="C459" s="57"/>
      <c r="D459">
        <f t="shared" si="170"/>
        <v>65</v>
      </c>
      <c r="E459" s="1">
        <f t="shared" si="171"/>
        <v>11</v>
      </c>
      <c r="F459">
        <f t="shared" si="175"/>
        <v>1</v>
      </c>
      <c r="G459">
        <f t="shared" si="175"/>
        <v>1</v>
      </c>
      <c r="H459">
        <f t="shared" si="175"/>
        <v>2</v>
      </c>
      <c r="I459">
        <f t="shared" si="175"/>
        <v>0</v>
      </c>
      <c r="J459">
        <f t="shared" si="175"/>
        <v>12</v>
      </c>
      <c r="K459">
        <f t="shared" si="175"/>
        <v>1</v>
      </c>
      <c r="L459">
        <f t="shared" si="175"/>
        <v>1</v>
      </c>
      <c r="M459">
        <f t="shared" si="175"/>
        <v>1</v>
      </c>
      <c r="N459">
        <f t="shared" si="175"/>
        <v>7</v>
      </c>
      <c r="O459">
        <f t="shared" si="175"/>
        <v>0</v>
      </c>
      <c r="P459">
        <f t="shared" si="176"/>
        <v>0</v>
      </c>
      <c r="Q459">
        <f t="shared" si="176"/>
        <v>0</v>
      </c>
      <c r="R459">
        <f t="shared" si="176"/>
        <v>1</v>
      </c>
      <c r="S459">
        <f t="shared" si="176"/>
        <v>7</v>
      </c>
      <c r="T459">
        <f t="shared" si="176"/>
        <v>3</v>
      </c>
      <c r="U459">
        <f t="shared" si="176"/>
        <v>0</v>
      </c>
      <c r="V459">
        <f t="shared" si="176"/>
        <v>0</v>
      </c>
      <c r="W459">
        <f t="shared" si="176"/>
        <v>5</v>
      </c>
      <c r="X459">
        <f t="shared" si="176"/>
        <v>2</v>
      </c>
      <c r="Y459">
        <f t="shared" si="176"/>
        <v>6</v>
      </c>
      <c r="Z459">
        <f t="shared" si="177"/>
        <v>1</v>
      </c>
      <c r="AA459">
        <f t="shared" si="177"/>
        <v>1</v>
      </c>
      <c r="AB459">
        <f t="shared" si="177"/>
        <v>1</v>
      </c>
      <c r="AC459">
        <f t="shared" si="177"/>
        <v>0</v>
      </c>
      <c r="AD459">
        <f t="shared" si="177"/>
        <v>0</v>
      </c>
      <c r="AE459">
        <f t="shared" si="177"/>
        <v>0</v>
      </c>
      <c r="AF459" s="56">
        <f t="shared" si="172"/>
        <v>17</v>
      </c>
      <c r="AG459" s="59">
        <f t="shared" si="173"/>
        <v>5.9090909090909092</v>
      </c>
      <c r="AH459">
        <f t="shared" si="174"/>
        <v>0.34759358288770054</v>
      </c>
    </row>
    <row r="460" spans="1:34" ht="15" x14ac:dyDescent="0.2">
      <c r="A460">
        <v>142</v>
      </c>
      <c r="B460" s="57" t="s">
        <v>207</v>
      </c>
      <c r="C460" s="57"/>
      <c r="D460">
        <f t="shared" si="170"/>
        <v>65</v>
      </c>
      <c r="E460" s="1">
        <f t="shared" si="171"/>
        <v>10</v>
      </c>
      <c r="F460">
        <f t="shared" si="175"/>
        <v>7</v>
      </c>
      <c r="G460">
        <f t="shared" si="175"/>
        <v>3</v>
      </c>
      <c r="H460">
        <f t="shared" si="175"/>
        <v>1</v>
      </c>
      <c r="I460">
        <f t="shared" si="175"/>
        <v>0</v>
      </c>
      <c r="J460">
        <f t="shared" si="175"/>
        <v>10</v>
      </c>
      <c r="K460">
        <f t="shared" si="175"/>
        <v>1</v>
      </c>
      <c r="L460">
        <f t="shared" si="175"/>
        <v>0</v>
      </c>
      <c r="M460">
        <f t="shared" si="175"/>
        <v>3</v>
      </c>
      <c r="N460">
        <f t="shared" si="175"/>
        <v>3</v>
      </c>
      <c r="O460">
        <f t="shared" si="175"/>
        <v>0</v>
      </c>
      <c r="P460">
        <f t="shared" si="176"/>
        <v>1</v>
      </c>
      <c r="Q460">
        <f t="shared" si="176"/>
        <v>3</v>
      </c>
      <c r="R460">
        <f t="shared" si="176"/>
        <v>2</v>
      </c>
      <c r="S460">
        <f t="shared" si="176"/>
        <v>0</v>
      </c>
      <c r="T460">
        <f t="shared" si="176"/>
        <v>0</v>
      </c>
      <c r="U460">
        <f t="shared" si="176"/>
        <v>2</v>
      </c>
      <c r="V460">
        <f t="shared" si="176"/>
        <v>0</v>
      </c>
      <c r="W460">
        <f t="shared" si="176"/>
        <v>4</v>
      </c>
      <c r="X460">
        <f t="shared" si="176"/>
        <v>6</v>
      </c>
      <c r="Y460">
        <f t="shared" si="176"/>
        <v>3</v>
      </c>
      <c r="Z460">
        <f t="shared" si="177"/>
        <v>0</v>
      </c>
      <c r="AA460">
        <f t="shared" si="177"/>
        <v>2</v>
      </c>
      <c r="AB460">
        <f t="shared" si="177"/>
        <v>1</v>
      </c>
      <c r="AC460">
        <f t="shared" si="177"/>
        <v>0</v>
      </c>
      <c r="AD460">
        <f t="shared" si="177"/>
        <v>0</v>
      </c>
      <c r="AE460">
        <f t="shared" si="177"/>
        <v>2</v>
      </c>
      <c r="AF460" s="56">
        <f t="shared" si="172"/>
        <v>17</v>
      </c>
      <c r="AG460" s="59">
        <f t="shared" si="173"/>
        <v>6.5</v>
      </c>
      <c r="AH460">
        <f t="shared" si="174"/>
        <v>0.38235294117647056</v>
      </c>
    </row>
    <row r="461" spans="1:34" ht="15" x14ac:dyDescent="0.2">
      <c r="A461">
        <v>120</v>
      </c>
      <c r="B461" s="57" t="s">
        <v>185</v>
      </c>
      <c r="C461" s="57"/>
      <c r="D461">
        <f t="shared" si="170"/>
        <v>65</v>
      </c>
      <c r="E461" s="1">
        <f t="shared" si="171"/>
        <v>14</v>
      </c>
      <c r="F461">
        <f t="shared" si="175"/>
        <v>2</v>
      </c>
      <c r="G461">
        <f t="shared" si="175"/>
        <v>1</v>
      </c>
      <c r="H461">
        <f t="shared" si="175"/>
        <v>2</v>
      </c>
      <c r="I461">
        <f t="shared" si="175"/>
        <v>1</v>
      </c>
      <c r="J461">
        <f t="shared" si="175"/>
        <v>5</v>
      </c>
      <c r="K461">
        <f t="shared" si="175"/>
        <v>0</v>
      </c>
      <c r="L461">
        <f t="shared" si="175"/>
        <v>0</v>
      </c>
      <c r="M461">
        <f t="shared" si="175"/>
        <v>2</v>
      </c>
      <c r="N461">
        <f t="shared" si="175"/>
        <v>5</v>
      </c>
      <c r="O461">
        <f t="shared" si="175"/>
        <v>1</v>
      </c>
      <c r="P461">
        <f t="shared" si="176"/>
        <v>0</v>
      </c>
      <c r="Q461">
        <f t="shared" si="176"/>
        <v>2</v>
      </c>
      <c r="R461">
        <f t="shared" si="176"/>
        <v>0</v>
      </c>
      <c r="S461">
        <f t="shared" si="176"/>
        <v>5</v>
      </c>
      <c r="T461">
        <f t="shared" si="176"/>
        <v>3</v>
      </c>
      <c r="U461">
        <f t="shared" si="176"/>
        <v>1</v>
      </c>
      <c r="V461">
        <f t="shared" si="176"/>
        <v>0</v>
      </c>
      <c r="W461">
        <f t="shared" si="176"/>
        <v>0</v>
      </c>
      <c r="X461">
        <f t="shared" si="176"/>
        <v>3</v>
      </c>
      <c r="Y461">
        <f t="shared" si="176"/>
        <v>7</v>
      </c>
      <c r="Z461">
        <f t="shared" si="177"/>
        <v>3</v>
      </c>
      <c r="AA461">
        <f t="shared" si="177"/>
        <v>0</v>
      </c>
      <c r="AB461">
        <f t="shared" si="177"/>
        <v>3</v>
      </c>
      <c r="AC461">
        <f t="shared" si="177"/>
        <v>1</v>
      </c>
      <c r="AD461">
        <f t="shared" si="177"/>
        <v>1</v>
      </c>
      <c r="AE461">
        <f t="shared" si="177"/>
        <v>0</v>
      </c>
      <c r="AF461" s="56">
        <f t="shared" si="172"/>
        <v>18</v>
      </c>
      <c r="AG461" s="59">
        <f t="shared" si="173"/>
        <v>4.6428571428571432</v>
      </c>
      <c r="AH461">
        <f t="shared" si="174"/>
        <v>0.25793650793650796</v>
      </c>
    </row>
    <row r="462" spans="1:34" ht="15" x14ac:dyDescent="0.2">
      <c r="A462">
        <v>153</v>
      </c>
      <c r="B462" s="57" t="s">
        <v>218</v>
      </c>
      <c r="C462" s="57"/>
      <c r="D462">
        <f t="shared" si="170"/>
        <v>64</v>
      </c>
      <c r="E462" s="1">
        <f t="shared" si="171"/>
        <v>9</v>
      </c>
      <c r="F462">
        <f t="shared" ref="F462:O471" si="178">LEN($B462)-LEN(SUBSTITUTE($B462,F$1,""))</f>
        <v>5</v>
      </c>
      <c r="G462">
        <f t="shared" si="178"/>
        <v>2</v>
      </c>
      <c r="H462">
        <f t="shared" si="178"/>
        <v>2</v>
      </c>
      <c r="I462">
        <f t="shared" si="178"/>
        <v>0</v>
      </c>
      <c r="J462">
        <f t="shared" si="178"/>
        <v>5</v>
      </c>
      <c r="K462">
        <f t="shared" si="178"/>
        <v>2</v>
      </c>
      <c r="L462">
        <f t="shared" si="178"/>
        <v>1</v>
      </c>
      <c r="M462">
        <f t="shared" si="178"/>
        <v>1</v>
      </c>
      <c r="N462">
        <f t="shared" si="178"/>
        <v>7</v>
      </c>
      <c r="O462">
        <f t="shared" si="178"/>
        <v>0</v>
      </c>
      <c r="P462">
        <f t="shared" ref="P462:Y471" si="179">LEN($B462)-LEN(SUBSTITUTE($B462,P$1,""))</f>
        <v>0</v>
      </c>
      <c r="Q462">
        <f t="shared" si="179"/>
        <v>2</v>
      </c>
      <c r="R462">
        <f t="shared" si="179"/>
        <v>2</v>
      </c>
      <c r="S462">
        <f t="shared" si="179"/>
        <v>5</v>
      </c>
      <c r="T462">
        <f t="shared" si="179"/>
        <v>3</v>
      </c>
      <c r="U462">
        <f t="shared" si="179"/>
        <v>0</v>
      </c>
      <c r="V462">
        <f t="shared" si="179"/>
        <v>0</v>
      </c>
      <c r="W462">
        <f t="shared" si="179"/>
        <v>5</v>
      </c>
      <c r="X462">
        <f t="shared" si="179"/>
        <v>4</v>
      </c>
      <c r="Y462">
        <f t="shared" si="179"/>
        <v>4</v>
      </c>
      <c r="Z462">
        <f t="shared" ref="Z462:AE471" si="180">LEN($B462)-LEN(SUBSTITUTE($B462,Z$1,""))</f>
        <v>3</v>
      </c>
      <c r="AA462">
        <f t="shared" si="180"/>
        <v>0</v>
      </c>
      <c r="AB462">
        <f t="shared" si="180"/>
        <v>0</v>
      </c>
      <c r="AC462">
        <f t="shared" si="180"/>
        <v>0</v>
      </c>
      <c r="AD462">
        <f t="shared" si="180"/>
        <v>1</v>
      </c>
      <c r="AE462">
        <f t="shared" si="180"/>
        <v>0</v>
      </c>
      <c r="AF462" s="56">
        <f t="shared" si="172"/>
        <v>17</v>
      </c>
      <c r="AG462" s="59">
        <f t="shared" si="173"/>
        <v>7.1111111111111107</v>
      </c>
      <c r="AH462">
        <f t="shared" si="174"/>
        <v>0.4183006535947712</v>
      </c>
    </row>
    <row r="463" spans="1:34" ht="15" x14ac:dyDescent="0.2">
      <c r="A463">
        <v>58</v>
      </c>
      <c r="B463" s="57" t="s">
        <v>123</v>
      </c>
      <c r="C463" s="57"/>
      <c r="D463">
        <f t="shared" si="170"/>
        <v>64</v>
      </c>
      <c r="E463" s="1">
        <f t="shared" si="171"/>
        <v>15</v>
      </c>
      <c r="F463">
        <f t="shared" si="178"/>
        <v>6</v>
      </c>
      <c r="G463">
        <f t="shared" si="178"/>
        <v>1</v>
      </c>
      <c r="H463">
        <f t="shared" si="178"/>
        <v>0</v>
      </c>
      <c r="I463">
        <f t="shared" si="178"/>
        <v>3</v>
      </c>
      <c r="J463">
        <f t="shared" si="178"/>
        <v>1</v>
      </c>
      <c r="K463">
        <f t="shared" si="178"/>
        <v>1</v>
      </c>
      <c r="L463">
        <f t="shared" si="178"/>
        <v>2</v>
      </c>
      <c r="M463">
        <f t="shared" si="178"/>
        <v>0</v>
      </c>
      <c r="N463">
        <f t="shared" si="178"/>
        <v>7</v>
      </c>
      <c r="O463">
        <f t="shared" si="178"/>
        <v>0</v>
      </c>
      <c r="P463">
        <f t="shared" si="179"/>
        <v>0</v>
      </c>
      <c r="Q463">
        <f t="shared" si="179"/>
        <v>2</v>
      </c>
      <c r="R463">
        <f t="shared" si="179"/>
        <v>1</v>
      </c>
      <c r="S463">
        <f t="shared" si="179"/>
        <v>2</v>
      </c>
      <c r="T463">
        <f t="shared" si="179"/>
        <v>4</v>
      </c>
      <c r="U463">
        <f t="shared" si="179"/>
        <v>0</v>
      </c>
      <c r="V463">
        <f t="shared" si="179"/>
        <v>0</v>
      </c>
      <c r="W463">
        <f t="shared" si="179"/>
        <v>1</v>
      </c>
      <c r="X463">
        <f t="shared" si="179"/>
        <v>4</v>
      </c>
      <c r="Y463">
        <f t="shared" si="179"/>
        <v>4</v>
      </c>
      <c r="Z463">
        <f t="shared" si="180"/>
        <v>3</v>
      </c>
      <c r="AA463">
        <f t="shared" si="180"/>
        <v>0</v>
      </c>
      <c r="AB463">
        <f t="shared" si="180"/>
        <v>2</v>
      </c>
      <c r="AC463">
        <f t="shared" si="180"/>
        <v>0</v>
      </c>
      <c r="AD463">
        <f t="shared" si="180"/>
        <v>3</v>
      </c>
      <c r="AE463">
        <f t="shared" si="180"/>
        <v>0</v>
      </c>
      <c r="AF463" s="56">
        <f t="shared" si="172"/>
        <v>17</v>
      </c>
      <c r="AG463" s="59">
        <f t="shared" si="173"/>
        <v>4.2666666666666666</v>
      </c>
      <c r="AH463">
        <f t="shared" si="174"/>
        <v>0.25098039215686274</v>
      </c>
    </row>
    <row r="464" spans="1:34" ht="15" x14ac:dyDescent="0.2">
      <c r="A464">
        <v>414</v>
      </c>
      <c r="B464" s="57" t="s">
        <v>463</v>
      </c>
      <c r="C464" s="57"/>
      <c r="D464">
        <f t="shared" si="170"/>
        <v>64</v>
      </c>
      <c r="E464" s="1">
        <f t="shared" si="171"/>
        <v>13</v>
      </c>
      <c r="F464">
        <f t="shared" si="178"/>
        <v>4</v>
      </c>
      <c r="G464">
        <f t="shared" si="178"/>
        <v>0</v>
      </c>
      <c r="H464">
        <f t="shared" si="178"/>
        <v>3</v>
      </c>
      <c r="I464">
        <f t="shared" si="178"/>
        <v>2</v>
      </c>
      <c r="J464">
        <f t="shared" si="178"/>
        <v>4</v>
      </c>
      <c r="K464">
        <f t="shared" si="178"/>
        <v>1</v>
      </c>
      <c r="L464">
        <f t="shared" si="178"/>
        <v>1</v>
      </c>
      <c r="M464">
        <f t="shared" si="178"/>
        <v>5</v>
      </c>
      <c r="N464">
        <f t="shared" si="178"/>
        <v>3</v>
      </c>
      <c r="O464">
        <f t="shared" si="178"/>
        <v>0</v>
      </c>
      <c r="P464">
        <f t="shared" si="179"/>
        <v>1</v>
      </c>
      <c r="Q464">
        <f t="shared" si="179"/>
        <v>2</v>
      </c>
      <c r="R464">
        <f t="shared" si="179"/>
        <v>1</v>
      </c>
      <c r="S464">
        <f t="shared" si="179"/>
        <v>5</v>
      </c>
      <c r="T464">
        <f t="shared" si="179"/>
        <v>4</v>
      </c>
      <c r="U464">
        <f t="shared" si="179"/>
        <v>0</v>
      </c>
      <c r="V464">
        <f t="shared" si="179"/>
        <v>0</v>
      </c>
      <c r="W464">
        <f t="shared" si="179"/>
        <v>3</v>
      </c>
      <c r="X464">
        <f t="shared" si="179"/>
        <v>2</v>
      </c>
      <c r="Y464">
        <f t="shared" si="179"/>
        <v>5</v>
      </c>
      <c r="Z464">
        <f t="shared" si="180"/>
        <v>0</v>
      </c>
      <c r="AA464">
        <f t="shared" si="180"/>
        <v>0</v>
      </c>
      <c r="AB464">
        <f t="shared" si="180"/>
        <v>2</v>
      </c>
      <c r="AC464">
        <f t="shared" si="180"/>
        <v>0</v>
      </c>
      <c r="AD464">
        <f t="shared" si="180"/>
        <v>1</v>
      </c>
      <c r="AE464">
        <f t="shared" si="180"/>
        <v>0</v>
      </c>
      <c r="AF464" s="56">
        <f t="shared" si="172"/>
        <v>18</v>
      </c>
      <c r="AG464" s="59">
        <f t="shared" si="173"/>
        <v>4.9230769230769234</v>
      </c>
      <c r="AH464">
        <f t="shared" si="174"/>
        <v>0.27350427350427353</v>
      </c>
    </row>
    <row r="465" spans="1:34" ht="15" x14ac:dyDescent="0.2">
      <c r="A465">
        <v>93</v>
      </c>
      <c r="B465" s="57" t="s">
        <v>158</v>
      </c>
      <c r="C465" s="57"/>
      <c r="D465">
        <f t="shared" si="170"/>
        <v>64</v>
      </c>
      <c r="E465" s="1">
        <f t="shared" si="171"/>
        <v>12</v>
      </c>
      <c r="F465">
        <f t="shared" si="178"/>
        <v>5</v>
      </c>
      <c r="G465">
        <f t="shared" si="178"/>
        <v>1</v>
      </c>
      <c r="H465">
        <f t="shared" si="178"/>
        <v>1</v>
      </c>
      <c r="I465">
        <f t="shared" si="178"/>
        <v>2</v>
      </c>
      <c r="J465">
        <f t="shared" si="178"/>
        <v>4</v>
      </c>
      <c r="K465">
        <f t="shared" si="178"/>
        <v>1</v>
      </c>
      <c r="L465">
        <f t="shared" si="178"/>
        <v>0</v>
      </c>
      <c r="M465">
        <f t="shared" si="178"/>
        <v>3</v>
      </c>
      <c r="N465">
        <f t="shared" si="178"/>
        <v>4</v>
      </c>
      <c r="O465">
        <f t="shared" si="178"/>
        <v>0</v>
      </c>
      <c r="P465">
        <f t="shared" si="179"/>
        <v>0</v>
      </c>
      <c r="Q465">
        <f t="shared" si="179"/>
        <v>1</v>
      </c>
      <c r="R465">
        <f t="shared" si="179"/>
        <v>3</v>
      </c>
      <c r="S465">
        <f t="shared" si="179"/>
        <v>4</v>
      </c>
      <c r="T465">
        <f t="shared" si="179"/>
        <v>7</v>
      </c>
      <c r="U465">
        <f t="shared" si="179"/>
        <v>2</v>
      </c>
      <c r="V465">
        <f t="shared" si="179"/>
        <v>0</v>
      </c>
      <c r="W465">
        <f t="shared" si="179"/>
        <v>2</v>
      </c>
      <c r="X465">
        <f t="shared" si="179"/>
        <v>3</v>
      </c>
      <c r="Y465">
        <f t="shared" si="179"/>
        <v>4</v>
      </c>
      <c r="Z465">
        <f t="shared" si="180"/>
        <v>3</v>
      </c>
      <c r="AA465">
        <f t="shared" si="180"/>
        <v>1</v>
      </c>
      <c r="AB465">
        <f t="shared" si="180"/>
        <v>0</v>
      </c>
      <c r="AC465">
        <f t="shared" si="180"/>
        <v>0</v>
      </c>
      <c r="AD465">
        <f t="shared" si="180"/>
        <v>0</v>
      </c>
      <c r="AE465">
        <f t="shared" si="180"/>
        <v>0</v>
      </c>
      <c r="AF465" s="56">
        <f t="shared" si="172"/>
        <v>18</v>
      </c>
      <c r="AG465" s="59">
        <f t="shared" si="173"/>
        <v>5.333333333333333</v>
      </c>
      <c r="AH465">
        <f t="shared" si="174"/>
        <v>0.29629629629629628</v>
      </c>
    </row>
    <row r="466" spans="1:34" ht="15" x14ac:dyDescent="0.2">
      <c r="A466">
        <v>130</v>
      </c>
      <c r="B466" s="57" t="s">
        <v>195</v>
      </c>
      <c r="C466" s="57"/>
      <c r="D466">
        <f t="shared" si="170"/>
        <v>63</v>
      </c>
      <c r="E466" s="1">
        <f t="shared" si="171"/>
        <v>12</v>
      </c>
      <c r="F466">
        <f t="shared" si="178"/>
        <v>0</v>
      </c>
      <c r="G466">
        <f t="shared" si="178"/>
        <v>3</v>
      </c>
      <c r="H466">
        <f t="shared" si="178"/>
        <v>1</v>
      </c>
      <c r="I466">
        <f t="shared" si="178"/>
        <v>0</v>
      </c>
      <c r="J466">
        <f t="shared" si="178"/>
        <v>8</v>
      </c>
      <c r="K466">
        <f t="shared" si="178"/>
        <v>0</v>
      </c>
      <c r="L466">
        <f t="shared" si="178"/>
        <v>0</v>
      </c>
      <c r="M466">
        <f t="shared" si="178"/>
        <v>2</v>
      </c>
      <c r="N466">
        <f t="shared" si="178"/>
        <v>3</v>
      </c>
      <c r="O466">
        <f t="shared" si="178"/>
        <v>0</v>
      </c>
      <c r="P466">
        <f t="shared" si="179"/>
        <v>0</v>
      </c>
      <c r="Q466">
        <f t="shared" si="179"/>
        <v>3</v>
      </c>
      <c r="R466">
        <f t="shared" si="179"/>
        <v>1</v>
      </c>
      <c r="S466">
        <f t="shared" si="179"/>
        <v>4</v>
      </c>
      <c r="T466">
        <f t="shared" si="179"/>
        <v>8</v>
      </c>
      <c r="U466">
        <f t="shared" si="179"/>
        <v>2</v>
      </c>
      <c r="V466">
        <f t="shared" si="179"/>
        <v>0</v>
      </c>
      <c r="W466">
        <f t="shared" si="179"/>
        <v>2</v>
      </c>
      <c r="X466">
        <f t="shared" si="179"/>
        <v>0</v>
      </c>
      <c r="Y466">
        <f t="shared" si="179"/>
        <v>5</v>
      </c>
      <c r="Z466">
        <f t="shared" si="180"/>
        <v>3</v>
      </c>
      <c r="AA466">
        <f t="shared" si="180"/>
        <v>0</v>
      </c>
      <c r="AB466">
        <f t="shared" si="180"/>
        <v>0</v>
      </c>
      <c r="AC466">
        <f t="shared" si="180"/>
        <v>0</v>
      </c>
      <c r="AD466">
        <f t="shared" si="180"/>
        <v>2</v>
      </c>
      <c r="AE466">
        <f t="shared" si="180"/>
        <v>0</v>
      </c>
      <c r="AF466" s="56">
        <f t="shared" si="172"/>
        <v>14</v>
      </c>
      <c r="AG466" s="59">
        <f t="shared" si="173"/>
        <v>5.25</v>
      </c>
      <c r="AH466">
        <f t="shared" si="174"/>
        <v>0.375</v>
      </c>
    </row>
    <row r="467" spans="1:34" ht="15" x14ac:dyDescent="0.2">
      <c r="A467">
        <v>123</v>
      </c>
      <c r="B467" s="57" t="s">
        <v>188</v>
      </c>
      <c r="C467" s="57"/>
      <c r="D467">
        <f t="shared" si="170"/>
        <v>63</v>
      </c>
      <c r="E467" s="1">
        <f t="shared" si="171"/>
        <v>13</v>
      </c>
      <c r="F467">
        <f t="shared" si="178"/>
        <v>2</v>
      </c>
      <c r="G467">
        <f t="shared" si="178"/>
        <v>0</v>
      </c>
      <c r="H467">
        <f t="shared" si="178"/>
        <v>0</v>
      </c>
      <c r="I467">
        <f t="shared" si="178"/>
        <v>2</v>
      </c>
      <c r="J467">
        <f t="shared" si="178"/>
        <v>7</v>
      </c>
      <c r="K467">
        <f t="shared" si="178"/>
        <v>0</v>
      </c>
      <c r="L467">
        <f t="shared" si="178"/>
        <v>2</v>
      </c>
      <c r="M467">
        <f t="shared" si="178"/>
        <v>4</v>
      </c>
      <c r="N467">
        <f t="shared" si="178"/>
        <v>3</v>
      </c>
      <c r="O467">
        <f t="shared" si="178"/>
        <v>0</v>
      </c>
      <c r="P467">
        <f t="shared" si="179"/>
        <v>0</v>
      </c>
      <c r="Q467">
        <f t="shared" si="179"/>
        <v>0</v>
      </c>
      <c r="R467">
        <f t="shared" si="179"/>
        <v>3</v>
      </c>
      <c r="S467">
        <f t="shared" si="179"/>
        <v>3</v>
      </c>
      <c r="T467">
        <f t="shared" si="179"/>
        <v>1</v>
      </c>
      <c r="U467">
        <f t="shared" si="179"/>
        <v>2</v>
      </c>
      <c r="V467">
        <f t="shared" si="179"/>
        <v>0</v>
      </c>
      <c r="W467">
        <f t="shared" si="179"/>
        <v>4</v>
      </c>
      <c r="X467">
        <f t="shared" si="179"/>
        <v>4</v>
      </c>
      <c r="Y467">
        <f t="shared" si="179"/>
        <v>4</v>
      </c>
      <c r="Z467">
        <f t="shared" si="180"/>
        <v>3</v>
      </c>
      <c r="AA467">
        <f t="shared" si="180"/>
        <v>0</v>
      </c>
      <c r="AB467">
        <f t="shared" si="180"/>
        <v>1</v>
      </c>
      <c r="AC467">
        <f t="shared" si="180"/>
        <v>0</v>
      </c>
      <c r="AD467">
        <f t="shared" si="180"/>
        <v>5</v>
      </c>
      <c r="AE467">
        <f t="shared" si="180"/>
        <v>0</v>
      </c>
      <c r="AF467" s="56">
        <f t="shared" si="172"/>
        <v>16</v>
      </c>
      <c r="AG467" s="59">
        <f t="shared" si="173"/>
        <v>4.8461538461538458</v>
      </c>
      <c r="AH467">
        <f t="shared" si="174"/>
        <v>0.30288461538461536</v>
      </c>
    </row>
    <row r="468" spans="1:34" ht="15" x14ac:dyDescent="0.2">
      <c r="A468">
        <v>73</v>
      </c>
      <c r="B468" s="57" t="s">
        <v>138</v>
      </c>
      <c r="C468" s="57"/>
      <c r="D468">
        <f t="shared" si="170"/>
        <v>63</v>
      </c>
      <c r="E468" s="1">
        <f t="shared" si="171"/>
        <v>12</v>
      </c>
      <c r="F468">
        <f t="shared" si="178"/>
        <v>3</v>
      </c>
      <c r="G468">
        <f t="shared" si="178"/>
        <v>0</v>
      </c>
      <c r="H468">
        <f t="shared" si="178"/>
        <v>2</v>
      </c>
      <c r="I468">
        <f t="shared" si="178"/>
        <v>0</v>
      </c>
      <c r="J468">
        <f t="shared" si="178"/>
        <v>5</v>
      </c>
      <c r="K468">
        <f t="shared" si="178"/>
        <v>1</v>
      </c>
      <c r="L468">
        <f t="shared" si="178"/>
        <v>1</v>
      </c>
      <c r="M468">
        <f t="shared" si="178"/>
        <v>4</v>
      </c>
      <c r="N468">
        <f t="shared" si="178"/>
        <v>4</v>
      </c>
      <c r="O468">
        <f t="shared" si="178"/>
        <v>0</v>
      </c>
      <c r="P468">
        <f t="shared" si="179"/>
        <v>0</v>
      </c>
      <c r="Q468">
        <f t="shared" si="179"/>
        <v>0</v>
      </c>
      <c r="R468">
        <f t="shared" si="179"/>
        <v>2</v>
      </c>
      <c r="S468">
        <f t="shared" si="179"/>
        <v>4</v>
      </c>
      <c r="T468">
        <f t="shared" si="179"/>
        <v>7</v>
      </c>
      <c r="U468">
        <f t="shared" si="179"/>
        <v>0</v>
      </c>
      <c r="V468">
        <f t="shared" si="179"/>
        <v>0</v>
      </c>
      <c r="W468">
        <f t="shared" si="179"/>
        <v>2</v>
      </c>
      <c r="X468">
        <f t="shared" si="179"/>
        <v>3</v>
      </c>
      <c r="Y468">
        <f t="shared" si="179"/>
        <v>8</v>
      </c>
      <c r="Z468">
        <f t="shared" si="180"/>
        <v>1</v>
      </c>
      <c r="AA468">
        <f t="shared" si="180"/>
        <v>0</v>
      </c>
      <c r="AB468">
        <f t="shared" si="180"/>
        <v>2</v>
      </c>
      <c r="AC468">
        <f t="shared" si="180"/>
        <v>0</v>
      </c>
      <c r="AD468">
        <f t="shared" si="180"/>
        <v>1</v>
      </c>
      <c r="AE468">
        <f t="shared" si="180"/>
        <v>0</v>
      </c>
      <c r="AF468" s="56">
        <f t="shared" si="172"/>
        <v>16</v>
      </c>
      <c r="AG468" s="59">
        <f t="shared" si="173"/>
        <v>5.25</v>
      </c>
      <c r="AH468">
        <f t="shared" si="174"/>
        <v>0.328125</v>
      </c>
    </row>
    <row r="469" spans="1:34" ht="15" x14ac:dyDescent="0.2">
      <c r="A469">
        <v>439</v>
      </c>
      <c r="B469" s="57" t="s">
        <v>482</v>
      </c>
      <c r="C469" s="57"/>
      <c r="D469">
        <f t="shared" si="170"/>
        <v>63</v>
      </c>
      <c r="E469" s="1">
        <f t="shared" si="171"/>
        <v>11</v>
      </c>
      <c r="F469">
        <f t="shared" si="178"/>
        <v>2</v>
      </c>
      <c r="G469">
        <f t="shared" si="178"/>
        <v>2</v>
      </c>
      <c r="H469">
        <f t="shared" si="178"/>
        <v>1</v>
      </c>
      <c r="I469">
        <f t="shared" si="178"/>
        <v>1</v>
      </c>
      <c r="J469">
        <f t="shared" si="178"/>
        <v>7</v>
      </c>
      <c r="K469">
        <f t="shared" si="178"/>
        <v>1</v>
      </c>
      <c r="L469">
        <f t="shared" si="178"/>
        <v>0</v>
      </c>
      <c r="M469">
        <f t="shared" si="178"/>
        <v>1</v>
      </c>
      <c r="N469">
        <f t="shared" si="178"/>
        <v>0</v>
      </c>
      <c r="O469">
        <f t="shared" si="178"/>
        <v>1</v>
      </c>
      <c r="P469">
        <f t="shared" si="179"/>
        <v>1</v>
      </c>
      <c r="Q469">
        <f t="shared" si="179"/>
        <v>3</v>
      </c>
      <c r="R469">
        <f t="shared" si="179"/>
        <v>2</v>
      </c>
      <c r="S469">
        <f t="shared" si="179"/>
        <v>2</v>
      </c>
      <c r="T469">
        <f t="shared" si="179"/>
        <v>4</v>
      </c>
      <c r="U469">
        <f t="shared" si="179"/>
        <v>0</v>
      </c>
      <c r="V469">
        <f t="shared" si="179"/>
        <v>0</v>
      </c>
      <c r="W469">
        <f t="shared" si="179"/>
        <v>3</v>
      </c>
      <c r="X469">
        <f t="shared" si="179"/>
        <v>7</v>
      </c>
      <c r="Y469">
        <f t="shared" si="179"/>
        <v>0</v>
      </c>
      <c r="Z469">
        <f t="shared" si="180"/>
        <v>4</v>
      </c>
      <c r="AA469">
        <f t="shared" si="180"/>
        <v>0</v>
      </c>
      <c r="AB469">
        <f t="shared" si="180"/>
        <v>2</v>
      </c>
      <c r="AC469">
        <f t="shared" si="180"/>
        <v>0</v>
      </c>
      <c r="AD469">
        <f t="shared" si="180"/>
        <v>3</v>
      </c>
      <c r="AE469">
        <f t="shared" si="180"/>
        <v>0</v>
      </c>
      <c r="AF469" s="56">
        <f t="shared" si="172"/>
        <v>18</v>
      </c>
      <c r="AG469" s="59">
        <f t="shared" si="173"/>
        <v>5.7272727272727275</v>
      </c>
      <c r="AH469">
        <f t="shared" si="174"/>
        <v>0.31818181818181818</v>
      </c>
    </row>
    <row r="470" spans="1:34" ht="15" x14ac:dyDescent="0.2">
      <c r="A470">
        <v>360</v>
      </c>
      <c r="B470" s="57" t="s">
        <v>419</v>
      </c>
      <c r="C470" s="57"/>
      <c r="D470">
        <f t="shared" si="170"/>
        <v>63</v>
      </c>
      <c r="E470" s="1">
        <f t="shared" si="171"/>
        <v>11</v>
      </c>
      <c r="F470">
        <f t="shared" si="178"/>
        <v>3</v>
      </c>
      <c r="G470">
        <f t="shared" si="178"/>
        <v>2</v>
      </c>
      <c r="H470">
        <f t="shared" si="178"/>
        <v>0</v>
      </c>
      <c r="I470">
        <f t="shared" si="178"/>
        <v>2</v>
      </c>
      <c r="J470">
        <f t="shared" si="178"/>
        <v>6</v>
      </c>
      <c r="K470">
        <f t="shared" si="178"/>
        <v>1</v>
      </c>
      <c r="L470">
        <f t="shared" si="178"/>
        <v>2</v>
      </c>
      <c r="M470">
        <f t="shared" si="178"/>
        <v>2</v>
      </c>
      <c r="N470">
        <f t="shared" si="178"/>
        <v>4</v>
      </c>
      <c r="O470">
        <f t="shared" si="178"/>
        <v>0</v>
      </c>
      <c r="P470">
        <f t="shared" si="179"/>
        <v>1</v>
      </c>
      <c r="Q470">
        <f t="shared" si="179"/>
        <v>3</v>
      </c>
      <c r="R470">
        <f t="shared" si="179"/>
        <v>1</v>
      </c>
      <c r="S470">
        <f t="shared" si="179"/>
        <v>7</v>
      </c>
      <c r="T470">
        <f t="shared" si="179"/>
        <v>3</v>
      </c>
      <c r="U470">
        <f t="shared" si="179"/>
        <v>0</v>
      </c>
      <c r="V470">
        <f t="shared" si="179"/>
        <v>0</v>
      </c>
      <c r="W470">
        <f t="shared" si="179"/>
        <v>3</v>
      </c>
      <c r="X470">
        <f t="shared" si="179"/>
        <v>5</v>
      </c>
      <c r="Y470">
        <f t="shared" si="179"/>
        <v>2</v>
      </c>
      <c r="Z470">
        <f t="shared" si="180"/>
        <v>2</v>
      </c>
      <c r="AA470">
        <f t="shared" si="180"/>
        <v>0</v>
      </c>
      <c r="AB470">
        <f t="shared" si="180"/>
        <v>1</v>
      </c>
      <c r="AC470">
        <f t="shared" si="180"/>
        <v>0</v>
      </c>
      <c r="AD470">
        <f t="shared" si="180"/>
        <v>1</v>
      </c>
      <c r="AE470">
        <f t="shared" si="180"/>
        <v>0</v>
      </c>
      <c r="AF470" s="56">
        <f t="shared" si="172"/>
        <v>19</v>
      </c>
      <c r="AG470" s="59">
        <f t="shared" si="173"/>
        <v>5.7272727272727275</v>
      </c>
      <c r="AH470">
        <f t="shared" si="174"/>
        <v>0.30143540669856461</v>
      </c>
    </row>
    <row r="471" spans="1:34" ht="15" x14ac:dyDescent="0.2">
      <c r="A471">
        <v>40</v>
      </c>
      <c r="B471" s="57" t="s">
        <v>105</v>
      </c>
      <c r="C471" s="57"/>
      <c r="D471">
        <f t="shared" si="170"/>
        <v>63</v>
      </c>
      <c r="E471" s="1">
        <f t="shared" si="171"/>
        <v>11</v>
      </c>
      <c r="F471">
        <f t="shared" si="178"/>
        <v>4</v>
      </c>
      <c r="G471">
        <f t="shared" si="178"/>
        <v>1</v>
      </c>
      <c r="H471">
        <f t="shared" si="178"/>
        <v>1</v>
      </c>
      <c r="I471">
        <f t="shared" si="178"/>
        <v>2</v>
      </c>
      <c r="J471">
        <f t="shared" si="178"/>
        <v>9</v>
      </c>
      <c r="K471">
        <f t="shared" si="178"/>
        <v>0</v>
      </c>
      <c r="L471">
        <f t="shared" si="178"/>
        <v>3</v>
      </c>
      <c r="M471">
        <f t="shared" si="178"/>
        <v>0</v>
      </c>
      <c r="N471">
        <f t="shared" si="178"/>
        <v>2</v>
      </c>
      <c r="O471">
        <f t="shared" si="178"/>
        <v>1</v>
      </c>
      <c r="P471">
        <f t="shared" si="179"/>
        <v>1</v>
      </c>
      <c r="Q471">
        <f t="shared" si="179"/>
        <v>2</v>
      </c>
      <c r="R471">
        <f t="shared" si="179"/>
        <v>1</v>
      </c>
      <c r="S471">
        <f t="shared" si="179"/>
        <v>4</v>
      </c>
      <c r="T471">
        <f t="shared" si="179"/>
        <v>3</v>
      </c>
      <c r="U471">
        <f t="shared" si="179"/>
        <v>0</v>
      </c>
      <c r="V471">
        <f t="shared" si="179"/>
        <v>0</v>
      </c>
      <c r="W471">
        <f t="shared" si="179"/>
        <v>1</v>
      </c>
      <c r="X471">
        <f t="shared" si="179"/>
        <v>6</v>
      </c>
      <c r="Y471">
        <f t="shared" si="179"/>
        <v>5</v>
      </c>
      <c r="Z471">
        <f t="shared" si="180"/>
        <v>2</v>
      </c>
      <c r="AA471">
        <f t="shared" si="180"/>
        <v>0</v>
      </c>
      <c r="AB471">
        <f t="shared" si="180"/>
        <v>1</v>
      </c>
      <c r="AC471">
        <f t="shared" si="180"/>
        <v>0</v>
      </c>
      <c r="AD471">
        <f t="shared" si="180"/>
        <v>1</v>
      </c>
      <c r="AE471">
        <f t="shared" si="180"/>
        <v>0</v>
      </c>
      <c r="AF471" s="56">
        <f t="shared" si="172"/>
        <v>19</v>
      </c>
      <c r="AG471" s="59">
        <f t="shared" si="173"/>
        <v>5.7272727272727275</v>
      </c>
      <c r="AH471">
        <f t="shared" si="174"/>
        <v>0.30143540669856461</v>
      </c>
    </row>
    <row r="472" spans="1:34" ht="15" x14ac:dyDescent="0.2">
      <c r="A472">
        <v>555</v>
      </c>
      <c r="B472" s="57" t="s">
        <v>579</v>
      </c>
      <c r="C472" s="57"/>
      <c r="D472">
        <f t="shared" si="170"/>
        <v>62</v>
      </c>
      <c r="E472" s="1">
        <f t="shared" si="171"/>
        <v>10</v>
      </c>
      <c r="F472">
        <f t="shared" ref="F472:O481" si="181">LEN($B472)-LEN(SUBSTITUTE($B472,F$1,""))</f>
        <v>4</v>
      </c>
      <c r="G472">
        <f t="shared" si="181"/>
        <v>0</v>
      </c>
      <c r="H472">
        <f t="shared" si="181"/>
        <v>0</v>
      </c>
      <c r="I472">
        <f t="shared" si="181"/>
        <v>2</v>
      </c>
      <c r="J472">
        <f t="shared" si="181"/>
        <v>3</v>
      </c>
      <c r="K472">
        <f t="shared" si="181"/>
        <v>0</v>
      </c>
      <c r="L472">
        <f t="shared" si="181"/>
        <v>1</v>
      </c>
      <c r="M472">
        <f t="shared" si="181"/>
        <v>1</v>
      </c>
      <c r="N472">
        <f t="shared" si="181"/>
        <v>8</v>
      </c>
      <c r="O472">
        <f t="shared" si="181"/>
        <v>0</v>
      </c>
      <c r="P472">
        <f t="shared" ref="P472:Y481" si="182">LEN($B472)-LEN(SUBSTITUTE($B472,P$1,""))</f>
        <v>0</v>
      </c>
      <c r="Q472">
        <f t="shared" si="182"/>
        <v>0</v>
      </c>
      <c r="R472">
        <f t="shared" si="182"/>
        <v>1</v>
      </c>
      <c r="S472">
        <f t="shared" si="182"/>
        <v>6</v>
      </c>
      <c r="T472">
        <f t="shared" si="182"/>
        <v>4</v>
      </c>
      <c r="U472">
        <f t="shared" si="182"/>
        <v>3</v>
      </c>
      <c r="V472">
        <f t="shared" si="182"/>
        <v>0</v>
      </c>
      <c r="W472">
        <f t="shared" si="182"/>
        <v>3</v>
      </c>
      <c r="X472">
        <f t="shared" si="182"/>
        <v>6</v>
      </c>
      <c r="Y472">
        <f t="shared" si="182"/>
        <v>3</v>
      </c>
      <c r="Z472">
        <f t="shared" ref="Z472:AE481" si="183">LEN($B472)-LEN(SUBSTITUTE($B472,Z$1,""))</f>
        <v>1</v>
      </c>
      <c r="AA472">
        <f t="shared" si="183"/>
        <v>0</v>
      </c>
      <c r="AB472">
        <f t="shared" si="183"/>
        <v>0</v>
      </c>
      <c r="AC472">
        <f t="shared" si="183"/>
        <v>0</v>
      </c>
      <c r="AD472">
        <f t="shared" si="183"/>
        <v>0</v>
      </c>
      <c r="AE472">
        <f t="shared" si="183"/>
        <v>0</v>
      </c>
      <c r="AF472" s="56">
        <f t="shared" si="172"/>
        <v>14</v>
      </c>
      <c r="AG472" s="59">
        <f t="shared" si="173"/>
        <v>6.2</v>
      </c>
      <c r="AH472">
        <f t="shared" si="174"/>
        <v>0.44285714285714289</v>
      </c>
    </row>
    <row r="473" spans="1:34" ht="15" x14ac:dyDescent="0.2">
      <c r="A473">
        <v>227</v>
      </c>
      <c r="B473" s="57" t="s">
        <v>290</v>
      </c>
      <c r="C473" s="57"/>
      <c r="D473">
        <f t="shared" si="170"/>
        <v>62</v>
      </c>
      <c r="E473" s="1">
        <f t="shared" si="171"/>
        <v>10</v>
      </c>
      <c r="F473">
        <f t="shared" si="181"/>
        <v>11</v>
      </c>
      <c r="G473">
        <f t="shared" si="181"/>
        <v>1</v>
      </c>
      <c r="H473">
        <f t="shared" si="181"/>
        <v>0</v>
      </c>
      <c r="I473">
        <f t="shared" si="181"/>
        <v>1</v>
      </c>
      <c r="J473">
        <f t="shared" si="181"/>
        <v>8</v>
      </c>
      <c r="K473">
        <f t="shared" si="181"/>
        <v>1</v>
      </c>
      <c r="L473">
        <f t="shared" si="181"/>
        <v>2</v>
      </c>
      <c r="M473">
        <f t="shared" si="181"/>
        <v>2</v>
      </c>
      <c r="N473">
        <f t="shared" si="181"/>
        <v>4</v>
      </c>
      <c r="O473">
        <f t="shared" si="181"/>
        <v>0</v>
      </c>
      <c r="P473">
        <f t="shared" si="182"/>
        <v>0</v>
      </c>
      <c r="Q473">
        <f t="shared" si="182"/>
        <v>1</v>
      </c>
      <c r="R473">
        <f t="shared" si="182"/>
        <v>1</v>
      </c>
      <c r="S473">
        <f t="shared" si="182"/>
        <v>3</v>
      </c>
      <c r="T473">
        <f t="shared" si="182"/>
        <v>1</v>
      </c>
      <c r="U473">
        <f t="shared" si="182"/>
        <v>0</v>
      </c>
      <c r="V473">
        <f t="shared" si="182"/>
        <v>0</v>
      </c>
      <c r="W473">
        <f t="shared" si="182"/>
        <v>2</v>
      </c>
      <c r="X473">
        <f t="shared" si="182"/>
        <v>3</v>
      </c>
      <c r="Y473">
        <f t="shared" si="182"/>
        <v>6</v>
      </c>
      <c r="Z473">
        <f t="shared" si="183"/>
        <v>1</v>
      </c>
      <c r="AA473">
        <f t="shared" si="183"/>
        <v>2</v>
      </c>
      <c r="AB473">
        <f t="shared" si="183"/>
        <v>1</v>
      </c>
      <c r="AC473">
        <f t="shared" si="183"/>
        <v>0</v>
      </c>
      <c r="AD473">
        <f t="shared" si="183"/>
        <v>0</v>
      </c>
      <c r="AE473">
        <f t="shared" si="183"/>
        <v>0</v>
      </c>
      <c r="AF473" s="56">
        <f t="shared" si="172"/>
        <v>18</v>
      </c>
      <c r="AG473" s="59">
        <f t="shared" si="173"/>
        <v>6.2</v>
      </c>
      <c r="AH473">
        <f t="shared" si="174"/>
        <v>0.34444444444444444</v>
      </c>
    </row>
    <row r="474" spans="1:34" ht="15" x14ac:dyDescent="0.2">
      <c r="A474">
        <v>332</v>
      </c>
      <c r="B474" s="57" t="s">
        <v>392</v>
      </c>
      <c r="C474" s="57"/>
      <c r="D474">
        <f t="shared" si="170"/>
        <v>62</v>
      </c>
      <c r="E474" s="1">
        <f t="shared" si="171"/>
        <v>13</v>
      </c>
      <c r="F474">
        <f t="shared" si="181"/>
        <v>4</v>
      </c>
      <c r="G474">
        <f t="shared" si="181"/>
        <v>0</v>
      </c>
      <c r="H474">
        <f t="shared" si="181"/>
        <v>0</v>
      </c>
      <c r="I474">
        <f t="shared" si="181"/>
        <v>0</v>
      </c>
      <c r="J474">
        <f t="shared" si="181"/>
        <v>5</v>
      </c>
      <c r="K474">
        <f t="shared" si="181"/>
        <v>2</v>
      </c>
      <c r="L474">
        <f t="shared" si="181"/>
        <v>0</v>
      </c>
      <c r="M474">
        <f t="shared" si="181"/>
        <v>1</v>
      </c>
      <c r="N474">
        <f t="shared" si="181"/>
        <v>7</v>
      </c>
      <c r="O474">
        <f t="shared" si="181"/>
        <v>1</v>
      </c>
      <c r="P474">
        <f t="shared" si="182"/>
        <v>1</v>
      </c>
      <c r="Q474">
        <f t="shared" si="182"/>
        <v>3</v>
      </c>
      <c r="R474">
        <f t="shared" si="182"/>
        <v>2</v>
      </c>
      <c r="S474">
        <f t="shared" si="182"/>
        <v>4</v>
      </c>
      <c r="T474">
        <f t="shared" si="182"/>
        <v>3</v>
      </c>
      <c r="U474">
        <f t="shared" si="182"/>
        <v>0</v>
      </c>
      <c r="V474">
        <f t="shared" si="182"/>
        <v>0</v>
      </c>
      <c r="W474">
        <f t="shared" si="182"/>
        <v>2</v>
      </c>
      <c r="X474">
        <f t="shared" si="182"/>
        <v>3</v>
      </c>
      <c r="Y474">
        <f t="shared" si="182"/>
        <v>1</v>
      </c>
      <c r="Z474">
        <f t="shared" si="183"/>
        <v>3</v>
      </c>
      <c r="AA474">
        <f t="shared" si="183"/>
        <v>1</v>
      </c>
      <c r="AB474">
        <f t="shared" si="183"/>
        <v>1</v>
      </c>
      <c r="AC474">
        <f t="shared" si="183"/>
        <v>1</v>
      </c>
      <c r="AD474">
        <f t="shared" si="183"/>
        <v>2</v>
      </c>
      <c r="AE474">
        <f t="shared" si="183"/>
        <v>1</v>
      </c>
      <c r="AF474" s="56">
        <f t="shared" si="172"/>
        <v>20</v>
      </c>
      <c r="AG474" s="59">
        <f t="shared" si="173"/>
        <v>4.7692307692307692</v>
      </c>
      <c r="AH474">
        <f t="shared" si="174"/>
        <v>0.23846153846153845</v>
      </c>
    </row>
    <row r="475" spans="1:34" ht="15" x14ac:dyDescent="0.2">
      <c r="A475">
        <v>42</v>
      </c>
      <c r="B475" s="57" t="s">
        <v>107</v>
      </c>
      <c r="C475" s="57"/>
      <c r="D475">
        <f t="shared" si="170"/>
        <v>62</v>
      </c>
      <c r="E475" s="1">
        <f t="shared" si="171"/>
        <v>10</v>
      </c>
      <c r="F475">
        <f t="shared" si="181"/>
        <v>4</v>
      </c>
      <c r="G475">
        <f t="shared" si="181"/>
        <v>0</v>
      </c>
      <c r="H475">
        <f t="shared" si="181"/>
        <v>1</v>
      </c>
      <c r="I475">
        <f t="shared" si="181"/>
        <v>1</v>
      </c>
      <c r="J475">
        <f t="shared" si="181"/>
        <v>6</v>
      </c>
      <c r="K475">
        <f t="shared" si="181"/>
        <v>1</v>
      </c>
      <c r="L475">
        <f t="shared" si="181"/>
        <v>1</v>
      </c>
      <c r="M475">
        <f t="shared" si="181"/>
        <v>4</v>
      </c>
      <c r="N475">
        <f t="shared" si="181"/>
        <v>2</v>
      </c>
      <c r="O475">
        <f t="shared" si="181"/>
        <v>1</v>
      </c>
      <c r="P475">
        <f t="shared" si="182"/>
        <v>0</v>
      </c>
      <c r="Q475">
        <f t="shared" si="182"/>
        <v>1</v>
      </c>
      <c r="R475">
        <f t="shared" si="182"/>
        <v>4</v>
      </c>
      <c r="S475">
        <f t="shared" si="182"/>
        <v>2</v>
      </c>
      <c r="T475">
        <f t="shared" si="182"/>
        <v>6</v>
      </c>
      <c r="U475">
        <f t="shared" si="182"/>
        <v>2</v>
      </c>
      <c r="V475">
        <f t="shared" si="182"/>
        <v>0</v>
      </c>
      <c r="W475">
        <f t="shared" si="182"/>
        <v>3</v>
      </c>
      <c r="X475">
        <f t="shared" si="182"/>
        <v>3</v>
      </c>
      <c r="Y475">
        <f t="shared" si="182"/>
        <v>3</v>
      </c>
      <c r="Z475">
        <f t="shared" si="183"/>
        <v>1</v>
      </c>
      <c r="AA475">
        <f t="shared" si="183"/>
        <v>2</v>
      </c>
      <c r="AB475">
        <f t="shared" si="183"/>
        <v>0</v>
      </c>
      <c r="AC475">
        <f t="shared" si="183"/>
        <v>0</v>
      </c>
      <c r="AD475">
        <f t="shared" si="183"/>
        <v>2</v>
      </c>
      <c r="AE475">
        <f t="shared" si="183"/>
        <v>0</v>
      </c>
      <c r="AF475" s="56">
        <f t="shared" si="172"/>
        <v>20</v>
      </c>
      <c r="AG475" s="59">
        <f t="shared" si="173"/>
        <v>6.2</v>
      </c>
      <c r="AH475">
        <f t="shared" si="174"/>
        <v>0.31</v>
      </c>
    </row>
    <row r="476" spans="1:34" ht="15" x14ac:dyDescent="0.2">
      <c r="A476">
        <v>473</v>
      </c>
      <c r="B476" s="57" t="s">
        <v>512</v>
      </c>
      <c r="C476" s="57"/>
      <c r="D476">
        <f t="shared" si="170"/>
        <v>62</v>
      </c>
      <c r="E476" s="1">
        <f t="shared" si="171"/>
        <v>11</v>
      </c>
      <c r="F476">
        <f t="shared" si="181"/>
        <v>2</v>
      </c>
      <c r="G476">
        <f t="shared" si="181"/>
        <v>1</v>
      </c>
      <c r="H476">
        <f t="shared" si="181"/>
        <v>2</v>
      </c>
      <c r="I476">
        <f t="shared" si="181"/>
        <v>1</v>
      </c>
      <c r="J476">
        <f t="shared" si="181"/>
        <v>13</v>
      </c>
      <c r="K476">
        <f t="shared" si="181"/>
        <v>3</v>
      </c>
      <c r="L476">
        <f t="shared" si="181"/>
        <v>1</v>
      </c>
      <c r="M476">
        <f t="shared" si="181"/>
        <v>1</v>
      </c>
      <c r="N476">
        <f t="shared" si="181"/>
        <v>2</v>
      </c>
      <c r="O476">
        <f t="shared" si="181"/>
        <v>1</v>
      </c>
      <c r="P476">
        <f t="shared" si="182"/>
        <v>0</v>
      </c>
      <c r="Q476">
        <f t="shared" si="182"/>
        <v>1</v>
      </c>
      <c r="R476">
        <f t="shared" si="182"/>
        <v>2</v>
      </c>
      <c r="S476">
        <f t="shared" si="182"/>
        <v>3</v>
      </c>
      <c r="T476">
        <f t="shared" si="182"/>
        <v>2</v>
      </c>
      <c r="U476">
        <f t="shared" si="182"/>
        <v>1</v>
      </c>
      <c r="V476">
        <f t="shared" si="182"/>
        <v>0</v>
      </c>
      <c r="W476">
        <f t="shared" si="182"/>
        <v>4</v>
      </c>
      <c r="X476">
        <f t="shared" si="182"/>
        <v>3</v>
      </c>
      <c r="Y476">
        <f t="shared" si="182"/>
        <v>3</v>
      </c>
      <c r="Z476">
        <f t="shared" si="183"/>
        <v>1</v>
      </c>
      <c r="AA476">
        <f t="shared" si="183"/>
        <v>1</v>
      </c>
      <c r="AB476">
        <f t="shared" si="183"/>
        <v>0</v>
      </c>
      <c r="AC476">
        <f t="shared" si="183"/>
        <v>1</v>
      </c>
      <c r="AD476">
        <f t="shared" si="183"/>
        <v>1</v>
      </c>
      <c r="AE476">
        <f t="shared" si="183"/>
        <v>0</v>
      </c>
      <c r="AF476" s="56">
        <f t="shared" si="172"/>
        <v>22</v>
      </c>
      <c r="AG476" s="59">
        <f t="shared" si="173"/>
        <v>5.6363636363636367</v>
      </c>
      <c r="AH476">
        <f t="shared" si="174"/>
        <v>0.25619834710743805</v>
      </c>
    </row>
    <row r="477" spans="1:34" ht="15" x14ac:dyDescent="0.2">
      <c r="A477">
        <v>55</v>
      </c>
      <c r="B477" s="57" t="s">
        <v>120</v>
      </c>
      <c r="C477" s="57"/>
      <c r="D477">
        <f t="shared" si="170"/>
        <v>61</v>
      </c>
      <c r="E477" s="1">
        <f t="shared" si="171"/>
        <v>12</v>
      </c>
      <c r="F477">
        <f t="shared" si="181"/>
        <v>2</v>
      </c>
      <c r="G477">
        <f t="shared" si="181"/>
        <v>0</v>
      </c>
      <c r="H477">
        <f t="shared" si="181"/>
        <v>0</v>
      </c>
      <c r="I477">
        <f t="shared" si="181"/>
        <v>2</v>
      </c>
      <c r="J477">
        <f t="shared" si="181"/>
        <v>6</v>
      </c>
      <c r="K477">
        <f t="shared" si="181"/>
        <v>1</v>
      </c>
      <c r="L477">
        <f t="shared" si="181"/>
        <v>1</v>
      </c>
      <c r="M477">
        <f t="shared" si="181"/>
        <v>3</v>
      </c>
      <c r="N477">
        <f t="shared" si="181"/>
        <v>4</v>
      </c>
      <c r="O477">
        <f t="shared" si="181"/>
        <v>0</v>
      </c>
      <c r="P477">
        <f t="shared" si="182"/>
        <v>2</v>
      </c>
      <c r="Q477">
        <f t="shared" si="182"/>
        <v>2</v>
      </c>
      <c r="R477">
        <f t="shared" si="182"/>
        <v>0</v>
      </c>
      <c r="S477">
        <f t="shared" si="182"/>
        <v>4</v>
      </c>
      <c r="T477">
        <f t="shared" si="182"/>
        <v>4</v>
      </c>
      <c r="U477">
        <f t="shared" si="182"/>
        <v>3</v>
      </c>
      <c r="V477">
        <f t="shared" si="182"/>
        <v>0</v>
      </c>
      <c r="W477">
        <f t="shared" si="182"/>
        <v>1</v>
      </c>
      <c r="X477">
        <f t="shared" si="182"/>
        <v>7</v>
      </c>
      <c r="Y477">
        <f t="shared" si="182"/>
        <v>1</v>
      </c>
      <c r="Z477">
        <f t="shared" si="183"/>
        <v>2</v>
      </c>
      <c r="AA477">
        <f t="shared" si="183"/>
        <v>0</v>
      </c>
      <c r="AB477">
        <f t="shared" si="183"/>
        <v>0</v>
      </c>
      <c r="AC477">
        <f t="shared" si="183"/>
        <v>0</v>
      </c>
      <c r="AD477">
        <f t="shared" si="183"/>
        <v>0</v>
      </c>
      <c r="AE477">
        <f t="shared" si="183"/>
        <v>0</v>
      </c>
      <c r="AF477" s="56">
        <f t="shared" si="172"/>
        <v>16</v>
      </c>
      <c r="AG477" s="59">
        <f t="shared" si="173"/>
        <v>5.083333333333333</v>
      </c>
      <c r="AH477">
        <f t="shared" si="174"/>
        <v>0.31770833333333331</v>
      </c>
    </row>
    <row r="478" spans="1:34" ht="15" x14ac:dyDescent="0.2">
      <c r="A478">
        <v>96</v>
      </c>
      <c r="B478" s="57" t="s">
        <v>161</v>
      </c>
      <c r="C478" s="57"/>
      <c r="D478">
        <f t="shared" si="170"/>
        <v>61</v>
      </c>
      <c r="E478" s="1">
        <f t="shared" si="171"/>
        <v>12</v>
      </c>
      <c r="F478">
        <f t="shared" si="181"/>
        <v>4</v>
      </c>
      <c r="G478">
        <f t="shared" si="181"/>
        <v>0</v>
      </c>
      <c r="H478">
        <f t="shared" si="181"/>
        <v>1</v>
      </c>
      <c r="I478">
        <f t="shared" si="181"/>
        <v>3</v>
      </c>
      <c r="J478">
        <f t="shared" si="181"/>
        <v>8</v>
      </c>
      <c r="K478">
        <f t="shared" si="181"/>
        <v>1</v>
      </c>
      <c r="L478">
        <f t="shared" si="181"/>
        <v>0</v>
      </c>
      <c r="M478">
        <f t="shared" si="181"/>
        <v>3</v>
      </c>
      <c r="N478">
        <f t="shared" si="181"/>
        <v>1</v>
      </c>
      <c r="O478">
        <f t="shared" si="181"/>
        <v>0</v>
      </c>
      <c r="P478">
        <f t="shared" si="182"/>
        <v>0</v>
      </c>
      <c r="Q478">
        <f t="shared" si="182"/>
        <v>1</v>
      </c>
      <c r="R478">
        <f t="shared" si="182"/>
        <v>1</v>
      </c>
      <c r="S478">
        <f t="shared" si="182"/>
        <v>2</v>
      </c>
      <c r="T478">
        <f t="shared" si="182"/>
        <v>4</v>
      </c>
      <c r="U478">
        <f t="shared" si="182"/>
        <v>0</v>
      </c>
      <c r="V478">
        <f t="shared" si="182"/>
        <v>0</v>
      </c>
      <c r="W478">
        <f t="shared" si="182"/>
        <v>4</v>
      </c>
      <c r="X478">
        <f t="shared" si="182"/>
        <v>4</v>
      </c>
      <c r="Y478">
        <f t="shared" si="182"/>
        <v>3</v>
      </c>
      <c r="Z478">
        <f t="shared" si="183"/>
        <v>2</v>
      </c>
      <c r="AA478">
        <f t="shared" si="183"/>
        <v>0</v>
      </c>
      <c r="AB478">
        <f t="shared" si="183"/>
        <v>1</v>
      </c>
      <c r="AC478">
        <f t="shared" si="183"/>
        <v>0</v>
      </c>
      <c r="AD478">
        <f t="shared" si="183"/>
        <v>5</v>
      </c>
      <c r="AE478">
        <f t="shared" si="183"/>
        <v>0</v>
      </c>
      <c r="AF478" s="56">
        <f t="shared" si="172"/>
        <v>17</v>
      </c>
      <c r="AG478" s="59">
        <f t="shared" si="173"/>
        <v>5.083333333333333</v>
      </c>
      <c r="AH478">
        <f t="shared" si="174"/>
        <v>0.29901960784313725</v>
      </c>
    </row>
    <row r="479" spans="1:34" ht="15" x14ac:dyDescent="0.2">
      <c r="A479">
        <v>215</v>
      </c>
      <c r="B479" s="57" t="s">
        <v>279</v>
      </c>
      <c r="C479" s="57"/>
      <c r="D479">
        <f t="shared" si="170"/>
        <v>61</v>
      </c>
      <c r="E479" s="1">
        <f t="shared" si="171"/>
        <v>9</v>
      </c>
      <c r="F479">
        <f t="shared" si="181"/>
        <v>3</v>
      </c>
      <c r="G479">
        <f t="shared" si="181"/>
        <v>0</v>
      </c>
      <c r="H479">
        <f t="shared" si="181"/>
        <v>0</v>
      </c>
      <c r="I479">
        <f t="shared" si="181"/>
        <v>2</v>
      </c>
      <c r="J479">
        <f t="shared" si="181"/>
        <v>6</v>
      </c>
      <c r="K479">
        <f t="shared" si="181"/>
        <v>2</v>
      </c>
      <c r="L479">
        <f t="shared" si="181"/>
        <v>3</v>
      </c>
      <c r="M479">
        <f t="shared" si="181"/>
        <v>2</v>
      </c>
      <c r="N479">
        <f t="shared" si="181"/>
        <v>2</v>
      </c>
      <c r="O479">
        <f t="shared" si="181"/>
        <v>1</v>
      </c>
      <c r="P479">
        <f t="shared" si="182"/>
        <v>2</v>
      </c>
      <c r="Q479">
        <f t="shared" si="182"/>
        <v>2</v>
      </c>
      <c r="R479">
        <f t="shared" si="182"/>
        <v>1</v>
      </c>
      <c r="S479">
        <f t="shared" si="182"/>
        <v>4</v>
      </c>
      <c r="T479">
        <f t="shared" si="182"/>
        <v>5</v>
      </c>
      <c r="U479">
        <f t="shared" si="182"/>
        <v>0</v>
      </c>
      <c r="V479">
        <f t="shared" si="182"/>
        <v>0</v>
      </c>
      <c r="W479">
        <f t="shared" si="182"/>
        <v>3</v>
      </c>
      <c r="X479">
        <f t="shared" si="182"/>
        <v>3</v>
      </c>
      <c r="Y479">
        <f t="shared" si="182"/>
        <v>5</v>
      </c>
      <c r="Z479">
        <f t="shared" si="183"/>
        <v>2</v>
      </c>
      <c r="AA479">
        <f t="shared" si="183"/>
        <v>0</v>
      </c>
      <c r="AB479">
        <f t="shared" si="183"/>
        <v>1</v>
      </c>
      <c r="AC479">
        <f t="shared" si="183"/>
        <v>0</v>
      </c>
      <c r="AD479">
        <f t="shared" si="183"/>
        <v>0</v>
      </c>
      <c r="AE479">
        <f t="shared" si="183"/>
        <v>0</v>
      </c>
      <c r="AF479" s="56">
        <f t="shared" si="172"/>
        <v>18</v>
      </c>
      <c r="AG479" s="59">
        <f t="shared" si="173"/>
        <v>6.7777777777777777</v>
      </c>
      <c r="AH479">
        <f t="shared" si="174"/>
        <v>0.37654320987654322</v>
      </c>
    </row>
    <row r="480" spans="1:34" ht="15" x14ac:dyDescent="0.2">
      <c r="A480">
        <v>450</v>
      </c>
      <c r="B480" s="57" t="s">
        <v>492</v>
      </c>
      <c r="C480" s="57"/>
      <c r="D480">
        <f t="shared" si="170"/>
        <v>61</v>
      </c>
      <c r="E480" s="1">
        <f t="shared" si="171"/>
        <v>9</v>
      </c>
      <c r="F480">
        <f t="shared" si="181"/>
        <v>4</v>
      </c>
      <c r="G480">
        <f t="shared" si="181"/>
        <v>0</v>
      </c>
      <c r="H480">
        <f t="shared" si="181"/>
        <v>2</v>
      </c>
      <c r="I480">
        <f t="shared" si="181"/>
        <v>1</v>
      </c>
      <c r="J480">
        <f t="shared" si="181"/>
        <v>3</v>
      </c>
      <c r="K480">
        <f t="shared" si="181"/>
        <v>1</v>
      </c>
      <c r="L480">
        <f t="shared" si="181"/>
        <v>1</v>
      </c>
      <c r="M480">
        <f t="shared" si="181"/>
        <v>1</v>
      </c>
      <c r="N480">
        <f t="shared" si="181"/>
        <v>3</v>
      </c>
      <c r="O480">
        <f t="shared" si="181"/>
        <v>0</v>
      </c>
      <c r="P480">
        <f t="shared" si="182"/>
        <v>2</v>
      </c>
      <c r="Q480">
        <f t="shared" si="182"/>
        <v>3</v>
      </c>
      <c r="R480">
        <f t="shared" si="182"/>
        <v>3</v>
      </c>
      <c r="S480">
        <f t="shared" si="182"/>
        <v>3</v>
      </c>
      <c r="T480">
        <f t="shared" si="182"/>
        <v>7</v>
      </c>
      <c r="U480">
        <f t="shared" si="182"/>
        <v>1</v>
      </c>
      <c r="V480">
        <f t="shared" si="182"/>
        <v>0</v>
      </c>
      <c r="W480">
        <f t="shared" si="182"/>
        <v>3</v>
      </c>
      <c r="X480">
        <f t="shared" si="182"/>
        <v>6</v>
      </c>
      <c r="Y480">
        <f t="shared" si="182"/>
        <v>4</v>
      </c>
      <c r="Z480">
        <f t="shared" si="183"/>
        <v>1</v>
      </c>
      <c r="AA480">
        <f t="shared" si="183"/>
        <v>0</v>
      </c>
      <c r="AB480">
        <f t="shared" si="183"/>
        <v>1</v>
      </c>
      <c r="AC480">
        <f t="shared" si="183"/>
        <v>0</v>
      </c>
      <c r="AD480">
        <f t="shared" si="183"/>
        <v>0</v>
      </c>
      <c r="AE480">
        <f t="shared" si="183"/>
        <v>0</v>
      </c>
      <c r="AF480" s="56">
        <f t="shared" si="172"/>
        <v>19</v>
      </c>
      <c r="AG480" s="59">
        <f t="shared" si="173"/>
        <v>6.7777777777777777</v>
      </c>
      <c r="AH480">
        <f t="shared" si="174"/>
        <v>0.35672514619883039</v>
      </c>
    </row>
    <row r="481" spans="1:34" ht="15" x14ac:dyDescent="0.2">
      <c r="A481">
        <v>355</v>
      </c>
      <c r="B481" s="57" t="s">
        <v>414</v>
      </c>
      <c r="C481" s="57"/>
      <c r="D481">
        <f t="shared" si="170"/>
        <v>61</v>
      </c>
      <c r="E481" s="1">
        <f t="shared" si="171"/>
        <v>10</v>
      </c>
      <c r="F481">
        <f t="shared" si="181"/>
        <v>0</v>
      </c>
      <c r="G481">
        <f t="shared" si="181"/>
        <v>0</v>
      </c>
      <c r="H481">
        <f t="shared" si="181"/>
        <v>1</v>
      </c>
      <c r="I481">
        <f t="shared" si="181"/>
        <v>1</v>
      </c>
      <c r="J481">
        <f t="shared" si="181"/>
        <v>6</v>
      </c>
      <c r="K481">
        <f t="shared" si="181"/>
        <v>0</v>
      </c>
      <c r="L481">
        <f t="shared" si="181"/>
        <v>1</v>
      </c>
      <c r="M481">
        <f t="shared" si="181"/>
        <v>2</v>
      </c>
      <c r="N481">
        <f t="shared" si="181"/>
        <v>2</v>
      </c>
      <c r="O481">
        <f t="shared" si="181"/>
        <v>0</v>
      </c>
      <c r="P481">
        <f t="shared" si="182"/>
        <v>2</v>
      </c>
      <c r="Q481">
        <f t="shared" si="182"/>
        <v>2</v>
      </c>
      <c r="R481">
        <f t="shared" si="182"/>
        <v>1</v>
      </c>
      <c r="S481">
        <f t="shared" si="182"/>
        <v>5</v>
      </c>
      <c r="T481">
        <f t="shared" si="182"/>
        <v>6</v>
      </c>
      <c r="U481">
        <f t="shared" si="182"/>
        <v>2</v>
      </c>
      <c r="V481">
        <f t="shared" si="182"/>
        <v>0</v>
      </c>
      <c r="W481">
        <f t="shared" si="182"/>
        <v>2</v>
      </c>
      <c r="X481">
        <f t="shared" si="182"/>
        <v>4</v>
      </c>
      <c r="Y481">
        <f t="shared" si="182"/>
        <v>6</v>
      </c>
      <c r="Z481">
        <f t="shared" si="183"/>
        <v>3</v>
      </c>
      <c r="AA481">
        <f t="shared" si="183"/>
        <v>2</v>
      </c>
      <c r="AB481">
        <f t="shared" si="183"/>
        <v>1</v>
      </c>
      <c r="AC481">
        <f t="shared" si="183"/>
        <v>0</v>
      </c>
      <c r="AD481">
        <f t="shared" si="183"/>
        <v>1</v>
      </c>
      <c r="AE481">
        <f t="shared" si="183"/>
        <v>0</v>
      </c>
      <c r="AF481" s="56">
        <f t="shared" si="172"/>
        <v>19</v>
      </c>
      <c r="AG481" s="59">
        <f t="shared" si="173"/>
        <v>6.1</v>
      </c>
      <c r="AH481">
        <f t="shared" si="174"/>
        <v>0.32105263157894737</v>
      </c>
    </row>
    <row r="482" spans="1:34" ht="15" x14ac:dyDescent="0.2">
      <c r="A482">
        <v>83</v>
      </c>
      <c r="B482" s="57" t="s">
        <v>148</v>
      </c>
      <c r="C482" s="57"/>
      <c r="D482">
        <f t="shared" si="170"/>
        <v>61</v>
      </c>
      <c r="E482" s="1">
        <f t="shared" si="171"/>
        <v>12</v>
      </c>
      <c r="F482">
        <f t="shared" ref="F482:O491" si="184">LEN($B482)-LEN(SUBSTITUTE($B482,F$1,""))</f>
        <v>6</v>
      </c>
      <c r="G482">
        <f t="shared" si="184"/>
        <v>2</v>
      </c>
      <c r="H482">
        <f t="shared" si="184"/>
        <v>1</v>
      </c>
      <c r="I482">
        <f t="shared" si="184"/>
        <v>1</v>
      </c>
      <c r="J482">
        <f t="shared" si="184"/>
        <v>4</v>
      </c>
      <c r="K482">
        <f t="shared" si="184"/>
        <v>2</v>
      </c>
      <c r="L482">
        <f t="shared" si="184"/>
        <v>1</v>
      </c>
      <c r="M482">
        <f t="shared" si="184"/>
        <v>0</v>
      </c>
      <c r="N482">
        <f t="shared" si="184"/>
        <v>4</v>
      </c>
      <c r="O482">
        <f t="shared" si="184"/>
        <v>0</v>
      </c>
      <c r="P482">
        <f t="shared" ref="P482:Y491" si="185">LEN($B482)-LEN(SUBSTITUTE($B482,P$1,""))</f>
        <v>0</v>
      </c>
      <c r="Q482">
        <f t="shared" si="185"/>
        <v>6</v>
      </c>
      <c r="R482">
        <f t="shared" si="185"/>
        <v>2</v>
      </c>
      <c r="S482">
        <f t="shared" si="185"/>
        <v>4</v>
      </c>
      <c r="T482">
        <f t="shared" si="185"/>
        <v>3</v>
      </c>
      <c r="U482">
        <f t="shared" si="185"/>
        <v>2</v>
      </c>
      <c r="V482">
        <f t="shared" si="185"/>
        <v>0</v>
      </c>
      <c r="W482">
        <f t="shared" si="185"/>
        <v>1</v>
      </c>
      <c r="X482">
        <f t="shared" si="185"/>
        <v>4</v>
      </c>
      <c r="Y482">
        <f t="shared" si="185"/>
        <v>1</v>
      </c>
      <c r="Z482">
        <f t="shared" ref="Z482:AE491" si="186">LEN($B482)-LEN(SUBSTITUTE($B482,Z$1,""))</f>
        <v>1</v>
      </c>
      <c r="AA482">
        <f t="shared" si="186"/>
        <v>0</v>
      </c>
      <c r="AB482">
        <f t="shared" si="186"/>
        <v>1</v>
      </c>
      <c r="AC482">
        <f t="shared" si="186"/>
        <v>0</v>
      </c>
      <c r="AD482">
        <f t="shared" si="186"/>
        <v>3</v>
      </c>
      <c r="AE482">
        <f t="shared" si="186"/>
        <v>1</v>
      </c>
      <c r="AF482" s="56">
        <f t="shared" si="172"/>
        <v>20</v>
      </c>
      <c r="AG482" s="59">
        <f t="shared" si="173"/>
        <v>5.083333333333333</v>
      </c>
      <c r="AH482">
        <f t="shared" si="174"/>
        <v>0.25416666666666665</v>
      </c>
    </row>
    <row r="483" spans="1:34" ht="15" x14ac:dyDescent="0.2">
      <c r="A483">
        <v>440</v>
      </c>
      <c r="B483" s="57" t="s">
        <v>483</v>
      </c>
      <c r="C483" s="57"/>
      <c r="D483">
        <f t="shared" si="170"/>
        <v>60</v>
      </c>
      <c r="E483" s="1">
        <f t="shared" si="171"/>
        <v>9</v>
      </c>
      <c r="F483">
        <f t="shared" si="184"/>
        <v>4</v>
      </c>
      <c r="G483">
        <f t="shared" si="184"/>
        <v>0</v>
      </c>
      <c r="H483">
        <f t="shared" si="184"/>
        <v>3</v>
      </c>
      <c r="I483">
        <f t="shared" si="184"/>
        <v>2</v>
      </c>
      <c r="J483">
        <f t="shared" si="184"/>
        <v>5</v>
      </c>
      <c r="K483">
        <f t="shared" si="184"/>
        <v>0</v>
      </c>
      <c r="L483">
        <f t="shared" si="184"/>
        <v>3</v>
      </c>
      <c r="M483">
        <f t="shared" si="184"/>
        <v>2</v>
      </c>
      <c r="N483">
        <f t="shared" si="184"/>
        <v>5</v>
      </c>
      <c r="O483">
        <f t="shared" si="184"/>
        <v>0</v>
      </c>
      <c r="P483">
        <f t="shared" si="185"/>
        <v>1</v>
      </c>
      <c r="Q483">
        <f t="shared" si="185"/>
        <v>2</v>
      </c>
      <c r="R483">
        <f t="shared" si="185"/>
        <v>0</v>
      </c>
      <c r="S483">
        <f t="shared" si="185"/>
        <v>3</v>
      </c>
      <c r="T483">
        <f t="shared" si="185"/>
        <v>2</v>
      </c>
      <c r="U483">
        <f t="shared" si="185"/>
        <v>0</v>
      </c>
      <c r="V483">
        <f t="shared" si="185"/>
        <v>1</v>
      </c>
      <c r="W483">
        <f t="shared" si="185"/>
        <v>6</v>
      </c>
      <c r="X483">
        <f t="shared" si="185"/>
        <v>2</v>
      </c>
      <c r="Y483">
        <f t="shared" si="185"/>
        <v>4</v>
      </c>
      <c r="Z483">
        <f t="shared" si="186"/>
        <v>2</v>
      </c>
      <c r="AA483">
        <f t="shared" si="186"/>
        <v>0</v>
      </c>
      <c r="AB483">
        <f t="shared" si="186"/>
        <v>0</v>
      </c>
      <c r="AC483">
        <f t="shared" si="186"/>
        <v>0</v>
      </c>
      <c r="AD483">
        <f t="shared" si="186"/>
        <v>0</v>
      </c>
      <c r="AE483">
        <f t="shared" si="186"/>
        <v>0</v>
      </c>
      <c r="AF483" s="56">
        <f t="shared" si="172"/>
        <v>16</v>
      </c>
      <c r="AG483" s="59">
        <f t="shared" si="173"/>
        <v>6.666666666666667</v>
      </c>
      <c r="AH483">
        <f t="shared" si="174"/>
        <v>0.41666666666666669</v>
      </c>
    </row>
    <row r="484" spans="1:34" ht="15" x14ac:dyDescent="0.2">
      <c r="A484">
        <v>513</v>
      </c>
      <c r="B484" s="57" t="s">
        <v>548</v>
      </c>
      <c r="C484" s="57"/>
      <c r="D484">
        <f t="shared" si="170"/>
        <v>60</v>
      </c>
      <c r="E484" s="1">
        <f t="shared" si="171"/>
        <v>9</v>
      </c>
      <c r="F484">
        <f t="shared" si="184"/>
        <v>7</v>
      </c>
      <c r="G484">
        <f t="shared" si="184"/>
        <v>1</v>
      </c>
      <c r="H484">
        <f t="shared" si="184"/>
        <v>0</v>
      </c>
      <c r="I484">
        <f t="shared" si="184"/>
        <v>1</v>
      </c>
      <c r="J484">
        <f t="shared" si="184"/>
        <v>3</v>
      </c>
      <c r="K484">
        <f t="shared" si="184"/>
        <v>1</v>
      </c>
      <c r="L484">
        <f t="shared" si="184"/>
        <v>5</v>
      </c>
      <c r="M484">
        <f t="shared" si="184"/>
        <v>1</v>
      </c>
      <c r="N484">
        <f t="shared" si="184"/>
        <v>3</v>
      </c>
      <c r="O484">
        <f t="shared" si="184"/>
        <v>1</v>
      </c>
      <c r="P484">
        <f t="shared" si="185"/>
        <v>0</v>
      </c>
      <c r="Q484">
        <f t="shared" si="185"/>
        <v>3</v>
      </c>
      <c r="R484">
        <f t="shared" si="185"/>
        <v>4</v>
      </c>
      <c r="S484">
        <f t="shared" si="185"/>
        <v>3</v>
      </c>
      <c r="T484">
        <f t="shared" si="185"/>
        <v>5</v>
      </c>
      <c r="U484">
        <f t="shared" si="185"/>
        <v>3</v>
      </c>
      <c r="V484">
        <f t="shared" si="185"/>
        <v>0</v>
      </c>
      <c r="W484">
        <f t="shared" si="185"/>
        <v>6</v>
      </c>
      <c r="X484">
        <f t="shared" si="185"/>
        <v>2</v>
      </c>
      <c r="Y484">
        <f t="shared" si="185"/>
        <v>0</v>
      </c>
      <c r="Z484">
        <f t="shared" si="186"/>
        <v>1</v>
      </c>
      <c r="AA484">
        <f t="shared" si="186"/>
        <v>0</v>
      </c>
      <c r="AB484">
        <f t="shared" si="186"/>
        <v>0</v>
      </c>
      <c r="AC484">
        <f t="shared" si="186"/>
        <v>0</v>
      </c>
      <c r="AD484">
        <f t="shared" si="186"/>
        <v>0</v>
      </c>
      <c r="AE484">
        <f t="shared" si="186"/>
        <v>0</v>
      </c>
      <c r="AF484" s="56">
        <f t="shared" si="172"/>
        <v>17</v>
      </c>
      <c r="AG484" s="59">
        <f t="shared" si="173"/>
        <v>6.666666666666667</v>
      </c>
      <c r="AH484">
        <f t="shared" si="174"/>
        <v>0.39215686274509803</v>
      </c>
    </row>
    <row r="485" spans="1:34" ht="15" x14ac:dyDescent="0.2">
      <c r="A485">
        <v>99</v>
      </c>
      <c r="B485" s="57" t="s">
        <v>164</v>
      </c>
      <c r="C485" s="57"/>
      <c r="D485">
        <f t="shared" si="170"/>
        <v>60</v>
      </c>
      <c r="E485" s="1">
        <f t="shared" si="171"/>
        <v>12</v>
      </c>
      <c r="F485">
        <f t="shared" si="184"/>
        <v>3</v>
      </c>
      <c r="G485">
        <f t="shared" si="184"/>
        <v>2</v>
      </c>
      <c r="H485">
        <f t="shared" si="184"/>
        <v>0</v>
      </c>
      <c r="I485">
        <f t="shared" si="184"/>
        <v>1</v>
      </c>
      <c r="J485">
        <f t="shared" si="184"/>
        <v>9</v>
      </c>
      <c r="K485">
        <f t="shared" si="184"/>
        <v>0</v>
      </c>
      <c r="L485">
        <f t="shared" si="184"/>
        <v>2</v>
      </c>
      <c r="M485">
        <f t="shared" si="184"/>
        <v>3</v>
      </c>
      <c r="N485">
        <f t="shared" si="184"/>
        <v>1</v>
      </c>
      <c r="O485">
        <f t="shared" si="184"/>
        <v>0</v>
      </c>
      <c r="P485">
        <f t="shared" si="185"/>
        <v>0</v>
      </c>
      <c r="Q485">
        <f t="shared" si="185"/>
        <v>2</v>
      </c>
      <c r="R485">
        <f t="shared" si="185"/>
        <v>2</v>
      </c>
      <c r="S485">
        <f t="shared" si="185"/>
        <v>1</v>
      </c>
      <c r="T485">
        <f t="shared" si="185"/>
        <v>2</v>
      </c>
      <c r="U485">
        <f t="shared" si="185"/>
        <v>0</v>
      </c>
      <c r="V485">
        <f t="shared" si="185"/>
        <v>0</v>
      </c>
      <c r="W485">
        <f t="shared" si="185"/>
        <v>5</v>
      </c>
      <c r="X485">
        <f t="shared" si="185"/>
        <v>2</v>
      </c>
      <c r="Y485">
        <f t="shared" si="185"/>
        <v>7</v>
      </c>
      <c r="Z485">
        <f t="shared" si="186"/>
        <v>1</v>
      </c>
      <c r="AA485">
        <f t="shared" si="186"/>
        <v>0</v>
      </c>
      <c r="AB485">
        <f t="shared" si="186"/>
        <v>2</v>
      </c>
      <c r="AC485">
        <f t="shared" si="186"/>
        <v>0</v>
      </c>
      <c r="AD485">
        <f t="shared" si="186"/>
        <v>2</v>
      </c>
      <c r="AE485">
        <f t="shared" si="186"/>
        <v>0</v>
      </c>
      <c r="AF485" s="56">
        <f t="shared" si="172"/>
        <v>17</v>
      </c>
      <c r="AG485" s="59">
        <f t="shared" si="173"/>
        <v>5</v>
      </c>
      <c r="AH485">
        <f t="shared" si="174"/>
        <v>0.29411764705882354</v>
      </c>
    </row>
    <row r="486" spans="1:34" ht="15" x14ac:dyDescent="0.2">
      <c r="A486">
        <v>565</v>
      </c>
      <c r="B486" s="57" t="s">
        <v>587</v>
      </c>
      <c r="C486" s="57"/>
      <c r="D486">
        <f t="shared" si="170"/>
        <v>60</v>
      </c>
      <c r="E486" s="1">
        <f t="shared" si="171"/>
        <v>13</v>
      </c>
      <c r="F486">
        <f t="shared" si="184"/>
        <v>6</v>
      </c>
      <c r="G486">
        <f t="shared" si="184"/>
        <v>1</v>
      </c>
      <c r="H486">
        <f t="shared" si="184"/>
        <v>1</v>
      </c>
      <c r="I486">
        <f t="shared" si="184"/>
        <v>2</v>
      </c>
      <c r="J486">
        <f t="shared" si="184"/>
        <v>6</v>
      </c>
      <c r="K486">
        <f t="shared" si="184"/>
        <v>0</v>
      </c>
      <c r="L486">
        <f t="shared" si="184"/>
        <v>2</v>
      </c>
      <c r="M486">
        <f t="shared" si="184"/>
        <v>5</v>
      </c>
      <c r="N486">
        <f t="shared" si="184"/>
        <v>2</v>
      </c>
      <c r="O486">
        <f t="shared" si="184"/>
        <v>0</v>
      </c>
      <c r="P486">
        <f t="shared" si="185"/>
        <v>0</v>
      </c>
      <c r="Q486">
        <f t="shared" si="185"/>
        <v>1</v>
      </c>
      <c r="R486">
        <f t="shared" si="185"/>
        <v>2</v>
      </c>
      <c r="S486">
        <f t="shared" si="185"/>
        <v>4</v>
      </c>
      <c r="T486">
        <f t="shared" si="185"/>
        <v>3</v>
      </c>
      <c r="U486">
        <f t="shared" si="185"/>
        <v>0</v>
      </c>
      <c r="V486">
        <f t="shared" si="185"/>
        <v>0</v>
      </c>
      <c r="W486">
        <f t="shared" si="185"/>
        <v>1</v>
      </c>
      <c r="X486">
        <f t="shared" si="185"/>
        <v>1</v>
      </c>
      <c r="Y486">
        <f t="shared" si="185"/>
        <v>5</v>
      </c>
      <c r="Z486">
        <f t="shared" si="186"/>
        <v>1</v>
      </c>
      <c r="AA486">
        <f t="shared" si="186"/>
        <v>0</v>
      </c>
      <c r="AB486">
        <f t="shared" si="186"/>
        <v>2</v>
      </c>
      <c r="AC486">
        <f t="shared" si="186"/>
        <v>0</v>
      </c>
      <c r="AD486">
        <f t="shared" si="186"/>
        <v>1</v>
      </c>
      <c r="AE486">
        <f t="shared" si="186"/>
        <v>0</v>
      </c>
      <c r="AF486" s="56">
        <f t="shared" si="172"/>
        <v>18</v>
      </c>
      <c r="AG486" s="59">
        <f t="shared" si="173"/>
        <v>4.615384615384615</v>
      </c>
      <c r="AH486">
        <f t="shared" si="174"/>
        <v>0.25641025641025639</v>
      </c>
    </row>
    <row r="487" spans="1:34" ht="15" x14ac:dyDescent="0.2">
      <c r="A487">
        <v>465</v>
      </c>
      <c r="B487" s="57" t="s">
        <v>504</v>
      </c>
      <c r="C487" s="57"/>
      <c r="D487">
        <f t="shared" si="170"/>
        <v>60</v>
      </c>
      <c r="E487" s="1">
        <f t="shared" si="171"/>
        <v>10</v>
      </c>
      <c r="F487">
        <f t="shared" si="184"/>
        <v>5</v>
      </c>
      <c r="G487">
        <f t="shared" si="184"/>
        <v>0</v>
      </c>
      <c r="H487">
        <f t="shared" si="184"/>
        <v>0</v>
      </c>
      <c r="I487">
        <f t="shared" si="184"/>
        <v>2</v>
      </c>
      <c r="J487">
        <f t="shared" si="184"/>
        <v>7</v>
      </c>
      <c r="K487">
        <f t="shared" si="184"/>
        <v>0</v>
      </c>
      <c r="L487">
        <f t="shared" si="184"/>
        <v>1</v>
      </c>
      <c r="M487">
        <f t="shared" si="184"/>
        <v>2</v>
      </c>
      <c r="N487">
        <f t="shared" si="184"/>
        <v>3</v>
      </c>
      <c r="O487">
        <f t="shared" si="184"/>
        <v>0</v>
      </c>
      <c r="P487">
        <f t="shared" si="185"/>
        <v>2</v>
      </c>
      <c r="Q487">
        <f t="shared" si="185"/>
        <v>3</v>
      </c>
      <c r="R487">
        <f t="shared" si="185"/>
        <v>1</v>
      </c>
      <c r="S487">
        <f t="shared" si="185"/>
        <v>2</v>
      </c>
      <c r="T487">
        <f t="shared" si="185"/>
        <v>4</v>
      </c>
      <c r="U487">
        <f t="shared" si="185"/>
        <v>1</v>
      </c>
      <c r="V487">
        <f t="shared" si="185"/>
        <v>0</v>
      </c>
      <c r="W487">
        <f t="shared" si="185"/>
        <v>5</v>
      </c>
      <c r="X487">
        <f t="shared" si="185"/>
        <v>4</v>
      </c>
      <c r="Y487">
        <f t="shared" si="185"/>
        <v>1</v>
      </c>
      <c r="Z487">
        <f t="shared" si="186"/>
        <v>0</v>
      </c>
      <c r="AA487">
        <f t="shared" si="186"/>
        <v>1</v>
      </c>
      <c r="AB487">
        <f t="shared" si="186"/>
        <v>1</v>
      </c>
      <c r="AC487">
        <f t="shared" si="186"/>
        <v>0</v>
      </c>
      <c r="AD487">
        <f t="shared" si="186"/>
        <v>1</v>
      </c>
      <c r="AE487">
        <f t="shared" si="186"/>
        <v>0</v>
      </c>
      <c r="AF487" s="56">
        <f t="shared" si="172"/>
        <v>18</v>
      </c>
      <c r="AG487" s="59">
        <f t="shared" si="173"/>
        <v>6</v>
      </c>
      <c r="AH487">
        <f t="shared" si="174"/>
        <v>0.33333333333333331</v>
      </c>
    </row>
    <row r="488" spans="1:34" ht="15" x14ac:dyDescent="0.2">
      <c r="A488">
        <v>421</v>
      </c>
      <c r="B488" s="57" t="s">
        <v>681</v>
      </c>
      <c r="C488" s="57"/>
      <c r="D488">
        <f t="shared" si="170"/>
        <v>60</v>
      </c>
      <c r="E488" s="1">
        <f t="shared" si="171"/>
        <v>11</v>
      </c>
      <c r="F488">
        <f t="shared" si="184"/>
        <v>3</v>
      </c>
      <c r="G488">
        <f t="shared" si="184"/>
        <v>1</v>
      </c>
      <c r="H488">
        <f t="shared" si="184"/>
        <v>2</v>
      </c>
      <c r="I488">
        <f t="shared" si="184"/>
        <v>1</v>
      </c>
      <c r="J488">
        <f t="shared" si="184"/>
        <v>5</v>
      </c>
      <c r="K488">
        <f t="shared" si="184"/>
        <v>2</v>
      </c>
      <c r="L488">
        <f t="shared" si="184"/>
        <v>3</v>
      </c>
      <c r="M488">
        <f t="shared" si="184"/>
        <v>2</v>
      </c>
      <c r="N488">
        <f t="shared" si="184"/>
        <v>2</v>
      </c>
      <c r="O488">
        <f t="shared" si="184"/>
        <v>0</v>
      </c>
      <c r="P488">
        <f t="shared" si="185"/>
        <v>0</v>
      </c>
      <c r="Q488">
        <f t="shared" si="185"/>
        <v>1</v>
      </c>
      <c r="R488">
        <f t="shared" si="185"/>
        <v>1</v>
      </c>
      <c r="S488">
        <f t="shared" si="185"/>
        <v>1</v>
      </c>
      <c r="T488">
        <f t="shared" si="185"/>
        <v>4</v>
      </c>
      <c r="U488">
        <f t="shared" si="185"/>
        <v>1</v>
      </c>
      <c r="V488">
        <f t="shared" si="185"/>
        <v>0</v>
      </c>
      <c r="W488">
        <f t="shared" si="185"/>
        <v>5</v>
      </c>
      <c r="X488">
        <f t="shared" si="185"/>
        <v>3</v>
      </c>
      <c r="Y488">
        <f t="shared" si="185"/>
        <v>5</v>
      </c>
      <c r="Z488">
        <f t="shared" si="186"/>
        <v>0</v>
      </c>
      <c r="AA488">
        <f t="shared" si="186"/>
        <v>0</v>
      </c>
      <c r="AB488">
        <f t="shared" si="186"/>
        <v>1</v>
      </c>
      <c r="AC488">
        <f t="shared" si="186"/>
        <v>0</v>
      </c>
      <c r="AD488">
        <f t="shared" si="186"/>
        <v>1</v>
      </c>
      <c r="AE488">
        <f t="shared" si="186"/>
        <v>0</v>
      </c>
      <c r="AF488" s="56">
        <f t="shared" si="172"/>
        <v>19</v>
      </c>
      <c r="AG488" s="59">
        <f t="shared" si="173"/>
        <v>5.4545454545454541</v>
      </c>
      <c r="AH488">
        <f t="shared" si="174"/>
        <v>0.28708133971291866</v>
      </c>
    </row>
    <row r="489" spans="1:34" ht="15" x14ac:dyDescent="0.2">
      <c r="A489">
        <v>126</v>
      </c>
      <c r="B489" s="57" t="s">
        <v>191</v>
      </c>
      <c r="C489" s="57"/>
      <c r="D489">
        <f t="shared" si="170"/>
        <v>59</v>
      </c>
      <c r="E489" s="1">
        <f t="shared" si="171"/>
        <v>9</v>
      </c>
      <c r="F489">
        <f t="shared" si="184"/>
        <v>1</v>
      </c>
      <c r="G489">
        <f t="shared" si="184"/>
        <v>3</v>
      </c>
      <c r="H489">
        <f t="shared" si="184"/>
        <v>1</v>
      </c>
      <c r="I489">
        <f t="shared" si="184"/>
        <v>3</v>
      </c>
      <c r="J489">
        <f t="shared" si="184"/>
        <v>7</v>
      </c>
      <c r="K489">
        <f t="shared" si="184"/>
        <v>0</v>
      </c>
      <c r="L489">
        <f t="shared" si="184"/>
        <v>0</v>
      </c>
      <c r="M489">
        <f t="shared" si="184"/>
        <v>0</v>
      </c>
      <c r="N489">
        <f t="shared" si="184"/>
        <v>4</v>
      </c>
      <c r="O489">
        <f t="shared" si="184"/>
        <v>0</v>
      </c>
      <c r="P489">
        <f t="shared" si="185"/>
        <v>0</v>
      </c>
      <c r="Q489">
        <f t="shared" si="185"/>
        <v>2</v>
      </c>
      <c r="R489">
        <f t="shared" si="185"/>
        <v>1</v>
      </c>
      <c r="S489">
        <f t="shared" si="185"/>
        <v>4</v>
      </c>
      <c r="T489">
        <f t="shared" si="185"/>
        <v>4</v>
      </c>
      <c r="U489">
        <f t="shared" si="185"/>
        <v>0</v>
      </c>
      <c r="V489">
        <f t="shared" si="185"/>
        <v>0</v>
      </c>
      <c r="W489">
        <f t="shared" si="185"/>
        <v>2</v>
      </c>
      <c r="X489">
        <f t="shared" si="185"/>
        <v>5</v>
      </c>
      <c r="Y489">
        <f t="shared" si="185"/>
        <v>6</v>
      </c>
      <c r="Z489">
        <f t="shared" si="186"/>
        <v>1</v>
      </c>
      <c r="AA489">
        <f t="shared" si="186"/>
        <v>1</v>
      </c>
      <c r="AB489">
        <f t="shared" si="186"/>
        <v>0</v>
      </c>
      <c r="AC489">
        <f t="shared" si="186"/>
        <v>0</v>
      </c>
      <c r="AD489">
        <f t="shared" si="186"/>
        <v>3</v>
      </c>
      <c r="AE489">
        <f t="shared" si="186"/>
        <v>0</v>
      </c>
      <c r="AF489" s="56">
        <f t="shared" si="172"/>
        <v>16</v>
      </c>
      <c r="AG489" s="59">
        <f t="shared" si="173"/>
        <v>6.5555555555555554</v>
      </c>
      <c r="AH489">
        <f t="shared" si="174"/>
        <v>0.40972222222222221</v>
      </c>
    </row>
    <row r="490" spans="1:34" ht="15" x14ac:dyDescent="0.2">
      <c r="A490">
        <v>110</v>
      </c>
      <c r="B490" s="57" t="s">
        <v>175</v>
      </c>
      <c r="C490" s="57"/>
      <c r="D490">
        <f t="shared" si="170"/>
        <v>59</v>
      </c>
      <c r="E490" s="1">
        <f t="shared" si="171"/>
        <v>12</v>
      </c>
      <c r="F490">
        <f t="shared" si="184"/>
        <v>4</v>
      </c>
      <c r="G490">
        <f t="shared" si="184"/>
        <v>0</v>
      </c>
      <c r="H490">
        <f t="shared" si="184"/>
        <v>1</v>
      </c>
      <c r="I490">
        <f t="shared" si="184"/>
        <v>3</v>
      </c>
      <c r="J490">
        <f t="shared" si="184"/>
        <v>3</v>
      </c>
      <c r="K490">
        <f t="shared" si="184"/>
        <v>0</v>
      </c>
      <c r="L490">
        <f t="shared" si="184"/>
        <v>1</v>
      </c>
      <c r="M490">
        <f t="shared" si="184"/>
        <v>1</v>
      </c>
      <c r="N490">
        <f t="shared" si="184"/>
        <v>10</v>
      </c>
      <c r="O490">
        <f t="shared" si="184"/>
        <v>0</v>
      </c>
      <c r="P490">
        <f t="shared" si="185"/>
        <v>0</v>
      </c>
      <c r="Q490">
        <f t="shared" si="185"/>
        <v>2</v>
      </c>
      <c r="R490">
        <f t="shared" si="185"/>
        <v>1</v>
      </c>
      <c r="S490">
        <f t="shared" si="185"/>
        <v>2</v>
      </c>
      <c r="T490">
        <f t="shared" si="185"/>
        <v>1</v>
      </c>
      <c r="U490">
        <f t="shared" si="185"/>
        <v>2</v>
      </c>
      <c r="V490">
        <f t="shared" si="185"/>
        <v>0</v>
      </c>
      <c r="W490">
        <f t="shared" si="185"/>
        <v>0</v>
      </c>
      <c r="X490">
        <f t="shared" si="185"/>
        <v>3</v>
      </c>
      <c r="Y490">
        <f t="shared" si="185"/>
        <v>2</v>
      </c>
      <c r="Z490">
        <f t="shared" si="186"/>
        <v>0</v>
      </c>
      <c r="AA490">
        <f t="shared" si="186"/>
        <v>3</v>
      </c>
      <c r="AB490">
        <f t="shared" si="186"/>
        <v>1</v>
      </c>
      <c r="AC490">
        <f t="shared" si="186"/>
        <v>0</v>
      </c>
      <c r="AD490">
        <f t="shared" si="186"/>
        <v>0</v>
      </c>
      <c r="AE490">
        <f t="shared" si="186"/>
        <v>0</v>
      </c>
      <c r="AF490" s="56">
        <f t="shared" si="172"/>
        <v>16</v>
      </c>
      <c r="AG490" s="59">
        <f t="shared" si="173"/>
        <v>4.916666666666667</v>
      </c>
      <c r="AH490">
        <f t="shared" si="174"/>
        <v>0.30729166666666669</v>
      </c>
    </row>
    <row r="491" spans="1:34" ht="15" x14ac:dyDescent="0.2">
      <c r="A491">
        <v>62</v>
      </c>
      <c r="B491" s="57" t="s">
        <v>127</v>
      </c>
      <c r="C491" s="57"/>
      <c r="D491">
        <f t="shared" si="170"/>
        <v>59</v>
      </c>
      <c r="E491" s="1">
        <f t="shared" si="171"/>
        <v>11</v>
      </c>
      <c r="F491">
        <f t="shared" si="184"/>
        <v>2</v>
      </c>
      <c r="G491">
        <f t="shared" si="184"/>
        <v>1</v>
      </c>
      <c r="H491">
        <f t="shared" si="184"/>
        <v>0</v>
      </c>
      <c r="I491">
        <f t="shared" si="184"/>
        <v>1</v>
      </c>
      <c r="J491">
        <f t="shared" si="184"/>
        <v>6</v>
      </c>
      <c r="K491">
        <f t="shared" si="184"/>
        <v>1</v>
      </c>
      <c r="L491">
        <f t="shared" si="184"/>
        <v>1</v>
      </c>
      <c r="M491">
        <f t="shared" si="184"/>
        <v>4</v>
      </c>
      <c r="N491">
        <f t="shared" si="184"/>
        <v>2</v>
      </c>
      <c r="O491">
        <f t="shared" si="184"/>
        <v>0</v>
      </c>
      <c r="P491">
        <f t="shared" si="185"/>
        <v>0</v>
      </c>
      <c r="Q491">
        <f t="shared" si="185"/>
        <v>2</v>
      </c>
      <c r="R491">
        <f t="shared" si="185"/>
        <v>2</v>
      </c>
      <c r="S491">
        <f t="shared" si="185"/>
        <v>3</v>
      </c>
      <c r="T491">
        <f t="shared" si="185"/>
        <v>4</v>
      </c>
      <c r="U491">
        <f t="shared" si="185"/>
        <v>0</v>
      </c>
      <c r="V491">
        <f t="shared" si="185"/>
        <v>0</v>
      </c>
      <c r="W491">
        <f t="shared" si="185"/>
        <v>3</v>
      </c>
      <c r="X491">
        <f t="shared" si="185"/>
        <v>0</v>
      </c>
      <c r="Y491">
        <f t="shared" si="185"/>
        <v>7</v>
      </c>
      <c r="Z491">
        <f t="shared" si="186"/>
        <v>3</v>
      </c>
      <c r="AA491">
        <f t="shared" si="186"/>
        <v>1</v>
      </c>
      <c r="AB491">
        <f t="shared" si="186"/>
        <v>0</v>
      </c>
      <c r="AC491">
        <f t="shared" si="186"/>
        <v>0</v>
      </c>
      <c r="AD491">
        <f t="shared" si="186"/>
        <v>3</v>
      </c>
      <c r="AE491">
        <f t="shared" si="186"/>
        <v>0</v>
      </c>
      <c r="AF491" s="56">
        <f t="shared" si="172"/>
        <v>17</v>
      </c>
      <c r="AG491" s="59">
        <f t="shared" si="173"/>
        <v>5.3636363636363633</v>
      </c>
      <c r="AH491">
        <f t="shared" si="174"/>
        <v>0.31550802139037432</v>
      </c>
    </row>
    <row r="492" spans="1:34" ht="15" x14ac:dyDescent="0.2">
      <c r="A492">
        <v>11</v>
      </c>
      <c r="B492" s="57" t="s">
        <v>76</v>
      </c>
      <c r="C492" s="57"/>
      <c r="D492">
        <f t="shared" si="170"/>
        <v>59</v>
      </c>
      <c r="E492" s="1">
        <f t="shared" si="171"/>
        <v>15</v>
      </c>
      <c r="F492">
        <f t="shared" ref="F492:O501" si="187">LEN($B492)-LEN(SUBSTITUTE($B492,F$1,""))</f>
        <v>3</v>
      </c>
      <c r="G492">
        <f t="shared" si="187"/>
        <v>0</v>
      </c>
      <c r="H492">
        <f t="shared" si="187"/>
        <v>1</v>
      </c>
      <c r="I492">
        <f t="shared" si="187"/>
        <v>3</v>
      </c>
      <c r="J492">
        <f t="shared" si="187"/>
        <v>4</v>
      </c>
      <c r="K492">
        <f t="shared" si="187"/>
        <v>1</v>
      </c>
      <c r="L492">
        <f t="shared" si="187"/>
        <v>4</v>
      </c>
      <c r="M492">
        <f t="shared" si="187"/>
        <v>3</v>
      </c>
      <c r="N492">
        <f t="shared" si="187"/>
        <v>4</v>
      </c>
      <c r="O492">
        <f t="shared" si="187"/>
        <v>0</v>
      </c>
      <c r="P492">
        <f t="shared" ref="P492:Y501" si="188">LEN($B492)-LEN(SUBSTITUTE($B492,P$1,""))</f>
        <v>0</v>
      </c>
      <c r="Q492">
        <f t="shared" si="188"/>
        <v>1</v>
      </c>
      <c r="R492">
        <f t="shared" si="188"/>
        <v>1</v>
      </c>
      <c r="S492">
        <f t="shared" si="188"/>
        <v>3</v>
      </c>
      <c r="T492">
        <f t="shared" si="188"/>
        <v>4</v>
      </c>
      <c r="U492">
        <f t="shared" si="188"/>
        <v>0</v>
      </c>
      <c r="V492">
        <f t="shared" si="188"/>
        <v>0</v>
      </c>
      <c r="W492">
        <f t="shared" si="188"/>
        <v>1</v>
      </c>
      <c r="X492">
        <f t="shared" si="188"/>
        <v>5</v>
      </c>
      <c r="Y492">
        <f t="shared" si="188"/>
        <v>1</v>
      </c>
      <c r="Z492">
        <f t="shared" ref="Z492:AE501" si="189">LEN($B492)-LEN(SUBSTITUTE($B492,Z$1,""))</f>
        <v>2</v>
      </c>
      <c r="AA492">
        <f t="shared" si="189"/>
        <v>0</v>
      </c>
      <c r="AB492">
        <f t="shared" si="189"/>
        <v>0</v>
      </c>
      <c r="AC492">
        <f t="shared" si="189"/>
        <v>0</v>
      </c>
      <c r="AD492">
        <f t="shared" si="189"/>
        <v>1</v>
      </c>
      <c r="AE492">
        <f t="shared" si="189"/>
        <v>0</v>
      </c>
      <c r="AF492" s="56">
        <f t="shared" si="172"/>
        <v>17</v>
      </c>
      <c r="AG492" s="59">
        <f t="shared" si="173"/>
        <v>3.9333333333333331</v>
      </c>
      <c r="AH492">
        <f t="shared" si="174"/>
        <v>0.23137254901960783</v>
      </c>
    </row>
    <row r="493" spans="1:34" ht="15" x14ac:dyDescent="0.2">
      <c r="A493">
        <v>569</v>
      </c>
      <c r="B493" s="57" t="s">
        <v>591</v>
      </c>
      <c r="C493" s="57"/>
      <c r="D493">
        <f t="shared" si="170"/>
        <v>59</v>
      </c>
      <c r="E493" s="1">
        <f t="shared" si="171"/>
        <v>9</v>
      </c>
      <c r="F493">
        <f t="shared" si="187"/>
        <v>4</v>
      </c>
      <c r="G493">
        <f t="shared" si="187"/>
        <v>0</v>
      </c>
      <c r="H493">
        <f t="shared" si="187"/>
        <v>2</v>
      </c>
      <c r="I493">
        <f t="shared" si="187"/>
        <v>1</v>
      </c>
      <c r="J493">
        <f t="shared" si="187"/>
        <v>5</v>
      </c>
      <c r="K493">
        <f t="shared" si="187"/>
        <v>0</v>
      </c>
      <c r="L493">
        <f t="shared" si="187"/>
        <v>0</v>
      </c>
      <c r="M493">
        <f t="shared" si="187"/>
        <v>2</v>
      </c>
      <c r="N493">
        <f t="shared" si="187"/>
        <v>3</v>
      </c>
      <c r="O493">
        <f t="shared" si="187"/>
        <v>0</v>
      </c>
      <c r="P493">
        <f t="shared" si="188"/>
        <v>1</v>
      </c>
      <c r="Q493">
        <f t="shared" si="188"/>
        <v>1</v>
      </c>
      <c r="R493">
        <f t="shared" si="188"/>
        <v>1</v>
      </c>
      <c r="S493">
        <f t="shared" si="188"/>
        <v>3</v>
      </c>
      <c r="T493">
        <f t="shared" si="188"/>
        <v>3</v>
      </c>
      <c r="U493">
        <f t="shared" si="188"/>
        <v>5</v>
      </c>
      <c r="V493">
        <f t="shared" si="188"/>
        <v>0</v>
      </c>
      <c r="W493">
        <f t="shared" si="188"/>
        <v>5</v>
      </c>
      <c r="X493">
        <f t="shared" si="188"/>
        <v>3</v>
      </c>
      <c r="Y493">
        <f t="shared" si="188"/>
        <v>4</v>
      </c>
      <c r="Z493">
        <f t="shared" si="189"/>
        <v>3</v>
      </c>
      <c r="AA493">
        <f t="shared" si="189"/>
        <v>0</v>
      </c>
      <c r="AB493">
        <f t="shared" si="189"/>
        <v>1</v>
      </c>
      <c r="AC493">
        <f t="shared" si="189"/>
        <v>0</v>
      </c>
      <c r="AD493">
        <f t="shared" si="189"/>
        <v>2</v>
      </c>
      <c r="AE493">
        <f t="shared" si="189"/>
        <v>0</v>
      </c>
      <c r="AF493" s="56">
        <f t="shared" si="172"/>
        <v>18</v>
      </c>
      <c r="AG493" s="59">
        <f t="shared" si="173"/>
        <v>6.5555555555555554</v>
      </c>
      <c r="AH493">
        <f t="shared" si="174"/>
        <v>0.36419753086419754</v>
      </c>
    </row>
    <row r="494" spans="1:34" ht="15" x14ac:dyDescent="0.2">
      <c r="A494">
        <v>201</v>
      </c>
      <c r="B494" s="57" t="s">
        <v>265</v>
      </c>
      <c r="C494" s="57"/>
      <c r="D494">
        <f t="shared" si="170"/>
        <v>59</v>
      </c>
      <c r="E494" s="1">
        <f t="shared" si="171"/>
        <v>11</v>
      </c>
      <c r="F494">
        <f t="shared" si="187"/>
        <v>3</v>
      </c>
      <c r="G494">
        <f t="shared" si="187"/>
        <v>0</v>
      </c>
      <c r="H494">
        <f t="shared" si="187"/>
        <v>1</v>
      </c>
      <c r="I494">
        <f t="shared" si="187"/>
        <v>1</v>
      </c>
      <c r="J494">
        <f t="shared" si="187"/>
        <v>6</v>
      </c>
      <c r="K494">
        <f t="shared" si="187"/>
        <v>0</v>
      </c>
      <c r="L494">
        <f t="shared" si="187"/>
        <v>1</v>
      </c>
      <c r="M494">
        <f t="shared" si="187"/>
        <v>3</v>
      </c>
      <c r="N494">
        <f t="shared" si="187"/>
        <v>3</v>
      </c>
      <c r="O494">
        <f t="shared" si="187"/>
        <v>0</v>
      </c>
      <c r="P494">
        <f t="shared" si="188"/>
        <v>0</v>
      </c>
      <c r="Q494">
        <f t="shared" si="188"/>
        <v>1</v>
      </c>
      <c r="R494">
        <f t="shared" si="188"/>
        <v>1</v>
      </c>
      <c r="S494">
        <f t="shared" si="188"/>
        <v>4</v>
      </c>
      <c r="T494">
        <f t="shared" si="188"/>
        <v>4</v>
      </c>
      <c r="U494">
        <f t="shared" si="188"/>
        <v>1</v>
      </c>
      <c r="V494">
        <f t="shared" si="188"/>
        <v>0</v>
      </c>
      <c r="W494">
        <f t="shared" si="188"/>
        <v>2</v>
      </c>
      <c r="X494">
        <f t="shared" si="188"/>
        <v>0</v>
      </c>
      <c r="Y494">
        <f t="shared" si="188"/>
        <v>4</v>
      </c>
      <c r="Z494">
        <f t="shared" si="189"/>
        <v>4</v>
      </c>
      <c r="AA494">
        <f t="shared" si="189"/>
        <v>2</v>
      </c>
      <c r="AB494">
        <f t="shared" si="189"/>
        <v>2</v>
      </c>
      <c r="AC494">
        <f t="shared" si="189"/>
        <v>0</v>
      </c>
      <c r="AD494">
        <f t="shared" si="189"/>
        <v>3</v>
      </c>
      <c r="AE494">
        <f t="shared" si="189"/>
        <v>0</v>
      </c>
      <c r="AF494" s="56">
        <f t="shared" si="172"/>
        <v>18</v>
      </c>
      <c r="AG494" s="59">
        <f t="shared" si="173"/>
        <v>5.3636363636363633</v>
      </c>
      <c r="AH494">
        <f t="shared" si="174"/>
        <v>0.29797979797979796</v>
      </c>
    </row>
    <row r="495" spans="1:34" ht="15" x14ac:dyDescent="0.2">
      <c r="A495">
        <v>61</v>
      </c>
      <c r="B495" s="57" t="s">
        <v>126</v>
      </c>
      <c r="C495" s="57"/>
      <c r="D495">
        <f t="shared" si="170"/>
        <v>59</v>
      </c>
      <c r="E495" s="1">
        <f t="shared" si="171"/>
        <v>11</v>
      </c>
      <c r="F495">
        <f t="shared" si="187"/>
        <v>1</v>
      </c>
      <c r="G495">
        <f t="shared" si="187"/>
        <v>1</v>
      </c>
      <c r="H495">
        <f t="shared" si="187"/>
        <v>2</v>
      </c>
      <c r="I495">
        <f t="shared" si="187"/>
        <v>3</v>
      </c>
      <c r="J495">
        <f t="shared" si="187"/>
        <v>8</v>
      </c>
      <c r="K495">
        <f t="shared" si="187"/>
        <v>0</v>
      </c>
      <c r="L495">
        <f t="shared" si="187"/>
        <v>1</v>
      </c>
      <c r="M495">
        <f t="shared" si="187"/>
        <v>4</v>
      </c>
      <c r="N495">
        <f t="shared" si="187"/>
        <v>2</v>
      </c>
      <c r="O495">
        <f t="shared" si="187"/>
        <v>0</v>
      </c>
      <c r="P495">
        <f t="shared" si="188"/>
        <v>0</v>
      </c>
      <c r="Q495">
        <f t="shared" si="188"/>
        <v>1</v>
      </c>
      <c r="R495">
        <f t="shared" si="188"/>
        <v>1</v>
      </c>
      <c r="S495">
        <f t="shared" si="188"/>
        <v>3</v>
      </c>
      <c r="T495">
        <f t="shared" si="188"/>
        <v>6</v>
      </c>
      <c r="U495">
        <f t="shared" si="188"/>
        <v>2</v>
      </c>
      <c r="V495">
        <f t="shared" si="188"/>
        <v>0</v>
      </c>
      <c r="W495">
        <f t="shared" si="188"/>
        <v>2</v>
      </c>
      <c r="X495">
        <f t="shared" si="188"/>
        <v>2</v>
      </c>
      <c r="Y495">
        <f t="shared" si="188"/>
        <v>3</v>
      </c>
      <c r="Z495">
        <f t="shared" si="189"/>
        <v>3</v>
      </c>
      <c r="AA495">
        <f t="shared" si="189"/>
        <v>0</v>
      </c>
      <c r="AB495">
        <f t="shared" si="189"/>
        <v>4</v>
      </c>
      <c r="AC495">
        <f t="shared" si="189"/>
        <v>0</v>
      </c>
      <c r="AD495">
        <f t="shared" si="189"/>
        <v>0</v>
      </c>
      <c r="AE495">
        <f t="shared" si="189"/>
        <v>0</v>
      </c>
      <c r="AF495" s="56">
        <f t="shared" si="172"/>
        <v>18</v>
      </c>
      <c r="AG495" s="59">
        <f t="shared" si="173"/>
        <v>5.3636363636363633</v>
      </c>
      <c r="AH495">
        <f t="shared" si="174"/>
        <v>0.29797979797979796</v>
      </c>
    </row>
    <row r="496" spans="1:34" ht="15" x14ac:dyDescent="0.2">
      <c r="A496">
        <v>59</v>
      </c>
      <c r="B496" s="57" t="s">
        <v>124</v>
      </c>
      <c r="C496" s="57"/>
      <c r="D496">
        <f t="shared" si="170"/>
        <v>59</v>
      </c>
      <c r="E496" s="1">
        <f t="shared" si="171"/>
        <v>12</v>
      </c>
      <c r="F496">
        <f t="shared" si="187"/>
        <v>5</v>
      </c>
      <c r="G496">
        <f t="shared" si="187"/>
        <v>1</v>
      </c>
      <c r="H496">
        <f t="shared" si="187"/>
        <v>0</v>
      </c>
      <c r="I496">
        <f t="shared" si="187"/>
        <v>1</v>
      </c>
      <c r="J496">
        <f t="shared" si="187"/>
        <v>6</v>
      </c>
      <c r="K496">
        <f t="shared" si="187"/>
        <v>2</v>
      </c>
      <c r="L496">
        <f t="shared" si="187"/>
        <v>0</v>
      </c>
      <c r="M496">
        <f t="shared" si="187"/>
        <v>2</v>
      </c>
      <c r="N496">
        <f t="shared" si="187"/>
        <v>3</v>
      </c>
      <c r="O496">
        <f t="shared" si="187"/>
        <v>0</v>
      </c>
      <c r="P496">
        <f t="shared" si="188"/>
        <v>0</v>
      </c>
      <c r="Q496">
        <f t="shared" si="188"/>
        <v>1</v>
      </c>
      <c r="R496">
        <f t="shared" si="188"/>
        <v>1</v>
      </c>
      <c r="S496">
        <f t="shared" si="188"/>
        <v>4</v>
      </c>
      <c r="T496">
        <f t="shared" si="188"/>
        <v>4</v>
      </c>
      <c r="U496">
        <f t="shared" si="188"/>
        <v>2</v>
      </c>
      <c r="V496">
        <f t="shared" si="188"/>
        <v>0</v>
      </c>
      <c r="W496">
        <f t="shared" si="188"/>
        <v>2</v>
      </c>
      <c r="X496">
        <f t="shared" si="188"/>
        <v>2</v>
      </c>
      <c r="Y496">
        <f t="shared" si="188"/>
        <v>6</v>
      </c>
      <c r="Z496">
        <f t="shared" si="189"/>
        <v>2</v>
      </c>
      <c r="AA496">
        <f t="shared" si="189"/>
        <v>1</v>
      </c>
      <c r="AB496">
        <f t="shared" si="189"/>
        <v>2</v>
      </c>
      <c r="AC496">
        <f t="shared" si="189"/>
        <v>0</v>
      </c>
      <c r="AD496">
        <f t="shared" si="189"/>
        <v>0</v>
      </c>
      <c r="AE496">
        <f t="shared" si="189"/>
        <v>0</v>
      </c>
      <c r="AF496" s="56">
        <f t="shared" si="172"/>
        <v>18</v>
      </c>
      <c r="AG496" s="59">
        <f t="shared" si="173"/>
        <v>4.916666666666667</v>
      </c>
      <c r="AH496">
        <f t="shared" si="174"/>
        <v>0.27314814814814814</v>
      </c>
    </row>
    <row r="497" spans="1:34" ht="15" x14ac:dyDescent="0.2">
      <c r="A497">
        <v>488</v>
      </c>
      <c r="B497" s="57" t="s">
        <v>526</v>
      </c>
      <c r="C497" s="57"/>
      <c r="D497">
        <f t="shared" si="170"/>
        <v>58</v>
      </c>
      <c r="E497" s="1">
        <f t="shared" si="171"/>
        <v>11</v>
      </c>
      <c r="F497">
        <f t="shared" si="187"/>
        <v>2</v>
      </c>
      <c r="G497">
        <f t="shared" si="187"/>
        <v>0</v>
      </c>
      <c r="H497">
        <f t="shared" si="187"/>
        <v>2</v>
      </c>
      <c r="I497">
        <f t="shared" si="187"/>
        <v>2</v>
      </c>
      <c r="J497">
        <f t="shared" si="187"/>
        <v>8</v>
      </c>
      <c r="K497">
        <f t="shared" si="187"/>
        <v>0</v>
      </c>
      <c r="L497">
        <f t="shared" si="187"/>
        <v>0</v>
      </c>
      <c r="M497">
        <f t="shared" si="187"/>
        <v>2</v>
      </c>
      <c r="N497">
        <f t="shared" si="187"/>
        <v>4</v>
      </c>
      <c r="O497">
        <f t="shared" si="187"/>
        <v>0</v>
      </c>
      <c r="P497">
        <f t="shared" si="188"/>
        <v>0</v>
      </c>
      <c r="Q497">
        <f t="shared" si="188"/>
        <v>1</v>
      </c>
      <c r="R497">
        <f t="shared" si="188"/>
        <v>1</v>
      </c>
      <c r="S497">
        <f t="shared" si="188"/>
        <v>2</v>
      </c>
      <c r="T497">
        <f t="shared" si="188"/>
        <v>2</v>
      </c>
      <c r="U497">
        <f t="shared" si="188"/>
        <v>1</v>
      </c>
      <c r="V497">
        <f t="shared" si="188"/>
        <v>0</v>
      </c>
      <c r="W497">
        <f t="shared" si="188"/>
        <v>4</v>
      </c>
      <c r="X497">
        <f t="shared" si="188"/>
        <v>3</v>
      </c>
      <c r="Y497">
        <f t="shared" si="188"/>
        <v>6</v>
      </c>
      <c r="Z497">
        <f t="shared" si="189"/>
        <v>3</v>
      </c>
      <c r="AA497">
        <f t="shared" si="189"/>
        <v>1</v>
      </c>
      <c r="AB497">
        <f t="shared" si="189"/>
        <v>0</v>
      </c>
      <c r="AC497">
        <f t="shared" si="189"/>
        <v>0</v>
      </c>
      <c r="AD497">
        <f t="shared" si="189"/>
        <v>0</v>
      </c>
      <c r="AE497">
        <f t="shared" si="189"/>
        <v>0</v>
      </c>
      <c r="AF497" s="56">
        <f t="shared" si="172"/>
        <v>16</v>
      </c>
      <c r="AG497" s="59">
        <f t="shared" si="173"/>
        <v>5.2727272727272725</v>
      </c>
      <c r="AH497">
        <f t="shared" si="174"/>
        <v>0.32954545454545453</v>
      </c>
    </row>
    <row r="498" spans="1:34" ht="15" x14ac:dyDescent="0.2">
      <c r="A498">
        <v>66</v>
      </c>
      <c r="B498" s="57" t="s">
        <v>131</v>
      </c>
      <c r="C498" s="57"/>
      <c r="D498">
        <f t="shared" si="170"/>
        <v>58</v>
      </c>
      <c r="E498" s="1">
        <f t="shared" si="171"/>
        <v>11</v>
      </c>
      <c r="F498">
        <f t="shared" si="187"/>
        <v>1</v>
      </c>
      <c r="G498">
        <f t="shared" si="187"/>
        <v>0</v>
      </c>
      <c r="H498">
        <f t="shared" si="187"/>
        <v>0</v>
      </c>
      <c r="I498">
        <f t="shared" si="187"/>
        <v>2</v>
      </c>
      <c r="J498">
        <f t="shared" si="187"/>
        <v>6</v>
      </c>
      <c r="K498">
        <f t="shared" si="187"/>
        <v>2</v>
      </c>
      <c r="L498">
        <f t="shared" si="187"/>
        <v>2</v>
      </c>
      <c r="M498">
        <f t="shared" si="187"/>
        <v>2</v>
      </c>
      <c r="N498">
        <f t="shared" si="187"/>
        <v>4</v>
      </c>
      <c r="O498">
        <f t="shared" si="187"/>
        <v>0</v>
      </c>
      <c r="P498">
        <f t="shared" si="188"/>
        <v>0</v>
      </c>
      <c r="Q498">
        <f t="shared" si="188"/>
        <v>2</v>
      </c>
      <c r="R498">
        <f t="shared" si="188"/>
        <v>1</v>
      </c>
      <c r="S498">
        <f t="shared" si="188"/>
        <v>5</v>
      </c>
      <c r="T498">
        <f t="shared" si="188"/>
        <v>4</v>
      </c>
      <c r="U498">
        <f t="shared" si="188"/>
        <v>0</v>
      </c>
      <c r="V498">
        <f t="shared" si="188"/>
        <v>0</v>
      </c>
      <c r="W498">
        <f t="shared" si="188"/>
        <v>2</v>
      </c>
      <c r="X498">
        <f t="shared" si="188"/>
        <v>1</v>
      </c>
      <c r="Y498">
        <f t="shared" si="188"/>
        <v>7</v>
      </c>
      <c r="Z498">
        <f t="shared" si="189"/>
        <v>2</v>
      </c>
      <c r="AA498">
        <f t="shared" si="189"/>
        <v>0</v>
      </c>
      <c r="AB498">
        <f t="shared" si="189"/>
        <v>2</v>
      </c>
      <c r="AC498">
        <f t="shared" si="189"/>
        <v>0</v>
      </c>
      <c r="AD498">
        <f t="shared" si="189"/>
        <v>0</v>
      </c>
      <c r="AE498">
        <f t="shared" si="189"/>
        <v>0</v>
      </c>
      <c r="AF498" s="56">
        <f t="shared" si="172"/>
        <v>16</v>
      </c>
      <c r="AG498" s="59">
        <f t="shared" si="173"/>
        <v>5.2727272727272725</v>
      </c>
      <c r="AH498">
        <f t="shared" si="174"/>
        <v>0.32954545454545453</v>
      </c>
    </row>
    <row r="499" spans="1:34" ht="15" x14ac:dyDescent="0.2">
      <c r="A499">
        <v>70</v>
      </c>
      <c r="B499" s="57" t="s">
        <v>135</v>
      </c>
      <c r="C499" s="57"/>
      <c r="D499">
        <f t="shared" si="170"/>
        <v>58</v>
      </c>
      <c r="E499" s="1">
        <f t="shared" si="171"/>
        <v>11</v>
      </c>
      <c r="F499">
        <f t="shared" si="187"/>
        <v>7</v>
      </c>
      <c r="G499">
        <f t="shared" si="187"/>
        <v>1</v>
      </c>
      <c r="H499">
        <f t="shared" si="187"/>
        <v>0</v>
      </c>
      <c r="I499">
        <f t="shared" si="187"/>
        <v>2</v>
      </c>
      <c r="J499">
        <f t="shared" si="187"/>
        <v>2</v>
      </c>
      <c r="K499">
        <f t="shared" si="187"/>
        <v>1</v>
      </c>
      <c r="L499">
        <f t="shared" si="187"/>
        <v>1</v>
      </c>
      <c r="M499">
        <f t="shared" si="187"/>
        <v>1</v>
      </c>
      <c r="N499">
        <f t="shared" si="187"/>
        <v>3</v>
      </c>
      <c r="O499">
        <f t="shared" si="187"/>
        <v>0</v>
      </c>
      <c r="P499">
        <f t="shared" si="188"/>
        <v>0</v>
      </c>
      <c r="Q499">
        <f t="shared" si="188"/>
        <v>3</v>
      </c>
      <c r="R499">
        <f t="shared" si="188"/>
        <v>0</v>
      </c>
      <c r="S499">
        <f t="shared" si="188"/>
        <v>3</v>
      </c>
      <c r="T499">
        <f t="shared" si="188"/>
        <v>3</v>
      </c>
      <c r="U499">
        <f t="shared" si="188"/>
        <v>2</v>
      </c>
      <c r="V499">
        <f t="shared" si="188"/>
        <v>0</v>
      </c>
      <c r="W499">
        <f t="shared" si="188"/>
        <v>1</v>
      </c>
      <c r="X499">
        <f t="shared" si="188"/>
        <v>3</v>
      </c>
      <c r="Y499">
        <f t="shared" si="188"/>
        <v>5</v>
      </c>
      <c r="Z499">
        <f t="shared" si="189"/>
        <v>4</v>
      </c>
      <c r="AA499">
        <f t="shared" si="189"/>
        <v>0</v>
      </c>
      <c r="AB499">
        <f t="shared" si="189"/>
        <v>1</v>
      </c>
      <c r="AC499">
        <f t="shared" si="189"/>
        <v>0</v>
      </c>
      <c r="AD499">
        <f t="shared" si="189"/>
        <v>3</v>
      </c>
      <c r="AE499">
        <f t="shared" si="189"/>
        <v>0</v>
      </c>
      <c r="AF499" s="56">
        <f t="shared" si="172"/>
        <v>18</v>
      </c>
      <c r="AG499" s="59">
        <f t="shared" si="173"/>
        <v>5.2727272727272725</v>
      </c>
      <c r="AH499">
        <f t="shared" si="174"/>
        <v>0.29292929292929293</v>
      </c>
    </row>
    <row r="500" spans="1:34" ht="15" x14ac:dyDescent="0.2">
      <c r="A500">
        <v>25</v>
      </c>
      <c r="B500" s="57" t="s">
        <v>90</v>
      </c>
      <c r="C500" s="57"/>
      <c r="D500">
        <f t="shared" si="170"/>
        <v>58</v>
      </c>
      <c r="E500" s="1">
        <f t="shared" si="171"/>
        <v>8</v>
      </c>
      <c r="F500">
        <f t="shared" si="187"/>
        <v>5</v>
      </c>
      <c r="G500">
        <f t="shared" si="187"/>
        <v>0</v>
      </c>
      <c r="H500">
        <f t="shared" si="187"/>
        <v>3</v>
      </c>
      <c r="I500">
        <f t="shared" si="187"/>
        <v>1</v>
      </c>
      <c r="J500">
        <f t="shared" si="187"/>
        <v>3</v>
      </c>
      <c r="K500">
        <f t="shared" si="187"/>
        <v>2</v>
      </c>
      <c r="L500">
        <f t="shared" si="187"/>
        <v>1</v>
      </c>
      <c r="M500">
        <f t="shared" si="187"/>
        <v>1</v>
      </c>
      <c r="N500">
        <f t="shared" si="187"/>
        <v>8</v>
      </c>
      <c r="O500">
        <f t="shared" si="187"/>
        <v>0</v>
      </c>
      <c r="P500">
        <f t="shared" si="188"/>
        <v>0</v>
      </c>
      <c r="Q500">
        <f t="shared" si="188"/>
        <v>4</v>
      </c>
      <c r="R500">
        <f t="shared" si="188"/>
        <v>1</v>
      </c>
      <c r="S500">
        <f t="shared" si="188"/>
        <v>4</v>
      </c>
      <c r="T500">
        <f t="shared" si="188"/>
        <v>2</v>
      </c>
      <c r="U500">
        <f t="shared" si="188"/>
        <v>1</v>
      </c>
      <c r="V500">
        <f t="shared" si="188"/>
        <v>0</v>
      </c>
      <c r="W500">
        <f t="shared" si="188"/>
        <v>3</v>
      </c>
      <c r="X500">
        <f t="shared" si="188"/>
        <v>2</v>
      </c>
      <c r="Y500">
        <f t="shared" si="188"/>
        <v>6</v>
      </c>
      <c r="Z500">
        <f t="shared" si="189"/>
        <v>2</v>
      </c>
      <c r="AA500">
        <f t="shared" si="189"/>
        <v>0</v>
      </c>
      <c r="AB500">
        <f t="shared" si="189"/>
        <v>0</v>
      </c>
      <c r="AC500">
        <f t="shared" si="189"/>
        <v>0</v>
      </c>
      <c r="AD500">
        <f t="shared" si="189"/>
        <v>1</v>
      </c>
      <c r="AE500">
        <f t="shared" si="189"/>
        <v>0</v>
      </c>
      <c r="AF500" s="56">
        <f t="shared" si="172"/>
        <v>18</v>
      </c>
      <c r="AG500" s="59">
        <f t="shared" si="173"/>
        <v>7.25</v>
      </c>
      <c r="AH500">
        <f t="shared" si="174"/>
        <v>0.40277777777777779</v>
      </c>
    </row>
    <row r="501" spans="1:34" ht="15" x14ac:dyDescent="0.2">
      <c r="A501">
        <v>182</v>
      </c>
      <c r="B501" s="57" t="s">
        <v>246</v>
      </c>
      <c r="C501" s="57"/>
      <c r="D501">
        <f t="shared" si="170"/>
        <v>57</v>
      </c>
      <c r="E501" s="1">
        <f t="shared" si="171"/>
        <v>11</v>
      </c>
      <c r="F501">
        <f t="shared" si="187"/>
        <v>1</v>
      </c>
      <c r="G501">
        <f t="shared" si="187"/>
        <v>0</v>
      </c>
      <c r="H501">
        <f t="shared" si="187"/>
        <v>0</v>
      </c>
      <c r="I501">
        <f t="shared" si="187"/>
        <v>1</v>
      </c>
      <c r="J501">
        <f t="shared" si="187"/>
        <v>5</v>
      </c>
      <c r="K501">
        <f t="shared" si="187"/>
        <v>4</v>
      </c>
      <c r="L501">
        <f t="shared" si="187"/>
        <v>0</v>
      </c>
      <c r="M501">
        <f t="shared" si="187"/>
        <v>0</v>
      </c>
      <c r="N501">
        <f t="shared" si="187"/>
        <v>6</v>
      </c>
      <c r="O501">
        <f t="shared" si="187"/>
        <v>1</v>
      </c>
      <c r="P501">
        <f t="shared" si="188"/>
        <v>0</v>
      </c>
      <c r="Q501">
        <f t="shared" si="188"/>
        <v>0</v>
      </c>
      <c r="R501">
        <f t="shared" si="188"/>
        <v>2</v>
      </c>
      <c r="S501">
        <f t="shared" si="188"/>
        <v>5</v>
      </c>
      <c r="T501">
        <f t="shared" si="188"/>
        <v>4</v>
      </c>
      <c r="U501">
        <f t="shared" si="188"/>
        <v>0</v>
      </c>
      <c r="V501">
        <f t="shared" si="188"/>
        <v>0</v>
      </c>
      <c r="W501">
        <f t="shared" si="188"/>
        <v>3</v>
      </c>
      <c r="X501">
        <f t="shared" si="188"/>
        <v>2</v>
      </c>
      <c r="Y501">
        <f t="shared" si="188"/>
        <v>4</v>
      </c>
      <c r="Z501">
        <f t="shared" si="189"/>
        <v>2</v>
      </c>
      <c r="AA501">
        <f t="shared" si="189"/>
        <v>1</v>
      </c>
      <c r="AB501">
        <f t="shared" si="189"/>
        <v>0</v>
      </c>
      <c r="AC501">
        <f t="shared" si="189"/>
        <v>0</v>
      </c>
      <c r="AD501">
        <f t="shared" si="189"/>
        <v>3</v>
      </c>
      <c r="AE501">
        <f t="shared" si="189"/>
        <v>0</v>
      </c>
      <c r="AF501" s="56">
        <f t="shared" si="172"/>
        <v>15</v>
      </c>
      <c r="AG501" s="59">
        <f t="shared" si="173"/>
        <v>5.1818181818181817</v>
      </c>
      <c r="AH501">
        <f t="shared" si="174"/>
        <v>0.34545454545454546</v>
      </c>
    </row>
    <row r="502" spans="1:34" ht="15" x14ac:dyDescent="0.2">
      <c r="A502">
        <v>26</v>
      </c>
      <c r="B502" s="57" t="s">
        <v>91</v>
      </c>
      <c r="C502" s="57"/>
      <c r="D502">
        <f t="shared" si="170"/>
        <v>57</v>
      </c>
      <c r="E502" s="1">
        <f t="shared" si="171"/>
        <v>12</v>
      </c>
      <c r="F502">
        <f t="shared" ref="F502:O511" si="190">LEN($B502)-LEN(SUBSTITUTE($B502,F$1,""))</f>
        <v>1</v>
      </c>
      <c r="G502">
        <f t="shared" si="190"/>
        <v>3</v>
      </c>
      <c r="H502">
        <f t="shared" si="190"/>
        <v>0</v>
      </c>
      <c r="I502">
        <f t="shared" si="190"/>
        <v>1</v>
      </c>
      <c r="J502">
        <f t="shared" si="190"/>
        <v>6</v>
      </c>
      <c r="K502">
        <f t="shared" si="190"/>
        <v>0</v>
      </c>
      <c r="L502">
        <f t="shared" si="190"/>
        <v>3</v>
      </c>
      <c r="M502">
        <f t="shared" si="190"/>
        <v>2</v>
      </c>
      <c r="N502">
        <f t="shared" si="190"/>
        <v>3</v>
      </c>
      <c r="O502">
        <f t="shared" si="190"/>
        <v>0</v>
      </c>
      <c r="P502">
        <f t="shared" ref="P502:Y511" si="191">LEN($B502)-LEN(SUBSTITUTE($B502,P$1,""))</f>
        <v>1</v>
      </c>
      <c r="Q502">
        <f t="shared" si="191"/>
        <v>2</v>
      </c>
      <c r="R502">
        <f t="shared" si="191"/>
        <v>0</v>
      </c>
      <c r="S502">
        <f t="shared" si="191"/>
        <v>3</v>
      </c>
      <c r="T502">
        <f t="shared" si="191"/>
        <v>4</v>
      </c>
      <c r="U502">
        <f t="shared" si="191"/>
        <v>1</v>
      </c>
      <c r="V502">
        <f t="shared" si="191"/>
        <v>0</v>
      </c>
      <c r="W502">
        <f t="shared" si="191"/>
        <v>1</v>
      </c>
      <c r="X502">
        <f t="shared" si="191"/>
        <v>3</v>
      </c>
      <c r="Y502">
        <f t="shared" si="191"/>
        <v>5</v>
      </c>
      <c r="Z502">
        <f t="shared" ref="Z502:AE511" si="192">LEN($B502)-LEN(SUBSTITUTE($B502,Z$1,""))</f>
        <v>3</v>
      </c>
      <c r="AA502">
        <f t="shared" si="192"/>
        <v>0</v>
      </c>
      <c r="AB502">
        <f t="shared" si="192"/>
        <v>0</v>
      </c>
      <c r="AC502">
        <f t="shared" si="192"/>
        <v>0</v>
      </c>
      <c r="AD502">
        <f t="shared" si="192"/>
        <v>3</v>
      </c>
      <c r="AE502">
        <f t="shared" si="192"/>
        <v>0</v>
      </c>
      <c r="AF502" s="56">
        <f t="shared" si="172"/>
        <v>17</v>
      </c>
      <c r="AG502" s="59">
        <f t="shared" si="173"/>
        <v>4.75</v>
      </c>
      <c r="AH502">
        <f t="shared" si="174"/>
        <v>0.27941176470588236</v>
      </c>
    </row>
    <row r="503" spans="1:34" ht="15" x14ac:dyDescent="0.2">
      <c r="A503">
        <v>20</v>
      </c>
      <c r="B503" s="57" t="s">
        <v>85</v>
      </c>
      <c r="C503" s="57"/>
      <c r="D503">
        <f t="shared" si="170"/>
        <v>57</v>
      </c>
      <c r="E503" s="1">
        <f t="shared" si="171"/>
        <v>12</v>
      </c>
      <c r="F503">
        <f t="shared" si="190"/>
        <v>3</v>
      </c>
      <c r="G503">
        <f t="shared" si="190"/>
        <v>1</v>
      </c>
      <c r="H503">
        <f t="shared" si="190"/>
        <v>2</v>
      </c>
      <c r="I503">
        <f t="shared" si="190"/>
        <v>3</v>
      </c>
      <c r="J503">
        <f t="shared" si="190"/>
        <v>3</v>
      </c>
      <c r="K503">
        <f t="shared" si="190"/>
        <v>1</v>
      </c>
      <c r="L503">
        <f t="shared" si="190"/>
        <v>0</v>
      </c>
      <c r="M503">
        <f t="shared" si="190"/>
        <v>0</v>
      </c>
      <c r="N503">
        <f t="shared" si="190"/>
        <v>3</v>
      </c>
      <c r="O503">
        <f t="shared" si="190"/>
        <v>0</v>
      </c>
      <c r="P503">
        <f t="shared" si="191"/>
        <v>0</v>
      </c>
      <c r="Q503">
        <f t="shared" si="191"/>
        <v>5</v>
      </c>
      <c r="R503">
        <f t="shared" si="191"/>
        <v>1</v>
      </c>
      <c r="S503">
        <f t="shared" si="191"/>
        <v>7</v>
      </c>
      <c r="T503">
        <f t="shared" si="191"/>
        <v>4</v>
      </c>
      <c r="U503">
        <f t="shared" si="191"/>
        <v>0</v>
      </c>
      <c r="V503">
        <f t="shared" si="191"/>
        <v>0</v>
      </c>
      <c r="W503">
        <f t="shared" si="191"/>
        <v>1</v>
      </c>
      <c r="X503">
        <f t="shared" si="191"/>
        <v>1</v>
      </c>
      <c r="Y503">
        <f t="shared" si="191"/>
        <v>2</v>
      </c>
      <c r="Z503">
        <f t="shared" si="192"/>
        <v>1</v>
      </c>
      <c r="AA503">
        <f t="shared" si="192"/>
        <v>0</v>
      </c>
      <c r="AB503">
        <f t="shared" si="192"/>
        <v>1</v>
      </c>
      <c r="AC503">
        <f t="shared" si="192"/>
        <v>0</v>
      </c>
      <c r="AD503">
        <f t="shared" si="192"/>
        <v>3</v>
      </c>
      <c r="AE503">
        <f t="shared" si="192"/>
        <v>0</v>
      </c>
      <c r="AF503" s="56">
        <f t="shared" si="172"/>
        <v>17</v>
      </c>
      <c r="AG503" s="59">
        <f t="shared" si="173"/>
        <v>4.75</v>
      </c>
      <c r="AH503">
        <f t="shared" si="174"/>
        <v>0.27941176470588236</v>
      </c>
    </row>
    <row r="504" spans="1:34" ht="15" x14ac:dyDescent="0.2">
      <c r="A504">
        <v>10</v>
      </c>
      <c r="B504" s="57" t="s">
        <v>75</v>
      </c>
      <c r="C504" s="57"/>
      <c r="D504">
        <f t="shared" si="170"/>
        <v>57</v>
      </c>
      <c r="E504" s="1">
        <f t="shared" si="171"/>
        <v>12</v>
      </c>
      <c r="F504">
        <f t="shared" si="190"/>
        <v>3</v>
      </c>
      <c r="G504">
        <f t="shared" si="190"/>
        <v>1</v>
      </c>
      <c r="H504">
        <f t="shared" si="190"/>
        <v>3</v>
      </c>
      <c r="I504">
        <f t="shared" si="190"/>
        <v>1</v>
      </c>
      <c r="J504">
        <f t="shared" si="190"/>
        <v>3</v>
      </c>
      <c r="K504">
        <f t="shared" si="190"/>
        <v>2</v>
      </c>
      <c r="L504">
        <f t="shared" si="190"/>
        <v>0</v>
      </c>
      <c r="M504">
        <f t="shared" si="190"/>
        <v>2</v>
      </c>
      <c r="N504">
        <f t="shared" si="190"/>
        <v>5</v>
      </c>
      <c r="O504">
        <f t="shared" si="190"/>
        <v>0</v>
      </c>
      <c r="P504">
        <f t="shared" si="191"/>
        <v>0</v>
      </c>
      <c r="Q504">
        <f t="shared" si="191"/>
        <v>6</v>
      </c>
      <c r="R504">
        <f t="shared" si="191"/>
        <v>0</v>
      </c>
      <c r="S504">
        <f t="shared" si="191"/>
        <v>1</v>
      </c>
      <c r="T504">
        <f t="shared" si="191"/>
        <v>2</v>
      </c>
      <c r="U504">
        <f t="shared" si="191"/>
        <v>0</v>
      </c>
      <c r="V504">
        <f t="shared" si="191"/>
        <v>0</v>
      </c>
      <c r="W504">
        <f t="shared" si="191"/>
        <v>2</v>
      </c>
      <c r="X504">
        <f t="shared" si="191"/>
        <v>5</v>
      </c>
      <c r="Y504">
        <f t="shared" si="191"/>
        <v>3</v>
      </c>
      <c r="Z504">
        <f t="shared" si="192"/>
        <v>3</v>
      </c>
      <c r="AA504">
        <f t="shared" si="192"/>
        <v>1</v>
      </c>
      <c r="AB504">
        <f t="shared" si="192"/>
        <v>1</v>
      </c>
      <c r="AC504">
        <f t="shared" si="192"/>
        <v>0</v>
      </c>
      <c r="AD504">
        <f t="shared" si="192"/>
        <v>1</v>
      </c>
      <c r="AE504">
        <f t="shared" si="192"/>
        <v>0</v>
      </c>
      <c r="AF504" s="56">
        <f t="shared" si="172"/>
        <v>18</v>
      </c>
      <c r="AG504" s="59">
        <f t="shared" si="173"/>
        <v>4.75</v>
      </c>
      <c r="AH504">
        <f t="shared" si="174"/>
        <v>0.2638888888888889</v>
      </c>
    </row>
    <row r="505" spans="1:34" ht="15" x14ac:dyDescent="0.2">
      <c r="A505">
        <v>189</v>
      </c>
      <c r="B505" s="57" t="s">
        <v>253</v>
      </c>
      <c r="C505" s="57"/>
      <c r="D505">
        <f t="shared" si="170"/>
        <v>57</v>
      </c>
      <c r="E505" s="1">
        <f t="shared" si="171"/>
        <v>10</v>
      </c>
      <c r="F505">
        <f t="shared" si="190"/>
        <v>4</v>
      </c>
      <c r="G505">
        <f t="shared" si="190"/>
        <v>0</v>
      </c>
      <c r="H505">
        <f t="shared" si="190"/>
        <v>1</v>
      </c>
      <c r="I505">
        <f t="shared" si="190"/>
        <v>0</v>
      </c>
      <c r="J505">
        <f t="shared" si="190"/>
        <v>7</v>
      </c>
      <c r="K505">
        <f t="shared" si="190"/>
        <v>1</v>
      </c>
      <c r="L505">
        <f t="shared" si="190"/>
        <v>2</v>
      </c>
      <c r="M505">
        <f t="shared" si="190"/>
        <v>3</v>
      </c>
      <c r="N505">
        <f t="shared" si="190"/>
        <v>4</v>
      </c>
      <c r="O505">
        <f t="shared" si="190"/>
        <v>0</v>
      </c>
      <c r="P505">
        <f t="shared" si="191"/>
        <v>1</v>
      </c>
      <c r="Q505">
        <f t="shared" si="191"/>
        <v>2</v>
      </c>
      <c r="R505">
        <f t="shared" si="191"/>
        <v>2</v>
      </c>
      <c r="S505">
        <f t="shared" si="191"/>
        <v>4</v>
      </c>
      <c r="T505">
        <f t="shared" si="191"/>
        <v>2</v>
      </c>
      <c r="U505">
        <f t="shared" si="191"/>
        <v>3</v>
      </c>
      <c r="V505">
        <f t="shared" si="191"/>
        <v>0</v>
      </c>
      <c r="W505">
        <f t="shared" si="191"/>
        <v>2</v>
      </c>
      <c r="X505">
        <f t="shared" si="191"/>
        <v>2</v>
      </c>
      <c r="Y505">
        <f t="shared" si="191"/>
        <v>4</v>
      </c>
      <c r="Z505">
        <f t="shared" si="192"/>
        <v>0</v>
      </c>
      <c r="AA505">
        <f t="shared" si="192"/>
        <v>1</v>
      </c>
      <c r="AB505">
        <f t="shared" si="192"/>
        <v>1</v>
      </c>
      <c r="AC505">
        <f t="shared" si="192"/>
        <v>0</v>
      </c>
      <c r="AD505">
        <f t="shared" si="192"/>
        <v>1</v>
      </c>
      <c r="AE505">
        <f t="shared" si="192"/>
        <v>0</v>
      </c>
      <c r="AF505" s="56">
        <f t="shared" si="172"/>
        <v>19</v>
      </c>
      <c r="AG505" s="59">
        <f t="shared" si="173"/>
        <v>5.7</v>
      </c>
      <c r="AH505">
        <f t="shared" si="174"/>
        <v>0.3</v>
      </c>
    </row>
    <row r="506" spans="1:34" ht="15" x14ac:dyDescent="0.2">
      <c r="A506">
        <v>37</v>
      </c>
      <c r="B506" s="57" t="s">
        <v>102</v>
      </c>
      <c r="C506" s="57"/>
      <c r="D506">
        <f t="shared" si="170"/>
        <v>57</v>
      </c>
      <c r="E506" s="1">
        <f t="shared" si="171"/>
        <v>11</v>
      </c>
      <c r="F506">
        <f t="shared" si="190"/>
        <v>2</v>
      </c>
      <c r="G506">
        <f t="shared" si="190"/>
        <v>1</v>
      </c>
      <c r="H506">
        <f t="shared" si="190"/>
        <v>1</v>
      </c>
      <c r="I506">
        <f t="shared" si="190"/>
        <v>3</v>
      </c>
      <c r="J506">
        <f t="shared" si="190"/>
        <v>6</v>
      </c>
      <c r="K506">
        <f t="shared" si="190"/>
        <v>2</v>
      </c>
      <c r="L506">
        <f t="shared" si="190"/>
        <v>1</v>
      </c>
      <c r="M506">
        <f t="shared" si="190"/>
        <v>1</v>
      </c>
      <c r="N506">
        <f t="shared" si="190"/>
        <v>6</v>
      </c>
      <c r="O506">
        <f t="shared" si="190"/>
        <v>0</v>
      </c>
      <c r="P506">
        <f t="shared" si="191"/>
        <v>0</v>
      </c>
      <c r="Q506">
        <f t="shared" si="191"/>
        <v>2</v>
      </c>
      <c r="R506">
        <f t="shared" si="191"/>
        <v>1</v>
      </c>
      <c r="S506">
        <f t="shared" si="191"/>
        <v>3</v>
      </c>
      <c r="T506">
        <f t="shared" si="191"/>
        <v>3</v>
      </c>
      <c r="U506">
        <f t="shared" si="191"/>
        <v>0</v>
      </c>
      <c r="V506">
        <f t="shared" si="191"/>
        <v>0</v>
      </c>
      <c r="W506">
        <f t="shared" si="191"/>
        <v>2</v>
      </c>
      <c r="X506">
        <f t="shared" si="191"/>
        <v>2</v>
      </c>
      <c r="Y506">
        <f t="shared" si="191"/>
        <v>2</v>
      </c>
      <c r="Z506">
        <f t="shared" si="192"/>
        <v>3</v>
      </c>
      <c r="AA506">
        <f t="shared" si="192"/>
        <v>1</v>
      </c>
      <c r="AB506">
        <f t="shared" si="192"/>
        <v>3</v>
      </c>
      <c r="AC506">
        <f t="shared" si="192"/>
        <v>0</v>
      </c>
      <c r="AD506">
        <f t="shared" si="192"/>
        <v>0</v>
      </c>
      <c r="AE506">
        <f t="shared" si="192"/>
        <v>0</v>
      </c>
      <c r="AF506" s="56">
        <f t="shared" si="172"/>
        <v>19</v>
      </c>
      <c r="AG506" s="59">
        <f t="shared" si="173"/>
        <v>5.1818181818181817</v>
      </c>
      <c r="AH506">
        <f t="shared" si="174"/>
        <v>0.27272727272727271</v>
      </c>
    </row>
    <row r="507" spans="1:34" ht="15" x14ac:dyDescent="0.2">
      <c r="A507">
        <v>564</v>
      </c>
      <c r="B507" s="57" t="s">
        <v>586</v>
      </c>
      <c r="C507" s="57"/>
      <c r="D507">
        <f t="shared" si="170"/>
        <v>56</v>
      </c>
      <c r="E507" s="1">
        <f t="shared" si="171"/>
        <v>9</v>
      </c>
      <c r="F507">
        <f t="shared" si="190"/>
        <v>2</v>
      </c>
      <c r="G507">
        <f t="shared" si="190"/>
        <v>0</v>
      </c>
      <c r="H507">
        <f t="shared" si="190"/>
        <v>2</v>
      </c>
      <c r="I507">
        <f t="shared" si="190"/>
        <v>0</v>
      </c>
      <c r="J507">
        <f t="shared" si="190"/>
        <v>5</v>
      </c>
      <c r="K507">
        <f t="shared" si="190"/>
        <v>1</v>
      </c>
      <c r="L507">
        <f t="shared" si="190"/>
        <v>0</v>
      </c>
      <c r="M507">
        <f t="shared" si="190"/>
        <v>0</v>
      </c>
      <c r="N507">
        <f t="shared" si="190"/>
        <v>6</v>
      </c>
      <c r="O507">
        <f t="shared" si="190"/>
        <v>0</v>
      </c>
      <c r="P507">
        <f t="shared" si="191"/>
        <v>0</v>
      </c>
      <c r="Q507">
        <f t="shared" si="191"/>
        <v>6</v>
      </c>
      <c r="R507">
        <f t="shared" si="191"/>
        <v>3</v>
      </c>
      <c r="S507">
        <f t="shared" si="191"/>
        <v>1</v>
      </c>
      <c r="T507">
        <f t="shared" si="191"/>
        <v>4</v>
      </c>
      <c r="U507">
        <f t="shared" si="191"/>
        <v>5</v>
      </c>
      <c r="V507">
        <f t="shared" si="191"/>
        <v>0</v>
      </c>
      <c r="W507">
        <f t="shared" si="191"/>
        <v>3</v>
      </c>
      <c r="X507">
        <f t="shared" si="191"/>
        <v>2</v>
      </c>
      <c r="Y507">
        <f t="shared" si="191"/>
        <v>3</v>
      </c>
      <c r="Z507">
        <f t="shared" si="192"/>
        <v>2</v>
      </c>
      <c r="AA507">
        <f t="shared" si="192"/>
        <v>0</v>
      </c>
      <c r="AB507">
        <f t="shared" si="192"/>
        <v>1</v>
      </c>
      <c r="AC507">
        <f t="shared" si="192"/>
        <v>0</v>
      </c>
      <c r="AD507">
        <f t="shared" si="192"/>
        <v>0</v>
      </c>
      <c r="AE507">
        <f t="shared" si="192"/>
        <v>0</v>
      </c>
      <c r="AF507" s="56">
        <f t="shared" si="172"/>
        <v>15</v>
      </c>
      <c r="AG507" s="59">
        <f t="shared" si="173"/>
        <v>6.2222222222222223</v>
      </c>
      <c r="AH507">
        <f t="shared" si="174"/>
        <v>0.4148148148148148</v>
      </c>
    </row>
    <row r="508" spans="1:34" ht="15" x14ac:dyDescent="0.2">
      <c r="A508">
        <v>283</v>
      </c>
      <c r="B508" s="57" t="s">
        <v>345</v>
      </c>
      <c r="C508" s="57"/>
      <c r="D508">
        <f t="shared" si="170"/>
        <v>56</v>
      </c>
      <c r="E508" s="1">
        <f t="shared" si="171"/>
        <v>10</v>
      </c>
      <c r="F508">
        <f t="shared" si="190"/>
        <v>6</v>
      </c>
      <c r="G508">
        <f t="shared" si="190"/>
        <v>0</v>
      </c>
      <c r="H508">
        <f t="shared" si="190"/>
        <v>0</v>
      </c>
      <c r="I508">
        <f t="shared" si="190"/>
        <v>2</v>
      </c>
      <c r="J508">
        <f t="shared" si="190"/>
        <v>6</v>
      </c>
      <c r="K508">
        <f t="shared" si="190"/>
        <v>0</v>
      </c>
      <c r="L508">
        <f t="shared" si="190"/>
        <v>3</v>
      </c>
      <c r="M508">
        <f t="shared" si="190"/>
        <v>1</v>
      </c>
      <c r="N508">
        <f t="shared" si="190"/>
        <v>4</v>
      </c>
      <c r="O508">
        <f t="shared" si="190"/>
        <v>0</v>
      </c>
      <c r="P508">
        <f t="shared" si="191"/>
        <v>0</v>
      </c>
      <c r="Q508">
        <f t="shared" si="191"/>
        <v>4</v>
      </c>
      <c r="R508">
        <f t="shared" si="191"/>
        <v>0</v>
      </c>
      <c r="S508">
        <f t="shared" si="191"/>
        <v>5</v>
      </c>
      <c r="T508">
        <f t="shared" si="191"/>
        <v>2</v>
      </c>
      <c r="U508">
        <f t="shared" si="191"/>
        <v>2</v>
      </c>
      <c r="V508">
        <f t="shared" si="191"/>
        <v>0</v>
      </c>
      <c r="W508">
        <f t="shared" si="191"/>
        <v>3</v>
      </c>
      <c r="X508">
        <f t="shared" si="191"/>
        <v>2</v>
      </c>
      <c r="Y508">
        <f t="shared" si="191"/>
        <v>3</v>
      </c>
      <c r="Z508">
        <f t="shared" si="192"/>
        <v>1</v>
      </c>
      <c r="AA508">
        <f t="shared" si="192"/>
        <v>0</v>
      </c>
      <c r="AB508">
        <f t="shared" si="192"/>
        <v>0</v>
      </c>
      <c r="AC508">
        <f t="shared" si="192"/>
        <v>1</v>
      </c>
      <c r="AD508">
        <f t="shared" si="192"/>
        <v>0</v>
      </c>
      <c r="AE508">
        <f t="shared" si="192"/>
        <v>0</v>
      </c>
      <c r="AF508" s="56">
        <f t="shared" si="172"/>
        <v>15</v>
      </c>
      <c r="AG508" s="59">
        <f t="shared" si="173"/>
        <v>5.6</v>
      </c>
      <c r="AH508">
        <f t="shared" si="174"/>
        <v>0.37333333333333329</v>
      </c>
    </row>
    <row r="509" spans="1:34" ht="15" x14ac:dyDescent="0.2">
      <c r="A509">
        <v>194</v>
      </c>
      <c r="B509" s="57" t="s">
        <v>258</v>
      </c>
      <c r="C509" s="57"/>
      <c r="D509">
        <f t="shared" si="170"/>
        <v>56</v>
      </c>
      <c r="E509" s="1">
        <f t="shared" si="171"/>
        <v>9</v>
      </c>
      <c r="F509">
        <f t="shared" si="190"/>
        <v>2</v>
      </c>
      <c r="G509">
        <f t="shared" si="190"/>
        <v>0</v>
      </c>
      <c r="H509">
        <f t="shared" si="190"/>
        <v>1</v>
      </c>
      <c r="I509">
        <f t="shared" si="190"/>
        <v>0</v>
      </c>
      <c r="J509">
        <f t="shared" si="190"/>
        <v>7</v>
      </c>
      <c r="K509">
        <f t="shared" si="190"/>
        <v>0</v>
      </c>
      <c r="L509">
        <f t="shared" si="190"/>
        <v>1</v>
      </c>
      <c r="M509">
        <f t="shared" si="190"/>
        <v>3</v>
      </c>
      <c r="N509">
        <f t="shared" si="190"/>
        <v>3</v>
      </c>
      <c r="O509">
        <f t="shared" si="190"/>
        <v>0</v>
      </c>
      <c r="P509">
        <f t="shared" si="191"/>
        <v>1</v>
      </c>
      <c r="Q509">
        <f t="shared" si="191"/>
        <v>3</v>
      </c>
      <c r="R509">
        <f t="shared" si="191"/>
        <v>1</v>
      </c>
      <c r="S509">
        <f t="shared" si="191"/>
        <v>5</v>
      </c>
      <c r="T509">
        <f t="shared" si="191"/>
        <v>3</v>
      </c>
      <c r="U509">
        <f t="shared" si="191"/>
        <v>1</v>
      </c>
      <c r="V509">
        <f t="shared" si="191"/>
        <v>0</v>
      </c>
      <c r="W509">
        <f t="shared" si="191"/>
        <v>3</v>
      </c>
      <c r="X509">
        <f t="shared" si="191"/>
        <v>1</v>
      </c>
      <c r="Y509">
        <f t="shared" si="191"/>
        <v>7</v>
      </c>
      <c r="Z509">
        <f t="shared" si="192"/>
        <v>1</v>
      </c>
      <c r="AA509">
        <f t="shared" si="192"/>
        <v>0</v>
      </c>
      <c r="AB509">
        <f t="shared" si="192"/>
        <v>0</v>
      </c>
      <c r="AC509">
        <f t="shared" si="192"/>
        <v>0</v>
      </c>
      <c r="AD509">
        <f t="shared" si="192"/>
        <v>3</v>
      </c>
      <c r="AE509">
        <f t="shared" si="192"/>
        <v>0</v>
      </c>
      <c r="AF509" s="56">
        <f t="shared" si="172"/>
        <v>17</v>
      </c>
      <c r="AG509" s="59">
        <f t="shared" si="173"/>
        <v>6.2222222222222223</v>
      </c>
      <c r="AH509">
        <f t="shared" si="174"/>
        <v>0.36601307189542487</v>
      </c>
    </row>
    <row r="510" spans="1:34" ht="15" x14ac:dyDescent="0.2">
      <c r="A510">
        <v>540</v>
      </c>
      <c r="B510" s="57" t="s">
        <v>569</v>
      </c>
      <c r="C510" s="57"/>
      <c r="D510">
        <f t="shared" si="170"/>
        <v>56</v>
      </c>
      <c r="E510" s="1">
        <f t="shared" si="171"/>
        <v>12</v>
      </c>
      <c r="F510">
        <f t="shared" si="190"/>
        <v>7</v>
      </c>
      <c r="G510">
        <f t="shared" si="190"/>
        <v>0</v>
      </c>
      <c r="H510">
        <f t="shared" si="190"/>
        <v>1</v>
      </c>
      <c r="I510">
        <f t="shared" si="190"/>
        <v>2</v>
      </c>
      <c r="J510">
        <f t="shared" si="190"/>
        <v>5</v>
      </c>
      <c r="K510">
        <f t="shared" si="190"/>
        <v>2</v>
      </c>
      <c r="L510">
        <f t="shared" si="190"/>
        <v>0</v>
      </c>
      <c r="M510">
        <f t="shared" si="190"/>
        <v>0</v>
      </c>
      <c r="N510">
        <f t="shared" si="190"/>
        <v>3</v>
      </c>
      <c r="O510">
        <f t="shared" si="190"/>
        <v>1</v>
      </c>
      <c r="P510">
        <f t="shared" si="191"/>
        <v>2</v>
      </c>
      <c r="Q510">
        <f t="shared" si="191"/>
        <v>3</v>
      </c>
      <c r="R510">
        <f t="shared" si="191"/>
        <v>1</v>
      </c>
      <c r="S510">
        <f t="shared" si="191"/>
        <v>3</v>
      </c>
      <c r="T510">
        <f t="shared" si="191"/>
        <v>3</v>
      </c>
      <c r="U510">
        <f t="shared" si="191"/>
        <v>0</v>
      </c>
      <c r="V510">
        <f t="shared" si="191"/>
        <v>0</v>
      </c>
      <c r="W510">
        <f t="shared" si="191"/>
        <v>2</v>
      </c>
      <c r="X510">
        <f t="shared" si="191"/>
        <v>1</v>
      </c>
      <c r="Y510">
        <f t="shared" si="191"/>
        <v>3</v>
      </c>
      <c r="Z510">
        <f t="shared" si="192"/>
        <v>0</v>
      </c>
      <c r="AA510">
        <f t="shared" si="192"/>
        <v>1</v>
      </c>
      <c r="AB510">
        <f t="shared" si="192"/>
        <v>0</v>
      </c>
      <c r="AC510">
        <f t="shared" si="192"/>
        <v>1</v>
      </c>
      <c r="AD510">
        <f t="shared" si="192"/>
        <v>2</v>
      </c>
      <c r="AE510">
        <f t="shared" si="192"/>
        <v>0</v>
      </c>
      <c r="AF510" s="56">
        <f t="shared" si="172"/>
        <v>18</v>
      </c>
      <c r="AG510" s="59">
        <f t="shared" si="173"/>
        <v>4.666666666666667</v>
      </c>
      <c r="AH510">
        <f t="shared" si="174"/>
        <v>0.2592592592592593</v>
      </c>
    </row>
    <row r="511" spans="1:34" ht="15" x14ac:dyDescent="0.2">
      <c r="A511">
        <v>34</v>
      </c>
      <c r="B511" s="57" t="s">
        <v>99</v>
      </c>
      <c r="C511" s="57"/>
      <c r="D511">
        <f t="shared" si="170"/>
        <v>56</v>
      </c>
      <c r="E511" s="1">
        <f t="shared" si="171"/>
        <v>11</v>
      </c>
      <c r="F511">
        <f t="shared" si="190"/>
        <v>1</v>
      </c>
      <c r="G511">
        <f t="shared" si="190"/>
        <v>1</v>
      </c>
      <c r="H511">
        <f t="shared" si="190"/>
        <v>1</v>
      </c>
      <c r="I511">
        <f t="shared" si="190"/>
        <v>4</v>
      </c>
      <c r="J511">
        <f t="shared" si="190"/>
        <v>3</v>
      </c>
      <c r="K511">
        <f t="shared" si="190"/>
        <v>0</v>
      </c>
      <c r="L511">
        <f t="shared" si="190"/>
        <v>1</v>
      </c>
      <c r="M511">
        <f t="shared" si="190"/>
        <v>2</v>
      </c>
      <c r="N511">
        <f t="shared" si="190"/>
        <v>6</v>
      </c>
      <c r="O511">
        <f t="shared" si="190"/>
        <v>0</v>
      </c>
      <c r="P511">
        <f t="shared" si="191"/>
        <v>1</v>
      </c>
      <c r="Q511">
        <f t="shared" si="191"/>
        <v>3</v>
      </c>
      <c r="R511">
        <f t="shared" si="191"/>
        <v>0</v>
      </c>
      <c r="S511">
        <f t="shared" si="191"/>
        <v>4</v>
      </c>
      <c r="T511">
        <f t="shared" si="191"/>
        <v>5</v>
      </c>
      <c r="U511">
        <f t="shared" si="191"/>
        <v>0</v>
      </c>
      <c r="V511">
        <f t="shared" si="191"/>
        <v>0</v>
      </c>
      <c r="W511">
        <f t="shared" si="191"/>
        <v>2</v>
      </c>
      <c r="X511">
        <f t="shared" si="191"/>
        <v>1</v>
      </c>
      <c r="Y511">
        <f t="shared" si="191"/>
        <v>4</v>
      </c>
      <c r="Z511">
        <f t="shared" si="192"/>
        <v>2</v>
      </c>
      <c r="AA511">
        <f t="shared" si="192"/>
        <v>0</v>
      </c>
      <c r="AB511">
        <f t="shared" si="192"/>
        <v>2</v>
      </c>
      <c r="AC511">
        <f t="shared" si="192"/>
        <v>0</v>
      </c>
      <c r="AD511">
        <f t="shared" si="192"/>
        <v>2</v>
      </c>
      <c r="AE511">
        <f t="shared" si="192"/>
        <v>0</v>
      </c>
      <c r="AF511" s="56">
        <f t="shared" si="172"/>
        <v>18</v>
      </c>
      <c r="AG511" s="59">
        <f t="shared" si="173"/>
        <v>5.0909090909090908</v>
      </c>
      <c r="AH511">
        <f t="shared" si="174"/>
        <v>0.28282828282828282</v>
      </c>
    </row>
    <row r="512" spans="1:34" ht="15" x14ac:dyDescent="0.2">
      <c r="A512">
        <v>1</v>
      </c>
      <c r="B512" s="57" t="s">
        <v>67</v>
      </c>
      <c r="C512" s="57"/>
      <c r="D512">
        <f t="shared" si="170"/>
        <v>56</v>
      </c>
      <c r="E512" s="1">
        <f t="shared" si="171"/>
        <v>11</v>
      </c>
      <c r="F512">
        <f t="shared" ref="F512:O521" si="193">LEN($B512)-LEN(SUBSTITUTE($B512,F$1,""))</f>
        <v>4</v>
      </c>
      <c r="G512">
        <f t="shared" si="193"/>
        <v>0</v>
      </c>
      <c r="H512">
        <f t="shared" si="193"/>
        <v>0</v>
      </c>
      <c r="I512">
        <f t="shared" si="193"/>
        <v>1</v>
      </c>
      <c r="J512">
        <f t="shared" si="193"/>
        <v>3</v>
      </c>
      <c r="K512">
        <f t="shared" si="193"/>
        <v>5</v>
      </c>
      <c r="L512">
        <f t="shared" si="193"/>
        <v>0</v>
      </c>
      <c r="M512">
        <f t="shared" si="193"/>
        <v>2</v>
      </c>
      <c r="N512">
        <f t="shared" si="193"/>
        <v>2</v>
      </c>
      <c r="O512">
        <f t="shared" si="193"/>
        <v>0</v>
      </c>
      <c r="P512">
        <f t="shared" ref="P512:Y521" si="194">LEN($B512)-LEN(SUBSTITUTE($B512,P$1,""))</f>
        <v>1</v>
      </c>
      <c r="Q512">
        <f t="shared" si="194"/>
        <v>1</v>
      </c>
      <c r="R512">
        <f t="shared" si="194"/>
        <v>0</v>
      </c>
      <c r="S512">
        <f t="shared" si="194"/>
        <v>3</v>
      </c>
      <c r="T512">
        <f t="shared" si="194"/>
        <v>4</v>
      </c>
      <c r="U512">
        <f t="shared" si="194"/>
        <v>2</v>
      </c>
      <c r="V512">
        <f t="shared" si="194"/>
        <v>0</v>
      </c>
      <c r="W512">
        <f t="shared" si="194"/>
        <v>3</v>
      </c>
      <c r="X512">
        <f t="shared" si="194"/>
        <v>4</v>
      </c>
      <c r="Y512">
        <f t="shared" si="194"/>
        <v>2</v>
      </c>
      <c r="Z512">
        <f t="shared" ref="Z512:AE521" si="195">LEN($B512)-LEN(SUBSTITUTE($B512,Z$1,""))</f>
        <v>2</v>
      </c>
      <c r="AA512">
        <f t="shared" si="195"/>
        <v>0</v>
      </c>
      <c r="AB512">
        <f t="shared" si="195"/>
        <v>2</v>
      </c>
      <c r="AC512">
        <f t="shared" si="195"/>
        <v>0</v>
      </c>
      <c r="AD512">
        <f t="shared" si="195"/>
        <v>2</v>
      </c>
      <c r="AE512">
        <f t="shared" si="195"/>
        <v>1</v>
      </c>
      <c r="AF512" s="56">
        <f t="shared" si="172"/>
        <v>18</v>
      </c>
      <c r="AG512" s="59">
        <f t="shared" si="173"/>
        <v>5.0909090909090908</v>
      </c>
      <c r="AH512">
        <f t="shared" si="174"/>
        <v>0.28282828282828282</v>
      </c>
    </row>
    <row r="513" spans="1:34" ht="15" x14ac:dyDescent="0.2">
      <c r="A513">
        <v>45</v>
      </c>
      <c r="B513" s="57" t="s">
        <v>110</v>
      </c>
      <c r="C513" s="57"/>
      <c r="D513">
        <f t="shared" si="170"/>
        <v>56</v>
      </c>
      <c r="E513" s="1">
        <f t="shared" si="171"/>
        <v>11</v>
      </c>
      <c r="F513">
        <f t="shared" si="193"/>
        <v>3</v>
      </c>
      <c r="G513">
        <f t="shared" si="193"/>
        <v>2</v>
      </c>
      <c r="H513">
        <f t="shared" si="193"/>
        <v>2</v>
      </c>
      <c r="I513">
        <f t="shared" si="193"/>
        <v>2</v>
      </c>
      <c r="J513">
        <f t="shared" si="193"/>
        <v>8</v>
      </c>
      <c r="K513">
        <f t="shared" si="193"/>
        <v>1</v>
      </c>
      <c r="L513">
        <f t="shared" si="193"/>
        <v>0</v>
      </c>
      <c r="M513">
        <f t="shared" si="193"/>
        <v>0</v>
      </c>
      <c r="N513">
        <f t="shared" si="193"/>
        <v>2</v>
      </c>
      <c r="O513">
        <f t="shared" si="193"/>
        <v>1</v>
      </c>
      <c r="P513">
        <f t="shared" si="194"/>
        <v>0</v>
      </c>
      <c r="Q513">
        <f t="shared" si="194"/>
        <v>3</v>
      </c>
      <c r="R513">
        <f t="shared" si="194"/>
        <v>0</v>
      </c>
      <c r="S513">
        <f t="shared" si="194"/>
        <v>2</v>
      </c>
      <c r="T513">
        <f t="shared" si="194"/>
        <v>4</v>
      </c>
      <c r="U513">
        <f t="shared" si="194"/>
        <v>0</v>
      </c>
      <c r="V513">
        <f t="shared" si="194"/>
        <v>0</v>
      </c>
      <c r="W513">
        <f t="shared" si="194"/>
        <v>2</v>
      </c>
      <c r="X513">
        <f t="shared" si="194"/>
        <v>3</v>
      </c>
      <c r="Y513">
        <f t="shared" si="194"/>
        <v>1</v>
      </c>
      <c r="Z513">
        <f t="shared" si="195"/>
        <v>3</v>
      </c>
      <c r="AA513">
        <f t="shared" si="195"/>
        <v>1</v>
      </c>
      <c r="AB513">
        <f t="shared" si="195"/>
        <v>1</v>
      </c>
      <c r="AC513">
        <f t="shared" si="195"/>
        <v>0</v>
      </c>
      <c r="AD513">
        <f t="shared" si="195"/>
        <v>1</v>
      </c>
      <c r="AE513">
        <f t="shared" si="195"/>
        <v>2</v>
      </c>
      <c r="AF513" s="56">
        <f t="shared" si="172"/>
        <v>19</v>
      </c>
      <c r="AG513" s="59">
        <f t="shared" si="173"/>
        <v>5.0909090909090908</v>
      </c>
      <c r="AH513">
        <f t="shared" si="174"/>
        <v>0.26794258373205743</v>
      </c>
    </row>
    <row r="514" spans="1:34" ht="15" x14ac:dyDescent="0.2">
      <c r="A514">
        <v>467</v>
      </c>
      <c r="B514" s="57" t="s">
        <v>506</v>
      </c>
      <c r="C514" s="57"/>
      <c r="D514">
        <f t="shared" ref="D514:D577" si="196">LEN(B514)</f>
        <v>55</v>
      </c>
      <c r="E514" s="1">
        <f t="shared" ref="E514:E577" si="197">IF(LEN(TRIM(B514))=0,0,LEN(TRIM(B514))-LEN(SUBSTITUTE(B514," ",""))+1)</f>
        <v>9</v>
      </c>
      <c r="F514">
        <f t="shared" si="193"/>
        <v>6</v>
      </c>
      <c r="G514">
        <f t="shared" si="193"/>
        <v>1</v>
      </c>
      <c r="H514">
        <f t="shared" si="193"/>
        <v>2</v>
      </c>
      <c r="I514">
        <f t="shared" si="193"/>
        <v>1</v>
      </c>
      <c r="J514">
        <f t="shared" si="193"/>
        <v>2</v>
      </c>
      <c r="K514">
        <f t="shared" si="193"/>
        <v>0</v>
      </c>
      <c r="L514">
        <f t="shared" si="193"/>
        <v>2</v>
      </c>
      <c r="M514">
        <f t="shared" si="193"/>
        <v>0</v>
      </c>
      <c r="N514">
        <f t="shared" si="193"/>
        <v>3</v>
      </c>
      <c r="O514">
        <f t="shared" si="193"/>
        <v>0</v>
      </c>
      <c r="P514">
        <f t="shared" si="194"/>
        <v>0</v>
      </c>
      <c r="Q514">
        <f t="shared" si="194"/>
        <v>2</v>
      </c>
      <c r="R514">
        <f t="shared" si="194"/>
        <v>0</v>
      </c>
      <c r="S514">
        <f t="shared" si="194"/>
        <v>0</v>
      </c>
      <c r="T514">
        <f t="shared" si="194"/>
        <v>5</v>
      </c>
      <c r="U514">
        <f t="shared" si="194"/>
        <v>3</v>
      </c>
      <c r="V514">
        <f t="shared" si="194"/>
        <v>0</v>
      </c>
      <c r="W514">
        <f t="shared" si="194"/>
        <v>3</v>
      </c>
      <c r="X514">
        <f t="shared" si="194"/>
        <v>7</v>
      </c>
      <c r="Y514">
        <f t="shared" si="194"/>
        <v>6</v>
      </c>
      <c r="Z514">
        <f t="shared" si="195"/>
        <v>0</v>
      </c>
      <c r="AA514">
        <f t="shared" si="195"/>
        <v>0</v>
      </c>
      <c r="AB514">
        <f t="shared" si="195"/>
        <v>0</v>
      </c>
      <c r="AC514">
        <f t="shared" si="195"/>
        <v>0</v>
      </c>
      <c r="AD514">
        <f t="shared" si="195"/>
        <v>1</v>
      </c>
      <c r="AE514">
        <f t="shared" si="195"/>
        <v>0</v>
      </c>
      <c r="AF514" s="56">
        <f t="shared" ref="AF514:AF577" si="198">26-COUNTIF(F514:AE514,0)</f>
        <v>14</v>
      </c>
      <c r="AG514" s="59">
        <f t="shared" ref="AG514:AG577" si="199">D514/E514</f>
        <v>6.1111111111111107</v>
      </c>
      <c r="AH514">
        <f t="shared" ref="AH514:AH577" si="200">AG514/AF514</f>
        <v>0.43650793650793646</v>
      </c>
    </row>
    <row r="515" spans="1:34" ht="15" x14ac:dyDescent="0.2">
      <c r="A515">
        <v>2</v>
      </c>
      <c r="B515" s="57" t="s">
        <v>68</v>
      </c>
      <c r="C515" s="57"/>
      <c r="D515">
        <f t="shared" si="196"/>
        <v>55</v>
      </c>
      <c r="E515" s="1">
        <f t="shared" si="197"/>
        <v>11</v>
      </c>
      <c r="F515">
        <f t="shared" si="193"/>
        <v>2</v>
      </c>
      <c r="G515">
        <f t="shared" si="193"/>
        <v>0</v>
      </c>
      <c r="H515">
        <f t="shared" si="193"/>
        <v>0</v>
      </c>
      <c r="I515">
        <f t="shared" si="193"/>
        <v>0</v>
      </c>
      <c r="J515">
        <f t="shared" si="193"/>
        <v>6</v>
      </c>
      <c r="K515">
        <f t="shared" si="193"/>
        <v>3</v>
      </c>
      <c r="L515">
        <f t="shared" si="193"/>
        <v>0</v>
      </c>
      <c r="M515">
        <f t="shared" si="193"/>
        <v>2</v>
      </c>
      <c r="N515">
        <f t="shared" si="193"/>
        <v>1</v>
      </c>
      <c r="O515">
        <f t="shared" si="193"/>
        <v>0</v>
      </c>
      <c r="P515">
        <f t="shared" si="194"/>
        <v>1</v>
      </c>
      <c r="Q515">
        <f t="shared" si="194"/>
        <v>2</v>
      </c>
      <c r="R515">
        <f t="shared" si="194"/>
        <v>1</v>
      </c>
      <c r="S515">
        <f t="shared" si="194"/>
        <v>1</v>
      </c>
      <c r="T515">
        <f t="shared" si="194"/>
        <v>7</v>
      </c>
      <c r="U515">
        <f t="shared" si="194"/>
        <v>5</v>
      </c>
      <c r="V515">
        <f t="shared" si="194"/>
        <v>0</v>
      </c>
      <c r="W515">
        <f t="shared" si="194"/>
        <v>2</v>
      </c>
      <c r="X515">
        <f t="shared" si="194"/>
        <v>0</v>
      </c>
      <c r="Y515">
        <f t="shared" si="194"/>
        <v>4</v>
      </c>
      <c r="Z515">
        <f t="shared" si="195"/>
        <v>4</v>
      </c>
      <c r="AA515">
        <f t="shared" si="195"/>
        <v>0</v>
      </c>
      <c r="AB515">
        <f t="shared" si="195"/>
        <v>0</v>
      </c>
      <c r="AC515">
        <f t="shared" si="195"/>
        <v>0</v>
      </c>
      <c r="AD515">
        <f t="shared" si="195"/>
        <v>0</v>
      </c>
      <c r="AE515">
        <f t="shared" si="195"/>
        <v>0</v>
      </c>
      <c r="AF515" s="56">
        <f t="shared" si="198"/>
        <v>14</v>
      </c>
      <c r="AG515" s="59">
        <f t="shared" si="199"/>
        <v>5</v>
      </c>
      <c r="AH515">
        <f t="shared" si="200"/>
        <v>0.35714285714285715</v>
      </c>
    </row>
    <row r="516" spans="1:34" ht="15" x14ac:dyDescent="0.2">
      <c r="A516">
        <v>507</v>
      </c>
      <c r="B516" s="57" t="s">
        <v>542</v>
      </c>
      <c r="C516" s="57"/>
      <c r="D516">
        <f t="shared" si="196"/>
        <v>55</v>
      </c>
      <c r="E516" s="1">
        <f t="shared" si="197"/>
        <v>11</v>
      </c>
      <c r="F516">
        <f t="shared" si="193"/>
        <v>2</v>
      </c>
      <c r="G516">
        <f t="shared" si="193"/>
        <v>3</v>
      </c>
      <c r="H516">
        <f t="shared" si="193"/>
        <v>0</v>
      </c>
      <c r="I516">
        <f t="shared" si="193"/>
        <v>1</v>
      </c>
      <c r="J516">
        <f t="shared" si="193"/>
        <v>3</v>
      </c>
      <c r="K516">
        <f t="shared" si="193"/>
        <v>1</v>
      </c>
      <c r="L516">
        <f t="shared" si="193"/>
        <v>3</v>
      </c>
      <c r="M516">
        <f t="shared" si="193"/>
        <v>2</v>
      </c>
      <c r="N516">
        <f t="shared" si="193"/>
        <v>1</v>
      </c>
      <c r="O516">
        <f t="shared" si="193"/>
        <v>0</v>
      </c>
      <c r="P516">
        <f t="shared" si="194"/>
        <v>1</v>
      </c>
      <c r="Q516">
        <f t="shared" si="194"/>
        <v>2</v>
      </c>
      <c r="R516">
        <f t="shared" si="194"/>
        <v>0</v>
      </c>
      <c r="S516">
        <f t="shared" si="194"/>
        <v>2</v>
      </c>
      <c r="T516">
        <f t="shared" si="194"/>
        <v>5</v>
      </c>
      <c r="U516">
        <f t="shared" si="194"/>
        <v>0</v>
      </c>
      <c r="V516">
        <f t="shared" si="194"/>
        <v>0</v>
      </c>
      <c r="W516">
        <f t="shared" si="194"/>
        <v>1</v>
      </c>
      <c r="X516">
        <f t="shared" si="194"/>
        <v>1</v>
      </c>
      <c r="Y516">
        <f t="shared" si="194"/>
        <v>3</v>
      </c>
      <c r="Z516">
        <f t="shared" si="195"/>
        <v>2</v>
      </c>
      <c r="AA516">
        <f t="shared" si="195"/>
        <v>0</v>
      </c>
      <c r="AB516">
        <f t="shared" si="195"/>
        <v>0</v>
      </c>
      <c r="AC516">
        <f t="shared" si="195"/>
        <v>0</v>
      </c>
      <c r="AD516">
        <f t="shared" si="195"/>
        <v>2</v>
      </c>
      <c r="AE516">
        <f t="shared" si="195"/>
        <v>0</v>
      </c>
      <c r="AF516" s="56">
        <f t="shared" si="198"/>
        <v>17</v>
      </c>
      <c r="AG516" s="59">
        <f t="shared" si="199"/>
        <v>5</v>
      </c>
      <c r="AH516">
        <f t="shared" si="200"/>
        <v>0.29411764705882354</v>
      </c>
    </row>
    <row r="517" spans="1:34" ht="15" x14ac:dyDescent="0.2">
      <c r="A517">
        <v>41</v>
      </c>
      <c r="B517" s="57" t="s">
        <v>106</v>
      </c>
      <c r="C517" s="57"/>
      <c r="D517">
        <f t="shared" si="196"/>
        <v>55</v>
      </c>
      <c r="E517" s="1">
        <f t="shared" si="197"/>
        <v>8</v>
      </c>
      <c r="F517">
        <f t="shared" si="193"/>
        <v>4</v>
      </c>
      <c r="G517">
        <f t="shared" si="193"/>
        <v>0</v>
      </c>
      <c r="H517">
        <f t="shared" si="193"/>
        <v>1</v>
      </c>
      <c r="I517">
        <f t="shared" si="193"/>
        <v>2</v>
      </c>
      <c r="J517">
        <f t="shared" si="193"/>
        <v>7</v>
      </c>
      <c r="K517">
        <f t="shared" si="193"/>
        <v>0</v>
      </c>
      <c r="L517">
        <f t="shared" si="193"/>
        <v>1</v>
      </c>
      <c r="M517">
        <f t="shared" si="193"/>
        <v>2</v>
      </c>
      <c r="N517">
        <f t="shared" si="193"/>
        <v>4</v>
      </c>
      <c r="O517">
        <f t="shared" si="193"/>
        <v>1</v>
      </c>
      <c r="P517">
        <f t="shared" si="194"/>
        <v>1</v>
      </c>
      <c r="Q517">
        <f t="shared" si="194"/>
        <v>2</v>
      </c>
      <c r="R517">
        <f t="shared" si="194"/>
        <v>1</v>
      </c>
      <c r="S517">
        <f t="shared" si="194"/>
        <v>6</v>
      </c>
      <c r="T517">
        <f t="shared" si="194"/>
        <v>1</v>
      </c>
      <c r="U517">
        <f t="shared" si="194"/>
        <v>0</v>
      </c>
      <c r="V517">
        <f t="shared" si="194"/>
        <v>0</v>
      </c>
      <c r="W517">
        <f t="shared" si="194"/>
        <v>2</v>
      </c>
      <c r="X517">
        <f t="shared" si="194"/>
        <v>2</v>
      </c>
      <c r="Y517">
        <f t="shared" si="194"/>
        <v>7</v>
      </c>
      <c r="Z517">
        <f t="shared" si="195"/>
        <v>3</v>
      </c>
      <c r="AA517">
        <f t="shared" si="195"/>
        <v>0</v>
      </c>
      <c r="AB517">
        <f t="shared" si="195"/>
        <v>0</v>
      </c>
      <c r="AC517">
        <f t="shared" si="195"/>
        <v>0</v>
      </c>
      <c r="AD517">
        <f t="shared" si="195"/>
        <v>0</v>
      </c>
      <c r="AE517">
        <f t="shared" si="195"/>
        <v>0</v>
      </c>
      <c r="AF517" s="56">
        <f t="shared" si="198"/>
        <v>17</v>
      </c>
      <c r="AG517" s="59">
        <f t="shared" si="199"/>
        <v>6.875</v>
      </c>
      <c r="AH517">
        <f t="shared" si="200"/>
        <v>0.40441176470588236</v>
      </c>
    </row>
    <row r="518" spans="1:34" ht="15" x14ac:dyDescent="0.2">
      <c r="A518">
        <v>28</v>
      </c>
      <c r="B518" s="57" t="s">
        <v>93</v>
      </c>
      <c r="C518" s="57"/>
      <c r="D518">
        <f t="shared" si="196"/>
        <v>55</v>
      </c>
      <c r="E518" s="1">
        <f t="shared" si="197"/>
        <v>10</v>
      </c>
      <c r="F518">
        <f t="shared" si="193"/>
        <v>0</v>
      </c>
      <c r="G518">
        <f t="shared" si="193"/>
        <v>1</v>
      </c>
      <c r="H518">
        <f t="shared" si="193"/>
        <v>2</v>
      </c>
      <c r="I518">
        <f t="shared" si="193"/>
        <v>1</v>
      </c>
      <c r="J518">
        <f t="shared" si="193"/>
        <v>5</v>
      </c>
      <c r="K518">
        <f t="shared" si="193"/>
        <v>0</v>
      </c>
      <c r="L518">
        <f t="shared" si="193"/>
        <v>1</v>
      </c>
      <c r="M518">
        <f t="shared" si="193"/>
        <v>3</v>
      </c>
      <c r="N518">
        <f t="shared" si="193"/>
        <v>3</v>
      </c>
      <c r="O518">
        <f t="shared" si="193"/>
        <v>0</v>
      </c>
      <c r="P518">
        <f t="shared" si="194"/>
        <v>1</v>
      </c>
      <c r="Q518">
        <f t="shared" si="194"/>
        <v>2</v>
      </c>
      <c r="R518">
        <f t="shared" si="194"/>
        <v>1</v>
      </c>
      <c r="S518">
        <f t="shared" si="194"/>
        <v>3</v>
      </c>
      <c r="T518">
        <f t="shared" si="194"/>
        <v>6</v>
      </c>
      <c r="U518">
        <f t="shared" si="194"/>
        <v>0</v>
      </c>
      <c r="V518">
        <f t="shared" si="194"/>
        <v>0</v>
      </c>
      <c r="W518">
        <f t="shared" si="194"/>
        <v>3</v>
      </c>
      <c r="X518">
        <f t="shared" si="194"/>
        <v>3</v>
      </c>
      <c r="Y518">
        <f t="shared" si="194"/>
        <v>2</v>
      </c>
      <c r="Z518">
        <f t="shared" si="195"/>
        <v>3</v>
      </c>
      <c r="AA518">
        <f t="shared" si="195"/>
        <v>0</v>
      </c>
      <c r="AB518">
        <f t="shared" si="195"/>
        <v>0</v>
      </c>
      <c r="AC518">
        <f t="shared" si="195"/>
        <v>0</v>
      </c>
      <c r="AD518">
        <f t="shared" si="195"/>
        <v>3</v>
      </c>
      <c r="AE518">
        <f t="shared" si="195"/>
        <v>0</v>
      </c>
      <c r="AF518" s="56">
        <f t="shared" si="198"/>
        <v>17</v>
      </c>
      <c r="AG518" s="59">
        <f t="shared" si="199"/>
        <v>5.5</v>
      </c>
      <c r="AH518">
        <f t="shared" si="200"/>
        <v>0.3235294117647059</v>
      </c>
    </row>
    <row r="519" spans="1:34" ht="15" x14ac:dyDescent="0.2">
      <c r="A519">
        <v>24</v>
      </c>
      <c r="B519" s="57" t="s">
        <v>89</v>
      </c>
      <c r="C519" s="57"/>
      <c r="D519">
        <f t="shared" si="196"/>
        <v>55</v>
      </c>
      <c r="E519" s="1">
        <f t="shared" si="197"/>
        <v>9</v>
      </c>
      <c r="F519">
        <f t="shared" si="193"/>
        <v>3</v>
      </c>
      <c r="G519">
        <f t="shared" si="193"/>
        <v>0</v>
      </c>
      <c r="H519">
        <f t="shared" si="193"/>
        <v>0</v>
      </c>
      <c r="I519">
        <f t="shared" si="193"/>
        <v>0</v>
      </c>
      <c r="J519">
        <f t="shared" si="193"/>
        <v>1</v>
      </c>
      <c r="K519">
        <f t="shared" si="193"/>
        <v>2</v>
      </c>
      <c r="L519">
        <f t="shared" si="193"/>
        <v>3</v>
      </c>
      <c r="M519">
        <f t="shared" si="193"/>
        <v>3</v>
      </c>
      <c r="N519">
        <f t="shared" si="193"/>
        <v>5</v>
      </c>
      <c r="O519">
        <f t="shared" si="193"/>
        <v>0</v>
      </c>
      <c r="P519">
        <f t="shared" si="194"/>
        <v>2</v>
      </c>
      <c r="Q519">
        <f t="shared" si="194"/>
        <v>1</v>
      </c>
      <c r="R519">
        <f t="shared" si="194"/>
        <v>1</v>
      </c>
      <c r="S519">
        <f t="shared" si="194"/>
        <v>5</v>
      </c>
      <c r="T519">
        <f t="shared" si="194"/>
        <v>4</v>
      </c>
      <c r="U519">
        <f t="shared" si="194"/>
        <v>0</v>
      </c>
      <c r="V519">
        <f t="shared" si="194"/>
        <v>0</v>
      </c>
      <c r="W519">
        <f t="shared" si="194"/>
        <v>3</v>
      </c>
      <c r="X519">
        <f t="shared" si="194"/>
        <v>3</v>
      </c>
      <c r="Y519">
        <f t="shared" si="194"/>
        <v>4</v>
      </c>
      <c r="Z519">
        <f t="shared" si="195"/>
        <v>2</v>
      </c>
      <c r="AA519">
        <f t="shared" si="195"/>
        <v>0</v>
      </c>
      <c r="AB519">
        <f t="shared" si="195"/>
        <v>2</v>
      </c>
      <c r="AC519">
        <f t="shared" si="195"/>
        <v>0</v>
      </c>
      <c r="AD519">
        <f t="shared" si="195"/>
        <v>2</v>
      </c>
      <c r="AE519">
        <f t="shared" si="195"/>
        <v>0</v>
      </c>
      <c r="AF519" s="56">
        <f t="shared" si="198"/>
        <v>17</v>
      </c>
      <c r="AG519" s="59">
        <f t="shared" si="199"/>
        <v>6.1111111111111107</v>
      </c>
      <c r="AH519">
        <f t="shared" si="200"/>
        <v>0.35947712418300654</v>
      </c>
    </row>
    <row r="520" spans="1:34" ht="15" x14ac:dyDescent="0.2">
      <c r="A520">
        <v>51</v>
      </c>
      <c r="B520" s="57" t="s">
        <v>116</v>
      </c>
      <c r="C520" s="57"/>
      <c r="D520">
        <f t="shared" si="196"/>
        <v>55</v>
      </c>
      <c r="E520" s="1">
        <f t="shared" si="197"/>
        <v>10</v>
      </c>
      <c r="F520">
        <f t="shared" si="193"/>
        <v>4</v>
      </c>
      <c r="G520">
        <f t="shared" si="193"/>
        <v>0</v>
      </c>
      <c r="H520">
        <f t="shared" si="193"/>
        <v>2</v>
      </c>
      <c r="I520">
        <f t="shared" si="193"/>
        <v>1</v>
      </c>
      <c r="J520">
        <f t="shared" si="193"/>
        <v>2</v>
      </c>
      <c r="K520">
        <f t="shared" si="193"/>
        <v>2</v>
      </c>
      <c r="L520">
        <f t="shared" si="193"/>
        <v>2</v>
      </c>
      <c r="M520">
        <f t="shared" si="193"/>
        <v>2</v>
      </c>
      <c r="N520">
        <f t="shared" si="193"/>
        <v>5</v>
      </c>
      <c r="O520">
        <f t="shared" si="193"/>
        <v>0</v>
      </c>
      <c r="P520">
        <f t="shared" si="194"/>
        <v>0</v>
      </c>
      <c r="Q520">
        <f t="shared" si="194"/>
        <v>1</v>
      </c>
      <c r="R520">
        <f t="shared" si="194"/>
        <v>2</v>
      </c>
      <c r="S520">
        <f t="shared" si="194"/>
        <v>4</v>
      </c>
      <c r="T520">
        <f t="shared" si="194"/>
        <v>4</v>
      </c>
      <c r="U520">
        <f t="shared" si="194"/>
        <v>1</v>
      </c>
      <c r="V520">
        <f t="shared" si="194"/>
        <v>0</v>
      </c>
      <c r="W520">
        <f t="shared" si="194"/>
        <v>2</v>
      </c>
      <c r="X520">
        <f t="shared" si="194"/>
        <v>2</v>
      </c>
      <c r="Y520">
        <f t="shared" si="194"/>
        <v>3</v>
      </c>
      <c r="Z520">
        <f t="shared" si="195"/>
        <v>3</v>
      </c>
      <c r="AA520">
        <f t="shared" si="195"/>
        <v>0</v>
      </c>
      <c r="AB520">
        <f t="shared" si="195"/>
        <v>0</v>
      </c>
      <c r="AC520">
        <f t="shared" si="195"/>
        <v>0</v>
      </c>
      <c r="AD520">
        <f t="shared" si="195"/>
        <v>2</v>
      </c>
      <c r="AE520">
        <f t="shared" si="195"/>
        <v>0</v>
      </c>
      <c r="AF520" s="56">
        <f t="shared" si="198"/>
        <v>18</v>
      </c>
      <c r="AG520" s="59">
        <f t="shared" si="199"/>
        <v>5.5</v>
      </c>
      <c r="AH520">
        <f t="shared" si="200"/>
        <v>0.30555555555555558</v>
      </c>
    </row>
    <row r="521" spans="1:34" ht="15" x14ac:dyDescent="0.2">
      <c r="A521">
        <v>23</v>
      </c>
      <c r="B521" s="57" t="s">
        <v>88</v>
      </c>
      <c r="C521" s="57"/>
      <c r="D521">
        <f t="shared" si="196"/>
        <v>55</v>
      </c>
      <c r="E521" s="1">
        <f t="shared" si="197"/>
        <v>8</v>
      </c>
      <c r="F521">
        <f t="shared" si="193"/>
        <v>2</v>
      </c>
      <c r="G521">
        <f t="shared" si="193"/>
        <v>1</v>
      </c>
      <c r="H521">
        <f t="shared" si="193"/>
        <v>0</v>
      </c>
      <c r="I521">
        <f t="shared" si="193"/>
        <v>0</v>
      </c>
      <c r="J521">
        <f t="shared" si="193"/>
        <v>11</v>
      </c>
      <c r="K521">
        <f t="shared" si="193"/>
        <v>0</v>
      </c>
      <c r="L521">
        <f t="shared" si="193"/>
        <v>0</v>
      </c>
      <c r="M521">
        <f t="shared" si="193"/>
        <v>0</v>
      </c>
      <c r="N521">
        <f t="shared" si="193"/>
        <v>2</v>
      </c>
      <c r="O521">
        <f t="shared" si="193"/>
        <v>1</v>
      </c>
      <c r="P521">
        <f t="shared" si="194"/>
        <v>1</v>
      </c>
      <c r="Q521">
        <f t="shared" si="194"/>
        <v>3</v>
      </c>
      <c r="R521">
        <f t="shared" si="194"/>
        <v>2</v>
      </c>
      <c r="S521">
        <f t="shared" si="194"/>
        <v>2</v>
      </c>
      <c r="T521">
        <f t="shared" si="194"/>
        <v>2</v>
      </c>
      <c r="U521">
        <f t="shared" si="194"/>
        <v>0</v>
      </c>
      <c r="V521">
        <f t="shared" si="194"/>
        <v>1</v>
      </c>
      <c r="W521">
        <f t="shared" si="194"/>
        <v>4</v>
      </c>
      <c r="X521">
        <f t="shared" si="194"/>
        <v>3</v>
      </c>
      <c r="Y521">
        <f t="shared" si="194"/>
        <v>1</v>
      </c>
      <c r="Z521">
        <f t="shared" si="195"/>
        <v>4</v>
      </c>
      <c r="AA521">
        <f t="shared" si="195"/>
        <v>1</v>
      </c>
      <c r="AB521">
        <f t="shared" si="195"/>
        <v>1</v>
      </c>
      <c r="AC521">
        <f t="shared" si="195"/>
        <v>0</v>
      </c>
      <c r="AD521">
        <f t="shared" si="195"/>
        <v>3</v>
      </c>
      <c r="AE521">
        <f t="shared" si="195"/>
        <v>0</v>
      </c>
      <c r="AF521" s="56">
        <f t="shared" si="198"/>
        <v>18</v>
      </c>
      <c r="AG521" s="59">
        <f t="shared" si="199"/>
        <v>6.875</v>
      </c>
      <c r="AH521">
        <f t="shared" si="200"/>
        <v>0.38194444444444442</v>
      </c>
    </row>
    <row r="522" spans="1:34" ht="15" x14ac:dyDescent="0.2">
      <c r="A522">
        <v>57</v>
      </c>
      <c r="B522" s="57" t="s">
        <v>122</v>
      </c>
      <c r="C522" s="57"/>
      <c r="D522">
        <f t="shared" si="196"/>
        <v>55</v>
      </c>
      <c r="E522" s="1">
        <f t="shared" si="197"/>
        <v>11</v>
      </c>
      <c r="F522">
        <f t="shared" ref="F522:O531" si="201">LEN($B522)-LEN(SUBSTITUTE($B522,F$1,""))</f>
        <v>2</v>
      </c>
      <c r="G522">
        <f t="shared" si="201"/>
        <v>0</v>
      </c>
      <c r="H522">
        <f t="shared" si="201"/>
        <v>1</v>
      </c>
      <c r="I522">
        <f t="shared" si="201"/>
        <v>1</v>
      </c>
      <c r="J522">
        <f t="shared" si="201"/>
        <v>4</v>
      </c>
      <c r="K522">
        <f t="shared" si="201"/>
        <v>0</v>
      </c>
      <c r="L522">
        <f t="shared" si="201"/>
        <v>3</v>
      </c>
      <c r="M522">
        <f t="shared" si="201"/>
        <v>2</v>
      </c>
      <c r="N522">
        <f t="shared" si="201"/>
        <v>3</v>
      </c>
      <c r="O522">
        <f t="shared" si="201"/>
        <v>0</v>
      </c>
      <c r="P522">
        <f t="shared" ref="P522:Y531" si="202">LEN($B522)-LEN(SUBSTITUTE($B522,P$1,""))</f>
        <v>1</v>
      </c>
      <c r="Q522">
        <f t="shared" si="202"/>
        <v>1</v>
      </c>
      <c r="R522">
        <f t="shared" si="202"/>
        <v>1</v>
      </c>
      <c r="S522">
        <f t="shared" si="202"/>
        <v>5</v>
      </c>
      <c r="T522">
        <f t="shared" si="202"/>
        <v>6</v>
      </c>
      <c r="U522">
        <f t="shared" si="202"/>
        <v>0</v>
      </c>
      <c r="V522">
        <f t="shared" si="202"/>
        <v>0</v>
      </c>
      <c r="W522">
        <f t="shared" si="202"/>
        <v>2</v>
      </c>
      <c r="X522">
        <f t="shared" si="202"/>
        <v>1</v>
      </c>
      <c r="Y522">
        <f t="shared" si="202"/>
        <v>3</v>
      </c>
      <c r="Z522">
        <f t="shared" ref="Z522:AE531" si="203">LEN($B522)-LEN(SUBSTITUTE($B522,Z$1,""))</f>
        <v>2</v>
      </c>
      <c r="AA522">
        <f t="shared" si="203"/>
        <v>1</v>
      </c>
      <c r="AB522">
        <f t="shared" si="203"/>
        <v>2</v>
      </c>
      <c r="AC522">
        <f t="shared" si="203"/>
        <v>0</v>
      </c>
      <c r="AD522">
        <f t="shared" si="203"/>
        <v>2</v>
      </c>
      <c r="AE522">
        <f t="shared" si="203"/>
        <v>0</v>
      </c>
      <c r="AF522" s="56">
        <f t="shared" si="198"/>
        <v>19</v>
      </c>
      <c r="AG522" s="59">
        <f t="shared" si="199"/>
        <v>5</v>
      </c>
      <c r="AH522">
        <f t="shared" si="200"/>
        <v>0.26315789473684209</v>
      </c>
    </row>
    <row r="523" spans="1:34" ht="15" x14ac:dyDescent="0.2">
      <c r="A523">
        <v>44</v>
      </c>
      <c r="B523" s="57" t="s">
        <v>109</v>
      </c>
      <c r="C523" s="57"/>
      <c r="D523">
        <f t="shared" si="196"/>
        <v>55</v>
      </c>
      <c r="E523" s="1">
        <f t="shared" si="197"/>
        <v>10</v>
      </c>
      <c r="F523">
        <f t="shared" si="201"/>
        <v>1</v>
      </c>
      <c r="G523">
        <f t="shared" si="201"/>
        <v>0</v>
      </c>
      <c r="H523">
        <f t="shared" si="201"/>
        <v>1</v>
      </c>
      <c r="I523">
        <f t="shared" si="201"/>
        <v>1</v>
      </c>
      <c r="J523">
        <f t="shared" si="201"/>
        <v>9</v>
      </c>
      <c r="K523">
        <f t="shared" si="201"/>
        <v>1</v>
      </c>
      <c r="L523">
        <f t="shared" si="201"/>
        <v>2</v>
      </c>
      <c r="M523">
        <f t="shared" si="201"/>
        <v>1</v>
      </c>
      <c r="N523">
        <f t="shared" si="201"/>
        <v>4</v>
      </c>
      <c r="O523">
        <f t="shared" si="201"/>
        <v>1</v>
      </c>
      <c r="P523">
        <f t="shared" si="202"/>
        <v>0</v>
      </c>
      <c r="Q523">
        <f t="shared" si="202"/>
        <v>0</v>
      </c>
      <c r="R523">
        <f t="shared" si="202"/>
        <v>1</v>
      </c>
      <c r="S523">
        <f t="shared" si="202"/>
        <v>3</v>
      </c>
      <c r="T523">
        <f t="shared" si="202"/>
        <v>3</v>
      </c>
      <c r="U523">
        <f t="shared" si="202"/>
        <v>1</v>
      </c>
      <c r="V523">
        <f t="shared" si="202"/>
        <v>0</v>
      </c>
      <c r="W523">
        <f t="shared" si="202"/>
        <v>2</v>
      </c>
      <c r="X523">
        <f t="shared" si="202"/>
        <v>3</v>
      </c>
      <c r="Y523">
        <f t="shared" si="202"/>
        <v>5</v>
      </c>
      <c r="Z523">
        <f t="shared" si="203"/>
        <v>3</v>
      </c>
      <c r="AA523">
        <f t="shared" si="203"/>
        <v>0</v>
      </c>
      <c r="AB523">
        <f t="shared" si="203"/>
        <v>0</v>
      </c>
      <c r="AC523">
        <f t="shared" si="203"/>
        <v>1</v>
      </c>
      <c r="AD523">
        <f t="shared" si="203"/>
        <v>2</v>
      </c>
      <c r="AE523">
        <f t="shared" si="203"/>
        <v>0</v>
      </c>
      <c r="AF523" s="56">
        <f t="shared" si="198"/>
        <v>19</v>
      </c>
      <c r="AG523" s="59">
        <f t="shared" si="199"/>
        <v>5.5</v>
      </c>
      <c r="AH523">
        <f t="shared" si="200"/>
        <v>0.28947368421052633</v>
      </c>
    </row>
    <row r="524" spans="1:34" ht="15" x14ac:dyDescent="0.2">
      <c r="A524">
        <v>78</v>
      </c>
      <c r="B524" s="57" t="s">
        <v>143</v>
      </c>
      <c r="C524" s="57"/>
      <c r="D524">
        <f t="shared" si="196"/>
        <v>54</v>
      </c>
      <c r="E524" s="1">
        <f t="shared" si="197"/>
        <v>11</v>
      </c>
      <c r="F524">
        <f t="shared" si="201"/>
        <v>6</v>
      </c>
      <c r="G524">
        <f t="shared" si="201"/>
        <v>0</v>
      </c>
      <c r="H524">
        <f t="shared" si="201"/>
        <v>1</v>
      </c>
      <c r="I524">
        <f t="shared" si="201"/>
        <v>2</v>
      </c>
      <c r="J524">
        <f t="shared" si="201"/>
        <v>3</v>
      </c>
      <c r="K524">
        <f t="shared" si="201"/>
        <v>0</v>
      </c>
      <c r="L524">
        <f t="shared" si="201"/>
        <v>2</v>
      </c>
      <c r="M524">
        <f t="shared" si="201"/>
        <v>3</v>
      </c>
      <c r="N524">
        <f t="shared" si="201"/>
        <v>4</v>
      </c>
      <c r="O524">
        <f t="shared" si="201"/>
        <v>0</v>
      </c>
      <c r="P524">
        <f t="shared" si="202"/>
        <v>1</v>
      </c>
      <c r="Q524">
        <f t="shared" si="202"/>
        <v>3</v>
      </c>
      <c r="R524">
        <f t="shared" si="202"/>
        <v>1</v>
      </c>
      <c r="S524">
        <f t="shared" si="202"/>
        <v>2</v>
      </c>
      <c r="T524">
        <f t="shared" si="202"/>
        <v>1</v>
      </c>
      <c r="U524">
        <f t="shared" si="202"/>
        <v>0</v>
      </c>
      <c r="V524">
        <f t="shared" si="202"/>
        <v>0</v>
      </c>
      <c r="W524">
        <f t="shared" si="202"/>
        <v>0</v>
      </c>
      <c r="X524">
        <f t="shared" si="202"/>
        <v>1</v>
      </c>
      <c r="Y524">
        <f t="shared" si="202"/>
        <v>5</v>
      </c>
      <c r="Z524">
        <f t="shared" si="203"/>
        <v>0</v>
      </c>
      <c r="AA524">
        <f t="shared" si="203"/>
        <v>1</v>
      </c>
      <c r="AB524">
        <f t="shared" si="203"/>
        <v>1</v>
      </c>
      <c r="AC524">
        <f t="shared" si="203"/>
        <v>0</v>
      </c>
      <c r="AD524">
        <f t="shared" si="203"/>
        <v>0</v>
      </c>
      <c r="AE524">
        <f t="shared" si="203"/>
        <v>0</v>
      </c>
      <c r="AF524" s="56">
        <f t="shared" si="198"/>
        <v>16</v>
      </c>
      <c r="AG524" s="59">
        <f t="shared" si="199"/>
        <v>4.9090909090909092</v>
      </c>
      <c r="AH524">
        <f t="shared" si="200"/>
        <v>0.30681818181818182</v>
      </c>
    </row>
    <row r="525" spans="1:34" ht="15" x14ac:dyDescent="0.2">
      <c r="A525">
        <v>136</v>
      </c>
      <c r="B525" s="57" t="s">
        <v>201</v>
      </c>
      <c r="C525" s="57"/>
      <c r="D525">
        <f t="shared" si="196"/>
        <v>54</v>
      </c>
      <c r="E525" s="1">
        <f t="shared" si="197"/>
        <v>12</v>
      </c>
      <c r="F525">
        <f t="shared" si="201"/>
        <v>4</v>
      </c>
      <c r="G525">
        <f t="shared" si="201"/>
        <v>0</v>
      </c>
      <c r="H525">
        <f t="shared" si="201"/>
        <v>0</v>
      </c>
      <c r="I525">
        <f t="shared" si="201"/>
        <v>2</v>
      </c>
      <c r="J525">
        <f t="shared" si="201"/>
        <v>5</v>
      </c>
      <c r="K525">
        <f t="shared" si="201"/>
        <v>2</v>
      </c>
      <c r="L525">
        <f t="shared" si="201"/>
        <v>1</v>
      </c>
      <c r="M525">
        <f t="shared" si="201"/>
        <v>2</v>
      </c>
      <c r="N525">
        <f t="shared" si="201"/>
        <v>4</v>
      </c>
      <c r="O525">
        <f t="shared" si="201"/>
        <v>0</v>
      </c>
      <c r="P525">
        <f t="shared" si="202"/>
        <v>0</v>
      </c>
      <c r="Q525">
        <f t="shared" si="202"/>
        <v>1</v>
      </c>
      <c r="R525">
        <f t="shared" si="202"/>
        <v>1</v>
      </c>
      <c r="S525">
        <f t="shared" si="202"/>
        <v>1</v>
      </c>
      <c r="T525">
        <f t="shared" si="202"/>
        <v>2</v>
      </c>
      <c r="U525">
        <f t="shared" si="202"/>
        <v>0</v>
      </c>
      <c r="V525">
        <f t="shared" si="202"/>
        <v>0</v>
      </c>
      <c r="W525">
        <f t="shared" si="202"/>
        <v>3</v>
      </c>
      <c r="X525">
        <f t="shared" si="202"/>
        <v>2</v>
      </c>
      <c r="Y525">
        <f t="shared" si="202"/>
        <v>6</v>
      </c>
      <c r="Z525">
        <f t="shared" si="203"/>
        <v>0</v>
      </c>
      <c r="AA525">
        <f t="shared" si="203"/>
        <v>2</v>
      </c>
      <c r="AB525">
        <f t="shared" si="203"/>
        <v>2</v>
      </c>
      <c r="AC525">
        <f t="shared" si="203"/>
        <v>0</v>
      </c>
      <c r="AD525">
        <f t="shared" si="203"/>
        <v>2</v>
      </c>
      <c r="AE525">
        <f t="shared" si="203"/>
        <v>0</v>
      </c>
      <c r="AF525" s="56">
        <f t="shared" si="198"/>
        <v>17</v>
      </c>
      <c r="AG525" s="59">
        <f t="shared" si="199"/>
        <v>4.5</v>
      </c>
      <c r="AH525">
        <f t="shared" si="200"/>
        <v>0.26470588235294118</v>
      </c>
    </row>
    <row r="526" spans="1:34" ht="15" x14ac:dyDescent="0.2">
      <c r="A526">
        <v>216</v>
      </c>
      <c r="B526" s="57" t="s">
        <v>280</v>
      </c>
      <c r="C526" s="57"/>
      <c r="D526">
        <f t="shared" si="196"/>
        <v>53</v>
      </c>
      <c r="E526" s="1">
        <f t="shared" si="197"/>
        <v>10</v>
      </c>
      <c r="F526">
        <f t="shared" si="201"/>
        <v>4</v>
      </c>
      <c r="G526">
        <f t="shared" si="201"/>
        <v>0</v>
      </c>
      <c r="H526">
        <f t="shared" si="201"/>
        <v>1</v>
      </c>
      <c r="I526">
        <f t="shared" si="201"/>
        <v>0</v>
      </c>
      <c r="J526">
        <f t="shared" si="201"/>
        <v>0</v>
      </c>
      <c r="K526">
        <f t="shared" si="201"/>
        <v>0</v>
      </c>
      <c r="L526">
        <f t="shared" si="201"/>
        <v>0</v>
      </c>
      <c r="M526">
        <f t="shared" si="201"/>
        <v>1</v>
      </c>
      <c r="N526">
        <f t="shared" si="201"/>
        <v>5</v>
      </c>
      <c r="O526">
        <f t="shared" si="201"/>
        <v>1</v>
      </c>
      <c r="P526">
        <f t="shared" si="202"/>
        <v>1</v>
      </c>
      <c r="Q526">
        <f t="shared" si="202"/>
        <v>4</v>
      </c>
      <c r="R526">
        <f t="shared" si="202"/>
        <v>0</v>
      </c>
      <c r="S526">
        <f t="shared" si="202"/>
        <v>3</v>
      </c>
      <c r="T526">
        <f t="shared" si="202"/>
        <v>5</v>
      </c>
      <c r="U526">
        <f t="shared" si="202"/>
        <v>1</v>
      </c>
      <c r="V526">
        <f t="shared" si="202"/>
        <v>0</v>
      </c>
      <c r="W526">
        <f t="shared" si="202"/>
        <v>0</v>
      </c>
      <c r="X526">
        <f t="shared" si="202"/>
        <v>4</v>
      </c>
      <c r="Y526">
        <f t="shared" si="202"/>
        <v>7</v>
      </c>
      <c r="Z526">
        <f t="shared" si="203"/>
        <v>2</v>
      </c>
      <c r="AA526">
        <f t="shared" si="203"/>
        <v>0</v>
      </c>
      <c r="AB526">
        <f t="shared" si="203"/>
        <v>1</v>
      </c>
      <c r="AC526">
        <f t="shared" si="203"/>
        <v>0</v>
      </c>
      <c r="AD526">
        <f t="shared" si="203"/>
        <v>1</v>
      </c>
      <c r="AE526">
        <f t="shared" si="203"/>
        <v>0</v>
      </c>
      <c r="AF526" s="56">
        <f t="shared" si="198"/>
        <v>15</v>
      </c>
      <c r="AG526" s="59">
        <f t="shared" si="199"/>
        <v>5.3</v>
      </c>
      <c r="AH526">
        <f t="shared" si="200"/>
        <v>0.35333333333333333</v>
      </c>
    </row>
    <row r="527" spans="1:34" ht="15" x14ac:dyDescent="0.2">
      <c r="A527">
        <v>50</v>
      </c>
      <c r="B527" s="57" t="s">
        <v>115</v>
      </c>
      <c r="C527" s="57"/>
      <c r="D527">
        <f t="shared" si="196"/>
        <v>53</v>
      </c>
      <c r="E527" s="1">
        <f t="shared" si="197"/>
        <v>10</v>
      </c>
      <c r="F527">
        <f t="shared" si="201"/>
        <v>4</v>
      </c>
      <c r="G527">
        <f t="shared" si="201"/>
        <v>0</v>
      </c>
      <c r="H527">
        <f t="shared" si="201"/>
        <v>1</v>
      </c>
      <c r="I527">
        <f t="shared" si="201"/>
        <v>0</v>
      </c>
      <c r="J527">
        <f t="shared" si="201"/>
        <v>4</v>
      </c>
      <c r="K527">
        <f t="shared" si="201"/>
        <v>0</v>
      </c>
      <c r="L527">
        <f t="shared" si="201"/>
        <v>2</v>
      </c>
      <c r="M527">
        <f t="shared" si="201"/>
        <v>5</v>
      </c>
      <c r="N527">
        <f t="shared" si="201"/>
        <v>5</v>
      </c>
      <c r="O527">
        <f t="shared" si="201"/>
        <v>0</v>
      </c>
      <c r="P527">
        <f t="shared" si="202"/>
        <v>2</v>
      </c>
      <c r="Q527">
        <f t="shared" si="202"/>
        <v>2</v>
      </c>
      <c r="R527">
        <f t="shared" si="202"/>
        <v>1</v>
      </c>
      <c r="S527">
        <f t="shared" si="202"/>
        <v>4</v>
      </c>
      <c r="T527">
        <f t="shared" si="202"/>
        <v>0</v>
      </c>
      <c r="U527">
        <f t="shared" si="202"/>
        <v>3</v>
      </c>
      <c r="V527">
        <f t="shared" si="202"/>
        <v>0</v>
      </c>
      <c r="W527">
        <f t="shared" si="202"/>
        <v>0</v>
      </c>
      <c r="X527">
        <f t="shared" si="202"/>
        <v>4</v>
      </c>
      <c r="Y527">
        <f t="shared" si="202"/>
        <v>4</v>
      </c>
      <c r="Z527">
        <f t="shared" si="203"/>
        <v>1</v>
      </c>
      <c r="AA527">
        <f t="shared" si="203"/>
        <v>0</v>
      </c>
      <c r="AB527">
        <f t="shared" si="203"/>
        <v>1</v>
      </c>
      <c r="AC527">
        <f t="shared" si="203"/>
        <v>0</v>
      </c>
      <c r="AD527">
        <f t="shared" si="203"/>
        <v>0</v>
      </c>
      <c r="AE527">
        <f t="shared" si="203"/>
        <v>0</v>
      </c>
      <c r="AF527" s="56">
        <f t="shared" si="198"/>
        <v>15</v>
      </c>
      <c r="AG527" s="59">
        <f t="shared" si="199"/>
        <v>5.3</v>
      </c>
      <c r="AH527">
        <f t="shared" si="200"/>
        <v>0.35333333333333333</v>
      </c>
    </row>
    <row r="528" spans="1:34" ht="15" x14ac:dyDescent="0.2">
      <c r="A528">
        <v>220</v>
      </c>
      <c r="B528" s="57" t="s">
        <v>283</v>
      </c>
      <c r="C528" s="57"/>
      <c r="D528">
        <f t="shared" si="196"/>
        <v>53</v>
      </c>
      <c r="E528" s="1">
        <f t="shared" si="197"/>
        <v>10</v>
      </c>
      <c r="F528">
        <f t="shared" si="201"/>
        <v>1</v>
      </c>
      <c r="G528">
        <f t="shared" si="201"/>
        <v>1</v>
      </c>
      <c r="H528">
        <f t="shared" si="201"/>
        <v>1</v>
      </c>
      <c r="I528">
        <f t="shared" si="201"/>
        <v>0</v>
      </c>
      <c r="J528">
        <f t="shared" si="201"/>
        <v>9</v>
      </c>
      <c r="K528">
        <f t="shared" si="201"/>
        <v>1</v>
      </c>
      <c r="L528">
        <f t="shared" si="201"/>
        <v>0</v>
      </c>
      <c r="M528">
        <f t="shared" si="201"/>
        <v>3</v>
      </c>
      <c r="N528">
        <f t="shared" si="201"/>
        <v>1</v>
      </c>
      <c r="O528">
        <f t="shared" si="201"/>
        <v>0</v>
      </c>
      <c r="P528">
        <f t="shared" si="202"/>
        <v>0</v>
      </c>
      <c r="Q528">
        <f t="shared" si="202"/>
        <v>0</v>
      </c>
      <c r="R528">
        <f t="shared" si="202"/>
        <v>2</v>
      </c>
      <c r="S528">
        <f t="shared" si="202"/>
        <v>3</v>
      </c>
      <c r="T528">
        <f t="shared" si="202"/>
        <v>2</v>
      </c>
      <c r="U528">
        <f t="shared" si="202"/>
        <v>0</v>
      </c>
      <c r="V528">
        <f t="shared" si="202"/>
        <v>0</v>
      </c>
      <c r="W528">
        <f t="shared" si="202"/>
        <v>4</v>
      </c>
      <c r="X528">
        <f t="shared" si="202"/>
        <v>1</v>
      </c>
      <c r="Y528">
        <f t="shared" si="202"/>
        <v>4</v>
      </c>
      <c r="Z528">
        <f t="shared" si="203"/>
        <v>2</v>
      </c>
      <c r="AA528">
        <f t="shared" si="203"/>
        <v>0</v>
      </c>
      <c r="AB528">
        <f t="shared" si="203"/>
        <v>1</v>
      </c>
      <c r="AC528">
        <f t="shared" si="203"/>
        <v>0</v>
      </c>
      <c r="AD528">
        <f t="shared" si="203"/>
        <v>2</v>
      </c>
      <c r="AE528">
        <f t="shared" si="203"/>
        <v>0</v>
      </c>
      <c r="AF528" s="56">
        <f t="shared" si="198"/>
        <v>16</v>
      </c>
      <c r="AG528" s="59">
        <f t="shared" si="199"/>
        <v>5.3</v>
      </c>
      <c r="AH528">
        <f t="shared" si="200"/>
        <v>0.33124999999999999</v>
      </c>
    </row>
    <row r="529" spans="1:34" ht="15" x14ac:dyDescent="0.2">
      <c r="A529">
        <v>109</v>
      </c>
      <c r="B529" s="57" t="s">
        <v>174</v>
      </c>
      <c r="C529" s="57"/>
      <c r="D529">
        <f t="shared" si="196"/>
        <v>53</v>
      </c>
      <c r="E529" s="1">
        <f t="shared" si="197"/>
        <v>11</v>
      </c>
      <c r="F529">
        <f t="shared" si="201"/>
        <v>3</v>
      </c>
      <c r="G529">
        <f t="shared" si="201"/>
        <v>0</v>
      </c>
      <c r="H529">
        <f t="shared" si="201"/>
        <v>3</v>
      </c>
      <c r="I529">
        <f t="shared" si="201"/>
        <v>2</v>
      </c>
      <c r="J529">
        <f t="shared" si="201"/>
        <v>3</v>
      </c>
      <c r="K529">
        <f t="shared" si="201"/>
        <v>0</v>
      </c>
      <c r="L529">
        <f t="shared" si="201"/>
        <v>0</v>
      </c>
      <c r="M529">
        <f t="shared" si="201"/>
        <v>0</v>
      </c>
      <c r="N529">
        <f t="shared" si="201"/>
        <v>6</v>
      </c>
      <c r="O529">
        <f t="shared" si="201"/>
        <v>0</v>
      </c>
      <c r="P529">
        <f t="shared" si="202"/>
        <v>1</v>
      </c>
      <c r="Q529">
        <f t="shared" si="202"/>
        <v>1</v>
      </c>
      <c r="R529">
        <f t="shared" si="202"/>
        <v>1</v>
      </c>
      <c r="S529">
        <f t="shared" si="202"/>
        <v>2</v>
      </c>
      <c r="T529">
        <f t="shared" si="202"/>
        <v>2</v>
      </c>
      <c r="U529">
        <f t="shared" si="202"/>
        <v>0</v>
      </c>
      <c r="V529">
        <f t="shared" si="202"/>
        <v>0</v>
      </c>
      <c r="W529">
        <f t="shared" si="202"/>
        <v>2</v>
      </c>
      <c r="X529">
        <f t="shared" si="202"/>
        <v>2</v>
      </c>
      <c r="Y529">
        <f t="shared" si="202"/>
        <v>1</v>
      </c>
      <c r="Z529">
        <f t="shared" si="203"/>
        <v>2</v>
      </c>
      <c r="AA529">
        <f t="shared" si="203"/>
        <v>3</v>
      </c>
      <c r="AB529">
        <f t="shared" si="203"/>
        <v>1</v>
      </c>
      <c r="AC529">
        <f t="shared" si="203"/>
        <v>0</v>
      </c>
      <c r="AD529">
        <f t="shared" si="203"/>
        <v>0</v>
      </c>
      <c r="AE529">
        <f t="shared" si="203"/>
        <v>0</v>
      </c>
      <c r="AF529" s="56">
        <f t="shared" si="198"/>
        <v>16</v>
      </c>
      <c r="AG529" s="59">
        <f t="shared" si="199"/>
        <v>4.8181818181818183</v>
      </c>
      <c r="AH529">
        <f t="shared" si="200"/>
        <v>0.30113636363636365</v>
      </c>
    </row>
    <row r="530" spans="1:34" ht="15" x14ac:dyDescent="0.2">
      <c r="A530">
        <v>76</v>
      </c>
      <c r="B530" s="57" t="s">
        <v>141</v>
      </c>
      <c r="C530" s="57"/>
      <c r="D530">
        <f t="shared" si="196"/>
        <v>53</v>
      </c>
      <c r="E530" s="1">
        <f t="shared" si="197"/>
        <v>12</v>
      </c>
      <c r="F530">
        <f t="shared" si="201"/>
        <v>5</v>
      </c>
      <c r="G530">
        <f t="shared" si="201"/>
        <v>1</v>
      </c>
      <c r="H530">
        <f t="shared" si="201"/>
        <v>0</v>
      </c>
      <c r="I530">
        <f t="shared" si="201"/>
        <v>2</v>
      </c>
      <c r="J530">
        <f t="shared" si="201"/>
        <v>2</v>
      </c>
      <c r="K530">
        <f t="shared" si="201"/>
        <v>0</v>
      </c>
      <c r="L530">
        <f t="shared" si="201"/>
        <v>0</v>
      </c>
      <c r="M530">
        <f t="shared" si="201"/>
        <v>2</v>
      </c>
      <c r="N530">
        <f t="shared" si="201"/>
        <v>4</v>
      </c>
      <c r="O530">
        <f t="shared" si="201"/>
        <v>0</v>
      </c>
      <c r="P530">
        <f t="shared" si="202"/>
        <v>0</v>
      </c>
      <c r="Q530">
        <f t="shared" si="202"/>
        <v>3</v>
      </c>
      <c r="R530">
        <f t="shared" si="202"/>
        <v>1</v>
      </c>
      <c r="S530">
        <f t="shared" si="202"/>
        <v>1</v>
      </c>
      <c r="T530">
        <f t="shared" si="202"/>
        <v>3</v>
      </c>
      <c r="U530">
        <f t="shared" si="202"/>
        <v>1</v>
      </c>
      <c r="V530">
        <f t="shared" si="202"/>
        <v>0</v>
      </c>
      <c r="W530">
        <f t="shared" si="202"/>
        <v>1</v>
      </c>
      <c r="X530">
        <f t="shared" si="202"/>
        <v>2</v>
      </c>
      <c r="Y530">
        <f t="shared" si="202"/>
        <v>7</v>
      </c>
      <c r="Z530">
        <f t="shared" si="203"/>
        <v>1</v>
      </c>
      <c r="AA530">
        <f t="shared" si="203"/>
        <v>1</v>
      </c>
      <c r="AB530">
        <f t="shared" si="203"/>
        <v>1</v>
      </c>
      <c r="AC530">
        <f t="shared" si="203"/>
        <v>0</v>
      </c>
      <c r="AD530">
        <f t="shared" si="203"/>
        <v>0</v>
      </c>
      <c r="AE530">
        <f t="shared" si="203"/>
        <v>0</v>
      </c>
      <c r="AF530" s="56">
        <f t="shared" si="198"/>
        <v>17</v>
      </c>
      <c r="AG530" s="59">
        <f t="shared" si="199"/>
        <v>4.416666666666667</v>
      </c>
      <c r="AH530">
        <f t="shared" si="200"/>
        <v>0.25980392156862747</v>
      </c>
    </row>
    <row r="531" spans="1:34" ht="15" x14ac:dyDescent="0.2">
      <c r="A531">
        <v>89</v>
      </c>
      <c r="B531" s="57" t="s">
        <v>154</v>
      </c>
      <c r="C531" s="57"/>
      <c r="D531">
        <f t="shared" si="196"/>
        <v>53</v>
      </c>
      <c r="E531" s="1">
        <f t="shared" si="197"/>
        <v>12</v>
      </c>
      <c r="F531">
        <f t="shared" si="201"/>
        <v>4</v>
      </c>
      <c r="G531">
        <f t="shared" si="201"/>
        <v>2</v>
      </c>
      <c r="H531">
        <f t="shared" si="201"/>
        <v>1</v>
      </c>
      <c r="I531">
        <f t="shared" si="201"/>
        <v>0</v>
      </c>
      <c r="J531">
        <f t="shared" si="201"/>
        <v>1</v>
      </c>
      <c r="K531">
        <f t="shared" si="201"/>
        <v>1</v>
      </c>
      <c r="L531">
        <f t="shared" si="201"/>
        <v>1</v>
      </c>
      <c r="M531">
        <f t="shared" si="201"/>
        <v>1</v>
      </c>
      <c r="N531">
        <f t="shared" si="201"/>
        <v>3</v>
      </c>
      <c r="O531">
        <f t="shared" si="201"/>
        <v>0</v>
      </c>
      <c r="P531">
        <f t="shared" si="202"/>
        <v>0</v>
      </c>
      <c r="Q531">
        <f t="shared" si="202"/>
        <v>1</v>
      </c>
      <c r="R531">
        <f t="shared" si="202"/>
        <v>2</v>
      </c>
      <c r="S531">
        <f t="shared" si="202"/>
        <v>3</v>
      </c>
      <c r="T531">
        <f t="shared" si="202"/>
        <v>5</v>
      </c>
      <c r="U531">
        <f t="shared" si="202"/>
        <v>1</v>
      </c>
      <c r="V531">
        <f t="shared" si="202"/>
        <v>0</v>
      </c>
      <c r="W531">
        <f t="shared" si="202"/>
        <v>3</v>
      </c>
      <c r="X531">
        <f t="shared" si="202"/>
        <v>2</v>
      </c>
      <c r="Y531">
        <f t="shared" si="202"/>
        <v>4</v>
      </c>
      <c r="Z531">
        <f t="shared" si="203"/>
        <v>2</v>
      </c>
      <c r="AA531">
        <f t="shared" si="203"/>
        <v>0</v>
      </c>
      <c r="AB531">
        <f t="shared" si="203"/>
        <v>1</v>
      </c>
      <c r="AC531">
        <f t="shared" si="203"/>
        <v>0</v>
      </c>
      <c r="AD531">
        <f t="shared" si="203"/>
        <v>2</v>
      </c>
      <c r="AE531">
        <f t="shared" si="203"/>
        <v>0</v>
      </c>
      <c r="AF531" s="56">
        <f t="shared" si="198"/>
        <v>19</v>
      </c>
      <c r="AG531" s="59">
        <f t="shared" si="199"/>
        <v>4.416666666666667</v>
      </c>
      <c r="AH531">
        <f t="shared" si="200"/>
        <v>0.23245614035087722</v>
      </c>
    </row>
    <row r="532" spans="1:34" ht="15" x14ac:dyDescent="0.2">
      <c r="A532">
        <v>65</v>
      </c>
      <c r="B532" s="57" t="s">
        <v>130</v>
      </c>
      <c r="C532" s="57"/>
      <c r="D532">
        <f t="shared" si="196"/>
        <v>53</v>
      </c>
      <c r="E532" s="1">
        <f t="shared" si="197"/>
        <v>10</v>
      </c>
      <c r="F532">
        <f t="shared" ref="F532:O541" si="204">LEN($B532)-LEN(SUBSTITUTE($B532,F$1,""))</f>
        <v>4</v>
      </c>
      <c r="G532">
        <f t="shared" si="204"/>
        <v>0</v>
      </c>
      <c r="H532">
        <f t="shared" si="204"/>
        <v>1</v>
      </c>
      <c r="I532">
        <f t="shared" si="204"/>
        <v>1</v>
      </c>
      <c r="J532">
        <f t="shared" si="204"/>
        <v>7</v>
      </c>
      <c r="K532">
        <f t="shared" si="204"/>
        <v>0</v>
      </c>
      <c r="L532">
        <f t="shared" si="204"/>
        <v>1</v>
      </c>
      <c r="M532">
        <f t="shared" si="204"/>
        <v>1</v>
      </c>
      <c r="N532">
        <f t="shared" si="204"/>
        <v>5</v>
      </c>
      <c r="O532">
        <f t="shared" si="204"/>
        <v>2</v>
      </c>
      <c r="P532">
        <f t="shared" ref="P532:Y541" si="205">LEN($B532)-LEN(SUBSTITUTE($B532,P$1,""))</f>
        <v>1</v>
      </c>
      <c r="Q532">
        <f t="shared" si="205"/>
        <v>2</v>
      </c>
      <c r="R532">
        <f t="shared" si="205"/>
        <v>2</v>
      </c>
      <c r="S532">
        <f t="shared" si="205"/>
        <v>2</v>
      </c>
      <c r="T532">
        <f t="shared" si="205"/>
        <v>0</v>
      </c>
      <c r="U532">
        <f t="shared" si="205"/>
        <v>1</v>
      </c>
      <c r="V532">
        <f t="shared" si="205"/>
        <v>0</v>
      </c>
      <c r="W532">
        <f t="shared" si="205"/>
        <v>1</v>
      </c>
      <c r="X532">
        <f t="shared" si="205"/>
        <v>2</v>
      </c>
      <c r="Y532">
        <f t="shared" si="205"/>
        <v>3</v>
      </c>
      <c r="Z532">
        <f t="shared" ref="Z532:AE541" si="206">LEN($B532)-LEN(SUBSTITUTE($B532,Z$1,""))</f>
        <v>2</v>
      </c>
      <c r="AA532">
        <f t="shared" si="206"/>
        <v>2</v>
      </c>
      <c r="AB532">
        <f t="shared" si="206"/>
        <v>0</v>
      </c>
      <c r="AC532">
        <f t="shared" si="206"/>
        <v>1</v>
      </c>
      <c r="AD532">
        <f t="shared" si="206"/>
        <v>0</v>
      </c>
      <c r="AE532">
        <f t="shared" si="206"/>
        <v>0</v>
      </c>
      <c r="AF532" s="56">
        <f t="shared" si="198"/>
        <v>19</v>
      </c>
      <c r="AG532" s="59">
        <f t="shared" si="199"/>
        <v>5.3</v>
      </c>
      <c r="AH532">
        <f t="shared" si="200"/>
        <v>0.27894736842105261</v>
      </c>
    </row>
    <row r="533" spans="1:34" ht="15" x14ac:dyDescent="0.2">
      <c r="A533">
        <v>181</v>
      </c>
      <c r="B533" s="57" t="s">
        <v>245</v>
      </c>
      <c r="C533" s="57"/>
      <c r="D533">
        <f t="shared" si="196"/>
        <v>52</v>
      </c>
      <c r="E533" s="1">
        <f t="shared" si="197"/>
        <v>11</v>
      </c>
      <c r="F533">
        <f t="shared" si="204"/>
        <v>3</v>
      </c>
      <c r="G533">
        <f t="shared" si="204"/>
        <v>1</v>
      </c>
      <c r="H533">
        <f t="shared" si="204"/>
        <v>0</v>
      </c>
      <c r="I533">
        <f t="shared" si="204"/>
        <v>2</v>
      </c>
      <c r="J533">
        <f t="shared" si="204"/>
        <v>1</v>
      </c>
      <c r="K533">
        <f t="shared" si="204"/>
        <v>0</v>
      </c>
      <c r="L533">
        <f t="shared" si="204"/>
        <v>0</v>
      </c>
      <c r="M533">
        <f t="shared" si="204"/>
        <v>0</v>
      </c>
      <c r="N533">
        <f t="shared" si="204"/>
        <v>5</v>
      </c>
      <c r="O533">
        <f t="shared" si="204"/>
        <v>0</v>
      </c>
      <c r="P533">
        <f t="shared" si="205"/>
        <v>1</v>
      </c>
      <c r="Q533">
        <f t="shared" si="205"/>
        <v>5</v>
      </c>
      <c r="R533">
        <f t="shared" si="205"/>
        <v>1</v>
      </c>
      <c r="S533">
        <f t="shared" si="205"/>
        <v>2</v>
      </c>
      <c r="T533">
        <f t="shared" si="205"/>
        <v>3</v>
      </c>
      <c r="U533">
        <f t="shared" si="205"/>
        <v>1</v>
      </c>
      <c r="V533">
        <f t="shared" si="205"/>
        <v>0</v>
      </c>
      <c r="W533">
        <f t="shared" si="205"/>
        <v>1</v>
      </c>
      <c r="X533">
        <f t="shared" si="205"/>
        <v>2</v>
      </c>
      <c r="Y533">
        <f t="shared" si="205"/>
        <v>6</v>
      </c>
      <c r="Z533">
        <f t="shared" si="206"/>
        <v>2</v>
      </c>
      <c r="AA533">
        <f t="shared" si="206"/>
        <v>0</v>
      </c>
      <c r="AB533">
        <f t="shared" si="206"/>
        <v>2</v>
      </c>
      <c r="AC533">
        <f t="shared" si="206"/>
        <v>0</v>
      </c>
      <c r="AD533">
        <f t="shared" si="206"/>
        <v>0</v>
      </c>
      <c r="AE533">
        <f t="shared" si="206"/>
        <v>0</v>
      </c>
      <c r="AF533" s="56">
        <f t="shared" si="198"/>
        <v>16</v>
      </c>
      <c r="AG533" s="59">
        <f t="shared" si="199"/>
        <v>4.7272727272727275</v>
      </c>
      <c r="AH533">
        <f t="shared" si="200"/>
        <v>0.29545454545454547</v>
      </c>
    </row>
    <row r="534" spans="1:34" ht="15" x14ac:dyDescent="0.2">
      <c r="A534">
        <v>188</v>
      </c>
      <c r="B534" s="57" t="s">
        <v>252</v>
      </c>
      <c r="C534" s="57"/>
      <c r="D534">
        <f t="shared" si="196"/>
        <v>52</v>
      </c>
      <c r="E534" s="1">
        <f t="shared" si="197"/>
        <v>10</v>
      </c>
      <c r="F534">
        <f t="shared" si="204"/>
        <v>5</v>
      </c>
      <c r="G534">
        <f t="shared" si="204"/>
        <v>1</v>
      </c>
      <c r="H534">
        <f t="shared" si="204"/>
        <v>0</v>
      </c>
      <c r="I534">
        <f t="shared" si="204"/>
        <v>0</v>
      </c>
      <c r="J534">
        <f t="shared" si="204"/>
        <v>3</v>
      </c>
      <c r="K534">
        <f t="shared" si="204"/>
        <v>2</v>
      </c>
      <c r="L534">
        <f t="shared" si="204"/>
        <v>1</v>
      </c>
      <c r="M534">
        <f t="shared" si="204"/>
        <v>4</v>
      </c>
      <c r="N534">
        <f t="shared" si="204"/>
        <v>1</v>
      </c>
      <c r="O534">
        <f t="shared" si="204"/>
        <v>0</v>
      </c>
      <c r="P534">
        <f t="shared" si="205"/>
        <v>0</v>
      </c>
      <c r="Q534">
        <f t="shared" si="205"/>
        <v>0</v>
      </c>
      <c r="R534">
        <f t="shared" si="205"/>
        <v>1</v>
      </c>
      <c r="S534">
        <f t="shared" si="205"/>
        <v>3</v>
      </c>
      <c r="T534">
        <f t="shared" si="205"/>
        <v>6</v>
      </c>
      <c r="U534">
        <f t="shared" si="205"/>
        <v>0</v>
      </c>
      <c r="V534">
        <f t="shared" si="205"/>
        <v>0</v>
      </c>
      <c r="W534">
        <f t="shared" si="205"/>
        <v>1</v>
      </c>
      <c r="X534">
        <f t="shared" si="205"/>
        <v>1</v>
      </c>
      <c r="Y534">
        <f t="shared" si="205"/>
        <v>4</v>
      </c>
      <c r="Z534">
        <f t="shared" si="206"/>
        <v>4</v>
      </c>
      <c r="AA534">
        <f t="shared" si="206"/>
        <v>1</v>
      </c>
      <c r="AB534">
        <f t="shared" si="206"/>
        <v>2</v>
      </c>
      <c r="AC534">
        <f t="shared" si="206"/>
        <v>0</v>
      </c>
      <c r="AD534">
        <f t="shared" si="206"/>
        <v>1</v>
      </c>
      <c r="AE534">
        <f t="shared" si="206"/>
        <v>0</v>
      </c>
      <c r="AF534" s="56">
        <f t="shared" si="198"/>
        <v>17</v>
      </c>
      <c r="AG534" s="59">
        <f t="shared" si="199"/>
        <v>5.2</v>
      </c>
      <c r="AH534">
        <f t="shared" si="200"/>
        <v>0.30588235294117649</v>
      </c>
    </row>
    <row r="535" spans="1:34" ht="15" x14ac:dyDescent="0.2">
      <c r="A535">
        <v>128</v>
      </c>
      <c r="B535" s="57" t="s">
        <v>193</v>
      </c>
      <c r="C535" s="57"/>
      <c r="D535">
        <f t="shared" si="196"/>
        <v>52</v>
      </c>
      <c r="E535" s="1">
        <f t="shared" si="197"/>
        <v>12</v>
      </c>
      <c r="F535">
        <f t="shared" si="204"/>
        <v>2</v>
      </c>
      <c r="G535">
        <f t="shared" si="204"/>
        <v>1</v>
      </c>
      <c r="H535">
        <f t="shared" si="204"/>
        <v>0</v>
      </c>
      <c r="I535">
        <f t="shared" si="204"/>
        <v>0</v>
      </c>
      <c r="J535">
        <f t="shared" si="204"/>
        <v>7</v>
      </c>
      <c r="K535">
        <f t="shared" si="204"/>
        <v>0</v>
      </c>
      <c r="L535">
        <f t="shared" si="204"/>
        <v>1</v>
      </c>
      <c r="M535">
        <f t="shared" si="204"/>
        <v>2</v>
      </c>
      <c r="N535">
        <f t="shared" si="204"/>
        <v>1</v>
      </c>
      <c r="O535">
        <f t="shared" si="204"/>
        <v>0</v>
      </c>
      <c r="P535">
        <f t="shared" si="205"/>
        <v>0</v>
      </c>
      <c r="Q535">
        <f t="shared" si="205"/>
        <v>1</v>
      </c>
      <c r="R535">
        <f t="shared" si="205"/>
        <v>3</v>
      </c>
      <c r="S535">
        <f t="shared" si="205"/>
        <v>3</v>
      </c>
      <c r="T535">
        <f t="shared" si="205"/>
        <v>4</v>
      </c>
      <c r="U535">
        <f t="shared" si="205"/>
        <v>0</v>
      </c>
      <c r="V535">
        <f t="shared" si="205"/>
        <v>0</v>
      </c>
      <c r="W535">
        <f t="shared" si="205"/>
        <v>3</v>
      </c>
      <c r="X535">
        <f t="shared" si="205"/>
        <v>2</v>
      </c>
      <c r="Y535">
        <f t="shared" si="205"/>
        <v>4</v>
      </c>
      <c r="Z535">
        <f t="shared" si="206"/>
        <v>2</v>
      </c>
      <c r="AA535">
        <f t="shared" si="206"/>
        <v>1</v>
      </c>
      <c r="AB535">
        <f t="shared" si="206"/>
        <v>0</v>
      </c>
      <c r="AC535">
        <f t="shared" si="206"/>
        <v>1</v>
      </c>
      <c r="AD535">
        <f t="shared" si="206"/>
        <v>1</v>
      </c>
      <c r="AE535">
        <f t="shared" si="206"/>
        <v>0</v>
      </c>
      <c r="AF535" s="56">
        <f t="shared" si="198"/>
        <v>17</v>
      </c>
      <c r="AG535" s="59">
        <f t="shared" si="199"/>
        <v>4.333333333333333</v>
      </c>
      <c r="AH535">
        <f t="shared" si="200"/>
        <v>0.25490196078431371</v>
      </c>
    </row>
    <row r="536" spans="1:34" ht="15" x14ac:dyDescent="0.2">
      <c r="A536">
        <v>94</v>
      </c>
      <c r="B536" s="57" t="s">
        <v>159</v>
      </c>
      <c r="C536" s="57"/>
      <c r="D536">
        <f t="shared" si="196"/>
        <v>52</v>
      </c>
      <c r="E536" s="1">
        <f t="shared" si="197"/>
        <v>11</v>
      </c>
      <c r="F536">
        <f t="shared" si="204"/>
        <v>4</v>
      </c>
      <c r="G536">
        <f t="shared" si="204"/>
        <v>1</v>
      </c>
      <c r="H536">
        <f t="shared" si="204"/>
        <v>0</v>
      </c>
      <c r="I536">
        <f t="shared" si="204"/>
        <v>1</v>
      </c>
      <c r="J536">
        <f t="shared" si="204"/>
        <v>2</v>
      </c>
      <c r="K536">
        <f t="shared" si="204"/>
        <v>0</v>
      </c>
      <c r="L536">
        <f t="shared" si="204"/>
        <v>0</v>
      </c>
      <c r="M536">
        <f t="shared" si="204"/>
        <v>1</v>
      </c>
      <c r="N536">
        <f t="shared" si="204"/>
        <v>4</v>
      </c>
      <c r="O536">
        <f t="shared" si="204"/>
        <v>1</v>
      </c>
      <c r="P536">
        <f t="shared" si="205"/>
        <v>2</v>
      </c>
      <c r="Q536">
        <f t="shared" si="205"/>
        <v>3</v>
      </c>
      <c r="R536">
        <f t="shared" si="205"/>
        <v>1</v>
      </c>
      <c r="S536">
        <f t="shared" si="205"/>
        <v>2</v>
      </c>
      <c r="T536">
        <f t="shared" si="205"/>
        <v>3</v>
      </c>
      <c r="U536">
        <f t="shared" si="205"/>
        <v>0</v>
      </c>
      <c r="V536">
        <f t="shared" si="205"/>
        <v>0</v>
      </c>
      <c r="W536">
        <f t="shared" si="205"/>
        <v>1</v>
      </c>
      <c r="X536">
        <f t="shared" si="205"/>
        <v>3</v>
      </c>
      <c r="Y536">
        <f t="shared" si="205"/>
        <v>6</v>
      </c>
      <c r="Z536">
        <f t="shared" si="206"/>
        <v>2</v>
      </c>
      <c r="AA536">
        <f t="shared" si="206"/>
        <v>0</v>
      </c>
      <c r="AB536">
        <f t="shared" si="206"/>
        <v>1</v>
      </c>
      <c r="AC536">
        <f t="shared" si="206"/>
        <v>0</v>
      </c>
      <c r="AD536">
        <f t="shared" si="206"/>
        <v>1</v>
      </c>
      <c r="AE536">
        <f t="shared" si="206"/>
        <v>0</v>
      </c>
      <c r="AF536" s="56">
        <f t="shared" si="198"/>
        <v>18</v>
      </c>
      <c r="AG536" s="59">
        <f t="shared" si="199"/>
        <v>4.7272727272727275</v>
      </c>
      <c r="AH536">
        <f t="shared" si="200"/>
        <v>0.26262626262626265</v>
      </c>
    </row>
    <row r="537" spans="1:34" ht="15" x14ac:dyDescent="0.2">
      <c r="A537">
        <v>329</v>
      </c>
      <c r="B537" s="57" t="s">
        <v>389</v>
      </c>
      <c r="C537" s="57"/>
      <c r="D537">
        <f t="shared" si="196"/>
        <v>52</v>
      </c>
      <c r="E537" s="1">
        <f t="shared" si="197"/>
        <v>8</v>
      </c>
      <c r="F537">
        <f t="shared" si="204"/>
        <v>4</v>
      </c>
      <c r="G537">
        <f t="shared" si="204"/>
        <v>0</v>
      </c>
      <c r="H537">
        <f t="shared" si="204"/>
        <v>1</v>
      </c>
      <c r="I537">
        <f t="shared" si="204"/>
        <v>0</v>
      </c>
      <c r="J537">
        <f t="shared" si="204"/>
        <v>5</v>
      </c>
      <c r="K537">
        <f t="shared" si="204"/>
        <v>2</v>
      </c>
      <c r="L537">
        <f t="shared" si="204"/>
        <v>2</v>
      </c>
      <c r="M537">
        <f t="shared" si="204"/>
        <v>1</v>
      </c>
      <c r="N537">
        <f t="shared" si="204"/>
        <v>4</v>
      </c>
      <c r="O537">
        <f t="shared" si="204"/>
        <v>0</v>
      </c>
      <c r="P537">
        <f t="shared" si="205"/>
        <v>1</v>
      </c>
      <c r="Q537">
        <f t="shared" si="205"/>
        <v>2</v>
      </c>
      <c r="R537">
        <f t="shared" si="205"/>
        <v>2</v>
      </c>
      <c r="S537">
        <f t="shared" si="205"/>
        <v>2</v>
      </c>
      <c r="T537">
        <f t="shared" si="205"/>
        <v>1</v>
      </c>
      <c r="U537">
        <f t="shared" si="205"/>
        <v>2</v>
      </c>
      <c r="V537">
        <f t="shared" si="205"/>
        <v>0</v>
      </c>
      <c r="W537">
        <f t="shared" si="205"/>
        <v>2</v>
      </c>
      <c r="X537">
        <f t="shared" si="205"/>
        <v>3</v>
      </c>
      <c r="Y537">
        <f t="shared" si="205"/>
        <v>3</v>
      </c>
      <c r="Z537">
        <f t="shared" si="206"/>
        <v>2</v>
      </c>
      <c r="AA537">
        <f t="shared" si="206"/>
        <v>1</v>
      </c>
      <c r="AB537">
        <f t="shared" si="206"/>
        <v>0</v>
      </c>
      <c r="AC537">
        <f t="shared" si="206"/>
        <v>0</v>
      </c>
      <c r="AD537">
        <f t="shared" si="206"/>
        <v>1</v>
      </c>
      <c r="AE537">
        <f t="shared" si="206"/>
        <v>0</v>
      </c>
      <c r="AF537" s="56">
        <f t="shared" si="198"/>
        <v>19</v>
      </c>
      <c r="AG537" s="59">
        <f t="shared" si="199"/>
        <v>6.5</v>
      </c>
      <c r="AH537">
        <f t="shared" si="200"/>
        <v>0.34210526315789475</v>
      </c>
    </row>
    <row r="538" spans="1:34" ht="15" x14ac:dyDescent="0.2">
      <c r="A538">
        <v>32</v>
      </c>
      <c r="B538" s="57" t="s">
        <v>97</v>
      </c>
      <c r="C538" s="57"/>
      <c r="D538">
        <f t="shared" si="196"/>
        <v>52</v>
      </c>
      <c r="E538" s="1">
        <f t="shared" si="197"/>
        <v>8</v>
      </c>
      <c r="F538">
        <f t="shared" si="204"/>
        <v>4</v>
      </c>
      <c r="G538">
        <f t="shared" si="204"/>
        <v>1</v>
      </c>
      <c r="H538">
        <f t="shared" si="204"/>
        <v>3</v>
      </c>
      <c r="I538">
        <f t="shared" si="204"/>
        <v>1</v>
      </c>
      <c r="J538">
        <f t="shared" si="204"/>
        <v>7</v>
      </c>
      <c r="K538">
        <f t="shared" si="204"/>
        <v>1</v>
      </c>
      <c r="L538">
        <f t="shared" si="204"/>
        <v>2</v>
      </c>
      <c r="M538">
        <f t="shared" si="204"/>
        <v>2</v>
      </c>
      <c r="N538">
        <f t="shared" si="204"/>
        <v>5</v>
      </c>
      <c r="O538">
        <f t="shared" si="204"/>
        <v>0</v>
      </c>
      <c r="P538">
        <f t="shared" si="205"/>
        <v>0</v>
      </c>
      <c r="Q538">
        <f t="shared" si="205"/>
        <v>1</v>
      </c>
      <c r="R538">
        <f t="shared" si="205"/>
        <v>2</v>
      </c>
      <c r="S538">
        <f t="shared" si="205"/>
        <v>5</v>
      </c>
      <c r="T538">
        <f t="shared" si="205"/>
        <v>1</v>
      </c>
      <c r="U538">
        <f t="shared" si="205"/>
        <v>1</v>
      </c>
      <c r="V538">
        <f t="shared" si="205"/>
        <v>0</v>
      </c>
      <c r="W538">
        <f t="shared" si="205"/>
        <v>1</v>
      </c>
      <c r="X538">
        <f t="shared" si="205"/>
        <v>1</v>
      </c>
      <c r="Y538">
        <f t="shared" si="205"/>
        <v>2</v>
      </c>
      <c r="Z538">
        <f t="shared" si="206"/>
        <v>0</v>
      </c>
      <c r="AA538">
        <f t="shared" si="206"/>
        <v>2</v>
      </c>
      <c r="AB538">
        <f t="shared" si="206"/>
        <v>0</v>
      </c>
      <c r="AC538">
        <f t="shared" si="206"/>
        <v>1</v>
      </c>
      <c r="AD538">
        <f t="shared" si="206"/>
        <v>0</v>
      </c>
      <c r="AE538">
        <f t="shared" si="206"/>
        <v>0</v>
      </c>
      <c r="AF538" s="56">
        <f t="shared" si="198"/>
        <v>19</v>
      </c>
      <c r="AG538" s="59">
        <f t="shared" si="199"/>
        <v>6.5</v>
      </c>
      <c r="AH538">
        <f t="shared" si="200"/>
        <v>0.34210526315789475</v>
      </c>
    </row>
    <row r="539" spans="1:34" ht="15" x14ac:dyDescent="0.2">
      <c r="A539">
        <v>184</v>
      </c>
      <c r="B539" s="57" t="s">
        <v>248</v>
      </c>
      <c r="C539" s="57"/>
      <c r="D539">
        <f t="shared" si="196"/>
        <v>51</v>
      </c>
      <c r="E539" s="1">
        <f t="shared" si="197"/>
        <v>10</v>
      </c>
      <c r="F539">
        <f t="shared" si="204"/>
        <v>5</v>
      </c>
      <c r="G539">
        <f t="shared" si="204"/>
        <v>0</v>
      </c>
      <c r="H539">
        <f t="shared" si="204"/>
        <v>0</v>
      </c>
      <c r="I539">
        <f t="shared" si="204"/>
        <v>1</v>
      </c>
      <c r="J539">
        <f t="shared" si="204"/>
        <v>5</v>
      </c>
      <c r="K539">
        <f t="shared" si="204"/>
        <v>0</v>
      </c>
      <c r="L539">
        <f t="shared" si="204"/>
        <v>0</v>
      </c>
      <c r="M539">
        <f t="shared" si="204"/>
        <v>5</v>
      </c>
      <c r="N539">
        <f t="shared" si="204"/>
        <v>4</v>
      </c>
      <c r="O539">
        <f t="shared" si="204"/>
        <v>0</v>
      </c>
      <c r="P539">
        <f t="shared" si="205"/>
        <v>0</v>
      </c>
      <c r="Q539">
        <f t="shared" si="205"/>
        <v>0</v>
      </c>
      <c r="R539">
        <f t="shared" si="205"/>
        <v>0</v>
      </c>
      <c r="S539">
        <f t="shared" si="205"/>
        <v>1</v>
      </c>
      <c r="T539">
        <f t="shared" si="205"/>
        <v>1</v>
      </c>
      <c r="U539">
        <f t="shared" si="205"/>
        <v>1</v>
      </c>
      <c r="V539">
        <f t="shared" si="205"/>
        <v>0</v>
      </c>
      <c r="W539">
        <f t="shared" si="205"/>
        <v>2</v>
      </c>
      <c r="X539">
        <f t="shared" si="205"/>
        <v>3</v>
      </c>
      <c r="Y539">
        <f t="shared" si="205"/>
        <v>4</v>
      </c>
      <c r="Z539">
        <f t="shared" si="206"/>
        <v>0</v>
      </c>
      <c r="AA539">
        <f t="shared" si="206"/>
        <v>3</v>
      </c>
      <c r="AB539">
        <f t="shared" si="206"/>
        <v>3</v>
      </c>
      <c r="AC539">
        <f t="shared" si="206"/>
        <v>0</v>
      </c>
      <c r="AD539">
        <f t="shared" si="206"/>
        <v>1</v>
      </c>
      <c r="AE539">
        <f t="shared" si="206"/>
        <v>0</v>
      </c>
      <c r="AF539" s="56">
        <f t="shared" si="198"/>
        <v>14</v>
      </c>
      <c r="AG539" s="59">
        <f t="shared" si="199"/>
        <v>5.0999999999999996</v>
      </c>
      <c r="AH539">
        <f t="shared" si="200"/>
        <v>0.36428571428571427</v>
      </c>
    </row>
    <row r="540" spans="1:34" ht="15" x14ac:dyDescent="0.2">
      <c r="A540">
        <v>228</v>
      </c>
      <c r="B540" s="57" t="s">
        <v>291</v>
      </c>
      <c r="C540" s="57"/>
      <c r="D540">
        <f t="shared" si="196"/>
        <v>51</v>
      </c>
      <c r="E540" s="1">
        <f t="shared" si="197"/>
        <v>12</v>
      </c>
      <c r="F540">
        <f t="shared" si="204"/>
        <v>8</v>
      </c>
      <c r="G540">
        <f t="shared" si="204"/>
        <v>1</v>
      </c>
      <c r="H540">
        <f t="shared" si="204"/>
        <v>5</v>
      </c>
      <c r="I540">
        <f t="shared" si="204"/>
        <v>1</v>
      </c>
      <c r="J540">
        <f t="shared" si="204"/>
        <v>5</v>
      </c>
      <c r="K540">
        <f t="shared" si="204"/>
        <v>1</v>
      </c>
      <c r="L540">
        <f t="shared" si="204"/>
        <v>0</v>
      </c>
      <c r="M540">
        <f t="shared" si="204"/>
        <v>4</v>
      </c>
      <c r="N540">
        <f t="shared" si="204"/>
        <v>1</v>
      </c>
      <c r="O540">
        <f t="shared" si="204"/>
        <v>0</v>
      </c>
      <c r="P540">
        <f t="shared" si="205"/>
        <v>0</v>
      </c>
      <c r="Q540">
        <f t="shared" si="205"/>
        <v>1</v>
      </c>
      <c r="R540">
        <f t="shared" si="205"/>
        <v>2</v>
      </c>
      <c r="S540">
        <f t="shared" si="205"/>
        <v>4</v>
      </c>
      <c r="T540">
        <f t="shared" si="205"/>
        <v>1</v>
      </c>
      <c r="U540">
        <f t="shared" si="205"/>
        <v>0</v>
      </c>
      <c r="V540">
        <f t="shared" si="205"/>
        <v>0</v>
      </c>
      <c r="W540">
        <f t="shared" si="205"/>
        <v>0</v>
      </c>
      <c r="X540">
        <f t="shared" si="205"/>
        <v>2</v>
      </c>
      <c r="Y540">
        <f t="shared" si="205"/>
        <v>2</v>
      </c>
      <c r="Z540">
        <f t="shared" si="206"/>
        <v>0</v>
      </c>
      <c r="AA540">
        <f t="shared" si="206"/>
        <v>0</v>
      </c>
      <c r="AB540">
        <f t="shared" si="206"/>
        <v>1</v>
      </c>
      <c r="AC540">
        <f t="shared" si="206"/>
        <v>0</v>
      </c>
      <c r="AD540">
        <f t="shared" si="206"/>
        <v>0</v>
      </c>
      <c r="AE540">
        <f t="shared" si="206"/>
        <v>0</v>
      </c>
      <c r="AF540" s="56">
        <f t="shared" si="198"/>
        <v>15</v>
      </c>
      <c r="AG540" s="59">
        <f t="shared" si="199"/>
        <v>4.25</v>
      </c>
      <c r="AH540">
        <f t="shared" si="200"/>
        <v>0.28333333333333333</v>
      </c>
    </row>
    <row r="541" spans="1:34" ht="15" x14ac:dyDescent="0.2">
      <c r="A541">
        <v>107</v>
      </c>
      <c r="B541" s="57" t="s">
        <v>172</v>
      </c>
      <c r="C541" s="57"/>
      <c r="D541">
        <f t="shared" si="196"/>
        <v>51</v>
      </c>
      <c r="E541" s="1">
        <f t="shared" si="197"/>
        <v>10</v>
      </c>
      <c r="F541">
        <f t="shared" si="204"/>
        <v>6</v>
      </c>
      <c r="G541">
        <f t="shared" si="204"/>
        <v>1</v>
      </c>
      <c r="H541">
        <f t="shared" si="204"/>
        <v>0</v>
      </c>
      <c r="I541">
        <f t="shared" si="204"/>
        <v>0</v>
      </c>
      <c r="J541">
        <f t="shared" si="204"/>
        <v>5</v>
      </c>
      <c r="K541">
        <f t="shared" si="204"/>
        <v>3</v>
      </c>
      <c r="L541">
        <f t="shared" si="204"/>
        <v>0</v>
      </c>
      <c r="M541">
        <f t="shared" si="204"/>
        <v>0</v>
      </c>
      <c r="N541">
        <f t="shared" si="204"/>
        <v>6</v>
      </c>
      <c r="O541">
        <f t="shared" si="204"/>
        <v>0</v>
      </c>
      <c r="P541">
        <f t="shared" si="205"/>
        <v>2</v>
      </c>
      <c r="Q541">
        <f t="shared" si="205"/>
        <v>4</v>
      </c>
      <c r="R541">
        <f t="shared" si="205"/>
        <v>1</v>
      </c>
      <c r="S541">
        <f t="shared" si="205"/>
        <v>3</v>
      </c>
      <c r="T541">
        <f t="shared" si="205"/>
        <v>1</v>
      </c>
      <c r="U541">
        <f t="shared" si="205"/>
        <v>0</v>
      </c>
      <c r="V541">
        <f t="shared" si="205"/>
        <v>0</v>
      </c>
      <c r="W541">
        <f t="shared" si="205"/>
        <v>3</v>
      </c>
      <c r="X541">
        <f t="shared" si="205"/>
        <v>2</v>
      </c>
      <c r="Y541">
        <f t="shared" si="205"/>
        <v>2</v>
      </c>
      <c r="Z541">
        <f t="shared" si="206"/>
        <v>1</v>
      </c>
      <c r="AA541">
        <f t="shared" si="206"/>
        <v>0</v>
      </c>
      <c r="AB541">
        <f t="shared" si="206"/>
        <v>1</v>
      </c>
      <c r="AC541">
        <f t="shared" si="206"/>
        <v>0</v>
      </c>
      <c r="AD541">
        <f t="shared" si="206"/>
        <v>0</v>
      </c>
      <c r="AE541">
        <f t="shared" si="206"/>
        <v>0</v>
      </c>
      <c r="AF541" s="56">
        <f t="shared" si="198"/>
        <v>15</v>
      </c>
      <c r="AG541" s="59">
        <f t="shared" si="199"/>
        <v>5.0999999999999996</v>
      </c>
      <c r="AH541">
        <f t="shared" si="200"/>
        <v>0.33999999999999997</v>
      </c>
    </row>
    <row r="542" spans="1:34" ht="15" x14ac:dyDescent="0.2">
      <c r="A542">
        <v>466</v>
      </c>
      <c r="B542" s="57" t="s">
        <v>505</v>
      </c>
      <c r="C542" s="57"/>
      <c r="D542">
        <f t="shared" si="196"/>
        <v>51</v>
      </c>
      <c r="E542" s="1">
        <f t="shared" si="197"/>
        <v>8</v>
      </c>
      <c r="F542">
        <f t="shared" ref="F542:O551" si="207">LEN($B542)-LEN(SUBSTITUTE($B542,F$1,""))</f>
        <v>3</v>
      </c>
      <c r="G542">
        <f t="shared" si="207"/>
        <v>0</v>
      </c>
      <c r="H542">
        <f t="shared" si="207"/>
        <v>1</v>
      </c>
      <c r="I542">
        <f t="shared" si="207"/>
        <v>0</v>
      </c>
      <c r="J542">
        <f t="shared" si="207"/>
        <v>1</v>
      </c>
      <c r="K542">
        <f t="shared" si="207"/>
        <v>0</v>
      </c>
      <c r="L542">
        <f t="shared" si="207"/>
        <v>3</v>
      </c>
      <c r="M542">
        <f t="shared" si="207"/>
        <v>5</v>
      </c>
      <c r="N542">
        <f t="shared" si="207"/>
        <v>7</v>
      </c>
      <c r="O542">
        <f t="shared" si="207"/>
        <v>0</v>
      </c>
      <c r="P542">
        <f t="shared" ref="P542:Y551" si="208">LEN($B542)-LEN(SUBSTITUTE($B542,P$1,""))</f>
        <v>0</v>
      </c>
      <c r="Q542">
        <f t="shared" si="208"/>
        <v>2</v>
      </c>
      <c r="R542">
        <f t="shared" si="208"/>
        <v>1</v>
      </c>
      <c r="S542">
        <f t="shared" si="208"/>
        <v>3</v>
      </c>
      <c r="T542">
        <f t="shared" si="208"/>
        <v>3</v>
      </c>
      <c r="U542">
        <f t="shared" si="208"/>
        <v>3</v>
      </c>
      <c r="V542">
        <f t="shared" si="208"/>
        <v>0</v>
      </c>
      <c r="W542">
        <f t="shared" si="208"/>
        <v>2</v>
      </c>
      <c r="X542">
        <f t="shared" si="208"/>
        <v>1</v>
      </c>
      <c r="Y542">
        <f t="shared" si="208"/>
        <v>5</v>
      </c>
      <c r="Z542">
        <f t="shared" ref="Z542:AE551" si="209">LEN($B542)-LEN(SUBSTITUTE($B542,Z$1,""))</f>
        <v>0</v>
      </c>
      <c r="AA542">
        <f t="shared" si="209"/>
        <v>0</v>
      </c>
      <c r="AB542">
        <f t="shared" si="209"/>
        <v>1</v>
      </c>
      <c r="AC542">
        <f t="shared" si="209"/>
        <v>0</v>
      </c>
      <c r="AD542">
        <f t="shared" si="209"/>
        <v>1</v>
      </c>
      <c r="AE542">
        <f t="shared" si="209"/>
        <v>0</v>
      </c>
      <c r="AF542" s="56">
        <f t="shared" si="198"/>
        <v>16</v>
      </c>
      <c r="AG542" s="59">
        <f t="shared" si="199"/>
        <v>6.375</v>
      </c>
      <c r="AH542">
        <f t="shared" si="200"/>
        <v>0.3984375</v>
      </c>
    </row>
    <row r="543" spans="1:34" ht="15" x14ac:dyDescent="0.2">
      <c r="A543">
        <v>596</v>
      </c>
      <c r="B543" s="57" t="s">
        <v>616</v>
      </c>
      <c r="C543" s="57"/>
      <c r="D543">
        <f t="shared" si="196"/>
        <v>51</v>
      </c>
      <c r="E543" s="1">
        <f t="shared" si="197"/>
        <v>8</v>
      </c>
      <c r="F543">
        <f t="shared" si="207"/>
        <v>3</v>
      </c>
      <c r="G543">
        <f t="shared" si="207"/>
        <v>0</v>
      </c>
      <c r="H543">
        <f t="shared" si="207"/>
        <v>2</v>
      </c>
      <c r="I543">
        <f t="shared" si="207"/>
        <v>1</v>
      </c>
      <c r="J543">
        <f t="shared" si="207"/>
        <v>8</v>
      </c>
      <c r="K543">
        <f t="shared" si="207"/>
        <v>0</v>
      </c>
      <c r="L543">
        <f t="shared" si="207"/>
        <v>3</v>
      </c>
      <c r="M543">
        <f t="shared" si="207"/>
        <v>1</v>
      </c>
      <c r="N543">
        <f t="shared" si="207"/>
        <v>2</v>
      </c>
      <c r="O543">
        <f t="shared" si="207"/>
        <v>0</v>
      </c>
      <c r="P543">
        <f t="shared" si="208"/>
        <v>0</v>
      </c>
      <c r="Q543">
        <f t="shared" si="208"/>
        <v>0</v>
      </c>
      <c r="R543">
        <f t="shared" si="208"/>
        <v>1</v>
      </c>
      <c r="S543">
        <f t="shared" si="208"/>
        <v>3</v>
      </c>
      <c r="T543">
        <f t="shared" si="208"/>
        <v>1</v>
      </c>
      <c r="U543">
        <f t="shared" si="208"/>
        <v>1</v>
      </c>
      <c r="V543">
        <f t="shared" si="208"/>
        <v>0</v>
      </c>
      <c r="W543">
        <f t="shared" si="208"/>
        <v>6</v>
      </c>
      <c r="X543">
        <f t="shared" si="208"/>
        <v>4</v>
      </c>
      <c r="Y543">
        <f t="shared" si="208"/>
        <v>1</v>
      </c>
      <c r="Z543">
        <f t="shared" si="209"/>
        <v>3</v>
      </c>
      <c r="AA543">
        <f t="shared" si="209"/>
        <v>0</v>
      </c>
      <c r="AB543">
        <f t="shared" si="209"/>
        <v>1</v>
      </c>
      <c r="AC543">
        <f t="shared" si="209"/>
        <v>0</v>
      </c>
      <c r="AD543">
        <f t="shared" si="209"/>
        <v>1</v>
      </c>
      <c r="AE543">
        <f t="shared" si="209"/>
        <v>0</v>
      </c>
      <c r="AF543" s="56">
        <f t="shared" si="198"/>
        <v>17</v>
      </c>
      <c r="AG543" s="59">
        <f t="shared" si="199"/>
        <v>6.375</v>
      </c>
      <c r="AH543">
        <f t="shared" si="200"/>
        <v>0.375</v>
      </c>
    </row>
    <row r="544" spans="1:34" ht="15" x14ac:dyDescent="0.2">
      <c r="A544">
        <v>257</v>
      </c>
      <c r="B544" s="57" t="s">
        <v>320</v>
      </c>
      <c r="C544" s="57"/>
      <c r="D544">
        <f t="shared" si="196"/>
        <v>51</v>
      </c>
      <c r="E544" s="1">
        <f t="shared" si="197"/>
        <v>10</v>
      </c>
      <c r="F544">
        <f t="shared" si="207"/>
        <v>3</v>
      </c>
      <c r="G544">
        <f t="shared" si="207"/>
        <v>1</v>
      </c>
      <c r="H544">
        <f t="shared" si="207"/>
        <v>1</v>
      </c>
      <c r="I544">
        <f t="shared" si="207"/>
        <v>0</v>
      </c>
      <c r="J544">
        <f t="shared" si="207"/>
        <v>2</v>
      </c>
      <c r="K544">
        <f t="shared" si="207"/>
        <v>0</v>
      </c>
      <c r="L544">
        <f t="shared" si="207"/>
        <v>2</v>
      </c>
      <c r="M544">
        <f t="shared" si="207"/>
        <v>2</v>
      </c>
      <c r="N544">
        <f t="shared" si="207"/>
        <v>4</v>
      </c>
      <c r="O544">
        <f t="shared" si="207"/>
        <v>0</v>
      </c>
      <c r="P544">
        <f t="shared" si="208"/>
        <v>1</v>
      </c>
      <c r="Q544">
        <f t="shared" si="208"/>
        <v>0</v>
      </c>
      <c r="R544">
        <f t="shared" si="208"/>
        <v>0</v>
      </c>
      <c r="S544">
        <f t="shared" si="208"/>
        <v>3</v>
      </c>
      <c r="T544">
        <f t="shared" si="208"/>
        <v>2</v>
      </c>
      <c r="U544">
        <f t="shared" si="208"/>
        <v>0</v>
      </c>
      <c r="V544">
        <f t="shared" si="208"/>
        <v>0</v>
      </c>
      <c r="W544">
        <f t="shared" si="208"/>
        <v>3</v>
      </c>
      <c r="X544">
        <f t="shared" si="208"/>
        <v>2</v>
      </c>
      <c r="Y544">
        <f t="shared" si="208"/>
        <v>4</v>
      </c>
      <c r="Z544">
        <f t="shared" si="209"/>
        <v>3</v>
      </c>
      <c r="AA544">
        <f t="shared" si="209"/>
        <v>1</v>
      </c>
      <c r="AB544">
        <f t="shared" si="209"/>
        <v>1</v>
      </c>
      <c r="AC544">
        <f t="shared" si="209"/>
        <v>0</v>
      </c>
      <c r="AD544">
        <f t="shared" si="209"/>
        <v>3</v>
      </c>
      <c r="AE544">
        <f t="shared" si="209"/>
        <v>0</v>
      </c>
      <c r="AF544" s="56">
        <f t="shared" si="198"/>
        <v>17</v>
      </c>
      <c r="AG544" s="59">
        <f t="shared" si="199"/>
        <v>5.0999999999999996</v>
      </c>
      <c r="AH544">
        <f t="shared" si="200"/>
        <v>0.3</v>
      </c>
    </row>
    <row r="545" spans="1:34" ht="15" x14ac:dyDescent="0.2">
      <c r="A545">
        <v>84</v>
      </c>
      <c r="B545" s="57" t="s">
        <v>149</v>
      </c>
      <c r="C545" s="57"/>
      <c r="D545">
        <f t="shared" si="196"/>
        <v>51</v>
      </c>
      <c r="E545" s="1">
        <f t="shared" si="197"/>
        <v>11</v>
      </c>
      <c r="F545">
        <f t="shared" si="207"/>
        <v>5</v>
      </c>
      <c r="G545">
        <f t="shared" si="207"/>
        <v>2</v>
      </c>
      <c r="H545">
        <f t="shared" si="207"/>
        <v>1</v>
      </c>
      <c r="I545">
        <f t="shared" si="207"/>
        <v>1</v>
      </c>
      <c r="J545">
        <f t="shared" si="207"/>
        <v>6</v>
      </c>
      <c r="K545">
        <f t="shared" si="207"/>
        <v>1</v>
      </c>
      <c r="L545">
        <f t="shared" si="207"/>
        <v>0</v>
      </c>
      <c r="M545">
        <f t="shared" si="207"/>
        <v>3</v>
      </c>
      <c r="N545">
        <f t="shared" si="207"/>
        <v>3</v>
      </c>
      <c r="O545">
        <f t="shared" si="207"/>
        <v>0</v>
      </c>
      <c r="P545">
        <f t="shared" si="208"/>
        <v>2</v>
      </c>
      <c r="Q545">
        <f t="shared" si="208"/>
        <v>0</v>
      </c>
      <c r="R545">
        <f t="shared" si="208"/>
        <v>0</v>
      </c>
      <c r="S545">
        <f t="shared" si="208"/>
        <v>3</v>
      </c>
      <c r="T545">
        <f t="shared" si="208"/>
        <v>1</v>
      </c>
      <c r="U545">
        <f t="shared" si="208"/>
        <v>0</v>
      </c>
      <c r="V545">
        <f t="shared" si="208"/>
        <v>0</v>
      </c>
      <c r="W545">
        <f t="shared" si="208"/>
        <v>4</v>
      </c>
      <c r="X545">
        <f t="shared" si="208"/>
        <v>2</v>
      </c>
      <c r="Y545">
        <f t="shared" si="208"/>
        <v>2</v>
      </c>
      <c r="Z545">
        <f t="shared" si="209"/>
        <v>2</v>
      </c>
      <c r="AA545">
        <f t="shared" si="209"/>
        <v>1</v>
      </c>
      <c r="AB545">
        <f t="shared" si="209"/>
        <v>0</v>
      </c>
      <c r="AC545">
        <f t="shared" si="209"/>
        <v>0</v>
      </c>
      <c r="AD545">
        <f t="shared" si="209"/>
        <v>1</v>
      </c>
      <c r="AE545">
        <f t="shared" si="209"/>
        <v>0</v>
      </c>
      <c r="AF545" s="56">
        <f t="shared" si="198"/>
        <v>17</v>
      </c>
      <c r="AG545" s="59">
        <f t="shared" si="199"/>
        <v>4.6363636363636367</v>
      </c>
      <c r="AH545">
        <f t="shared" si="200"/>
        <v>0.27272727272727276</v>
      </c>
    </row>
    <row r="546" spans="1:34" ht="15" x14ac:dyDescent="0.2">
      <c r="A546">
        <v>250</v>
      </c>
      <c r="B546" s="57" t="s">
        <v>313</v>
      </c>
      <c r="C546" s="57"/>
      <c r="D546">
        <f t="shared" si="196"/>
        <v>51</v>
      </c>
      <c r="E546" s="1">
        <f t="shared" si="197"/>
        <v>9</v>
      </c>
      <c r="F546">
        <f t="shared" si="207"/>
        <v>4</v>
      </c>
      <c r="G546">
        <f t="shared" si="207"/>
        <v>0</v>
      </c>
      <c r="H546">
        <f t="shared" si="207"/>
        <v>1</v>
      </c>
      <c r="I546">
        <f t="shared" si="207"/>
        <v>0</v>
      </c>
      <c r="J546">
        <f t="shared" si="207"/>
        <v>3</v>
      </c>
      <c r="K546">
        <f t="shared" si="207"/>
        <v>2</v>
      </c>
      <c r="L546">
        <f t="shared" si="207"/>
        <v>1</v>
      </c>
      <c r="M546">
        <f t="shared" si="207"/>
        <v>0</v>
      </c>
      <c r="N546">
        <f t="shared" si="207"/>
        <v>2</v>
      </c>
      <c r="O546">
        <f t="shared" si="207"/>
        <v>0</v>
      </c>
      <c r="P546">
        <f t="shared" si="208"/>
        <v>0</v>
      </c>
      <c r="Q546">
        <f t="shared" si="208"/>
        <v>1</v>
      </c>
      <c r="R546">
        <f t="shared" si="208"/>
        <v>2</v>
      </c>
      <c r="S546">
        <f t="shared" si="208"/>
        <v>5</v>
      </c>
      <c r="T546">
        <f t="shared" si="208"/>
        <v>6</v>
      </c>
      <c r="U546">
        <f t="shared" si="208"/>
        <v>3</v>
      </c>
      <c r="V546">
        <f t="shared" si="208"/>
        <v>0</v>
      </c>
      <c r="W546">
        <f t="shared" si="208"/>
        <v>3</v>
      </c>
      <c r="X546">
        <f t="shared" si="208"/>
        <v>1</v>
      </c>
      <c r="Y546">
        <f t="shared" si="208"/>
        <v>4</v>
      </c>
      <c r="Z546">
        <f t="shared" si="209"/>
        <v>1</v>
      </c>
      <c r="AA546">
        <f t="shared" si="209"/>
        <v>1</v>
      </c>
      <c r="AB546">
        <f t="shared" si="209"/>
        <v>1</v>
      </c>
      <c r="AC546">
        <f t="shared" si="209"/>
        <v>0</v>
      </c>
      <c r="AD546">
        <f t="shared" si="209"/>
        <v>1</v>
      </c>
      <c r="AE546">
        <f t="shared" si="209"/>
        <v>0</v>
      </c>
      <c r="AF546" s="56">
        <f t="shared" si="198"/>
        <v>18</v>
      </c>
      <c r="AG546" s="59">
        <f t="shared" si="199"/>
        <v>5.666666666666667</v>
      </c>
      <c r="AH546">
        <f t="shared" si="200"/>
        <v>0.31481481481481483</v>
      </c>
    </row>
    <row r="547" spans="1:34" ht="15" x14ac:dyDescent="0.2">
      <c r="A547">
        <v>218</v>
      </c>
      <c r="B547" s="57" t="s">
        <v>282</v>
      </c>
      <c r="C547" s="57"/>
      <c r="D547">
        <f t="shared" si="196"/>
        <v>51</v>
      </c>
      <c r="E547" s="1">
        <f t="shared" si="197"/>
        <v>8</v>
      </c>
      <c r="F547">
        <f t="shared" si="207"/>
        <v>2</v>
      </c>
      <c r="G547">
        <f t="shared" si="207"/>
        <v>0</v>
      </c>
      <c r="H547">
        <f t="shared" si="207"/>
        <v>0</v>
      </c>
      <c r="I547">
        <f t="shared" si="207"/>
        <v>1</v>
      </c>
      <c r="J547">
        <f t="shared" si="207"/>
        <v>6</v>
      </c>
      <c r="K547">
        <f t="shared" si="207"/>
        <v>0</v>
      </c>
      <c r="L547">
        <f t="shared" si="207"/>
        <v>1</v>
      </c>
      <c r="M547">
        <f t="shared" si="207"/>
        <v>2</v>
      </c>
      <c r="N547">
        <f t="shared" si="207"/>
        <v>4</v>
      </c>
      <c r="O547">
        <f t="shared" si="207"/>
        <v>0</v>
      </c>
      <c r="P547">
        <f t="shared" si="208"/>
        <v>2</v>
      </c>
      <c r="Q547">
        <f t="shared" si="208"/>
        <v>2</v>
      </c>
      <c r="R547">
        <f t="shared" si="208"/>
        <v>2</v>
      </c>
      <c r="S547">
        <f t="shared" si="208"/>
        <v>3</v>
      </c>
      <c r="T547">
        <f t="shared" si="208"/>
        <v>3</v>
      </c>
      <c r="U547">
        <f t="shared" si="208"/>
        <v>2</v>
      </c>
      <c r="V547">
        <f t="shared" si="208"/>
        <v>0</v>
      </c>
      <c r="W547">
        <f t="shared" si="208"/>
        <v>2</v>
      </c>
      <c r="X547">
        <f t="shared" si="208"/>
        <v>2</v>
      </c>
      <c r="Y547">
        <f t="shared" si="208"/>
        <v>3</v>
      </c>
      <c r="Z547">
        <f t="shared" si="209"/>
        <v>1</v>
      </c>
      <c r="AA547">
        <f t="shared" si="209"/>
        <v>0</v>
      </c>
      <c r="AB547">
        <f t="shared" si="209"/>
        <v>2</v>
      </c>
      <c r="AC547">
        <f t="shared" si="209"/>
        <v>0</v>
      </c>
      <c r="AD547">
        <f t="shared" si="209"/>
        <v>1</v>
      </c>
      <c r="AE547">
        <f t="shared" si="209"/>
        <v>0</v>
      </c>
      <c r="AF547" s="56">
        <f t="shared" si="198"/>
        <v>18</v>
      </c>
      <c r="AG547" s="59">
        <f t="shared" si="199"/>
        <v>6.375</v>
      </c>
      <c r="AH547">
        <f t="shared" si="200"/>
        <v>0.35416666666666669</v>
      </c>
    </row>
    <row r="548" spans="1:34" ht="15" x14ac:dyDescent="0.2">
      <c r="A548">
        <v>31</v>
      </c>
      <c r="B548" s="57" t="s">
        <v>96</v>
      </c>
      <c r="C548" s="57"/>
      <c r="D548">
        <f t="shared" si="196"/>
        <v>51</v>
      </c>
      <c r="E548" s="1">
        <f t="shared" si="197"/>
        <v>9</v>
      </c>
      <c r="F548">
        <f t="shared" si="207"/>
        <v>3</v>
      </c>
      <c r="G548">
        <f t="shared" si="207"/>
        <v>0</v>
      </c>
      <c r="H548">
        <f t="shared" si="207"/>
        <v>1</v>
      </c>
      <c r="I548">
        <f t="shared" si="207"/>
        <v>1</v>
      </c>
      <c r="J548">
        <f t="shared" si="207"/>
        <v>4</v>
      </c>
      <c r="K548">
        <f t="shared" si="207"/>
        <v>0</v>
      </c>
      <c r="L548">
        <f t="shared" si="207"/>
        <v>1</v>
      </c>
      <c r="M548">
        <f t="shared" si="207"/>
        <v>1</v>
      </c>
      <c r="N548">
        <f t="shared" si="207"/>
        <v>5</v>
      </c>
      <c r="O548">
        <f t="shared" si="207"/>
        <v>0</v>
      </c>
      <c r="P548">
        <f t="shared" si="208"/>
        <v>1</v>
      </c>
      <c r="Q548">
        <f t="shared" si="208"/>
        <v>2</v>
      </c>
      <c r="R548">
        <f t="shared" si="208"/>
        <v>1</v>
      </c>
      <c r="S548">
        <f t="shared" si="208"/>
        <v>5</v>
      </c>
      <c r="T548">
        <f t="shared" si="208"/>
        <v>6</v>
      </c>
      <c r="U548">
        <f t="shared" si="208"/>
        <v>0</v>
      </c>
      <c r="V548">
        <f t="shared" si="208"/>
        <v>0</v>
      </c>
      <c r="W548">
        <f t="shared" si="208"/>
        <v>2</v>
      </c>
      <c r="X548">
        <f t="shared" si="208"/>
        <v>1</v>
      </c>
      <c r="Y548">
        <f t="shared" si="208"/>
        <v>4</v>
      </c>
      <c r="Z548">
        <f t="shared" si="209"/>
        <v>1</v>
      </c>
      <c r="AA548">
        <f t="shared" si="209"/>
        <v>0</v>
      </c>
      <c r="AB548">
        <f t="shared" si="209"/>
        <v>1</v>
      </c>
      <c r="AC548">
        <f t="shared" si="209"/>
        <v>0</v>
      </c>
      <c r="AD548">
        <f t="shared" si="209"/>
        <v>1</v>
      </c>
      <c r="AE548">
        <f t="shared" si="209"/>
        <v>0</v>
      </c>
      <c r="AF548" s="56">
        <f t="shared" si="198"/>
        <v>18</v>
      </c>
      <c r="AG548" s="59">
        <f t="shared" si="199"/>
        <v>5.666666666666667</v>
      </c>
      <c r="AH548">
        <f t="shared" si="200"/>
        <v>0.31481481481481483</v>
      </c>
    </row>
    <row r="549" spans="1:34" ht="15" x14ac:dyDescent="0.2">
      <c r="A549">
        <v>90</v>
      </c>
      <c r="B549" s="57" t="s">
        <v>155</v>
      </c>
      <c r="C549" s="57"/>
      <c r="D549">
        <f t="shared" si="196"/>
        <v>51</v>
      </c>
      <c r="E549" s="1">
        <f t="shared" si="197"/>
        <v>10</v>
      </c>
      <c r="F549">
        <f t="shared" si="207"/>
        <v>3</v>
      </c>
      <c r="G549">
        <f t="shared" si="207"/>
        <v>1</v>
      </c>
      <c r="H549">
        <f t="shared" si="207"/>
        <v>1</v>
      </c>
      <c r="I549">
        <f t="shared" si="207"/>
        <v>1</v>
      </c>
      <c r="J549">
        <f t="shared" si="207"/>
        <v>6</v>
      </c>
      <c r="K549">
        <f t="shared" si="207"/>
        <v>1</v>
      </c>
      <c r="L549">
        <f t="shared" si="207"/>
        <v>0</v>
      </c>
      <c r="M549">
        <f t="shared" si="207"/>
        <v>1</v>
      </c>
      <c r="N549">
        <f t="shared" si="207"/>
        <v>0</v>
      </c>
      <c r="O549">
        <f t="shared" si="207"/>
        <v>0</v>
      </c>
      <c r="P549">
        <f t="shared" si="208"/>
        <v>1</v>
      </c>
      <c r="Q549">
        <f t="shared" si="208"/>
        <v>2</v>
      </c>
      <c r="R549">
        <f t="shared" si="208"/>
        <v>2</v>
      </c>
      <c r="S549">
        <f t="shared" si="208"/>
        <v>1</v>
      </c>
      <c r="T549">
        <f t="shared" si="208"/>
        <v>5</v>
      </c>
      <c r="U549">
        <f t="shared" si="208"/>
        <v>1</v>
      </c>
      <c r="V549">
        <f t="shared" si="208"/>
        <v>0</v>
      </c>
      <c r="W549">
        <f t="shared" si="208"/>
        <v>1</v>
      </c>
      <c r="X549">
        <f t="shared" si="208"/>
        <v>3</v>
      </c>
      <c r="Y549">
        <f t="shared" si="208"/>
        <v>2</v>
      </c>
      <c r="Z549">
        <f t="shared" si="209"/>
        <v>3</v>
      </c>
      <c r="AA549">
        <f t="shared" si="209"/>
        <v>0</v>
      </c>
      <c r="AB549">
        <f t="shared" si="209"/>
        <v>0</v>
      </c>
      <c r="AC549">
        <f t="shared" si="209"/>
        <v>1</v>
      </c>
      <c r="AD549">
        <f t="shared" si="209"/>
        <v>2</v>
      </c>
      <c r="AE549">
        <f t="shared" si="209"/>
        <v>0</v>
      </c>
      <c r="AF549" s="56">
        <f t="shared" si="198"/>
        <v>19</v>
      </c>
      <c r="AG549" s="59">
        <f t="shared" si="199"/>
        <v>5.0999999999999996</v>
      </c>
      <c r="AH549">
        <f t="shared" si="200"/>
        <v>0.26842105263157895</v>
      </c>
    </row>
    <row r="550" spans="1:34" ht="15" x14ac:dyDescent="0.2">
      <c r="A550">
        <v>141</v>
      </c>
      <c r="B550" s="57" t="s">
        <v>206</v>
      </c>
      <c r="C550" s="57"/>
      <c r="D550">
        <f t="shared" si="196"/>
        <v>50</v>
      </c>
      <c r="E550" s="1">
        <f t="shared" si="197"/>
        <v>10</v>
      </c>
      <c r="F550">
        <f t="shared" si="207"/>
        <v>4</v>
      </c>
      <c r="G550">
        <f t="shared" si="207"/>
        <v>1</v>
      </c>
      <c r="H550">
        <f t="shared" si="207"/>
        <v>0</v>
      </c>
      <c r="I550">
        <f t="shared" si="207"/>
        <v>1</v>
      </c>
      <c r="J550">
        <f t="shared" si="207"/>
        <v>8</v>
      </c>
      <c r="K550">
        <f t="shared" si="207"/>
        <v>2</v>
      </c>
      <c r="L550">
        <f t="shared" si="207"/>
        <v>1</v>
      </c>
      <c r="M550">
        <f t="shared" si="207"/>
        <v>3</v>
      </c>
      <c r="N550">
        <f t="shared" si="207"/>
        <v>1</v>
      </c>
      <c r="O550">
        <f t="shared" si="207"/>
        <v>0</v>
      </c>
      <c r="P550">
        <f t="shared" si="208"/>
        <v>0</v>
      </c>
      <c r="Q550">
        <f t="shared" si="208"/>
        <v>4</v>
      </c>
      <c r="R550">
        <f t="shared" si="208"/>
        <v>0</v>
      </c>
      <c r="S550">
        <f t="shared" si="208"/>
        <v>1</v>
      </c>
      <c r="T550">
        <f t="shared" si="208"/>
        <v>4</v>
      </c>
      <c r="U550">
        <f t="shared" si="208"/>
        <v>2</v>
      </c>
      <c r="V550">
        <f t="shared" si="208"/>
        <v>0</v>
      </c>
      <c r="W550">
        <f t="shared" si="208"/>
        <v>3</v>
      </c>
      <c r="X550">
        <f t="shared" si="208"/>
        <v>0</v>
      </c>
      <c r="Y550">
        <f t="shared" si="208"/>
        <v>2</v>
      </c>
      <c r="Z550">
        <f t="shared" si="209"/>
        <v>0</v>
      </c>
      <c r="AA550">
        <f t="shared" si="209"/>
        <v>1</v>
      </c>
      <c r="AB550">
        <f t="shared" si="209"/>
        <v>2</v>
      </c>
      <c r="AC550">
        <f t="shared" si="209"/>
        <v>0</v>
      </c>
      <c r="AD550">
        <f t="shared" si="209"/>
        <v>0</v>
      </c>
      <c r="AE550">
        <f t="shared" si="209"/>
        <v>0</v>
      </c>
      <c r="AF550" s="56">
        <f t="shared" si="198"/>
        <v>16</v>
      </c>
      <c r="AG550" s="59">
        <f t="shared" si="199"/>
        <v>5</v>
      </c>
      <c r="AH550">
        <f t="shared" si="200"/>
        <v>0.3125</v>
      </c>
    </row>
    <row r="551" spans="1:34" ht="15" x14ac:dyDescent="0.2">
      <c r="A551">
        <v>56</v>
      </c>
      <c r="B551" s="57" t="s">
        <v>121</v>
      </c>
      <c r="C551" s="57"/>
      <c r="D551">
        <f t="shared" si="196"/>
        <v>50</v>
      </c>
      <c r="E551" s="1">
        <f t="shared" si="197"/>
        <v>11</v>
      </c>
      <c r="F551">
        <f t="shared" si="207"/>
        <v>0</v>
      </c>
      <c r="G551">
        <f t="shared" si="207"/>
        <v>1</v>
      </c>
      <c r="H551">
        <f t="shared" si="207"/>
        <v>0</v>
      </c>
      <c r="I551">
        <f t="shared" si="207"/>
        <v>1</v>
      </c>
      <c r="J551">
        <f t="shared" si="207"/>
        <v>3</v>
      </c>
      <c r="K551">
        <f t="shared" si="207"/>
        <v>1</v>
      </c>
      <c r="L551">
        <f t="shared" si="207"/>
        <v>0</v>
      </c>
      <c r="M551">
        <f t="shared" si="207"/>
        <v>2</v>
      </c>
      <c r="N551">
        <f t="shared" si="207"/>
        <v>4</v>
      </c>
      <c r="O551">
        <f t="shared" si="207"/>
        <v>0</v>
      </c>
      <c r="P551">
        <f t="shared" si="208"/>
        <v>1</v>
      </c>
      <c r="Q551">
        <f t="shared" si="208"/>
        <v>3</v>
      </c>
      <c r="R551">
        <f t="shared" si="208"/>
        <v>0</v>
      </c>
      <c r="S551">
        <f t="shared" si="208"/>
        <v>4</v>
      </c>
      <c r="T551">
        <f t="shared" si="208"/>
        <v>6</v>
      </c>
      <c r="U551">
        <f t="shared" si="208"/>
        <v>0</v>
      </c>
      <c r="V551">
        <f t="shared" si="208"/>
        <v>0</v>
      </c>
      <c r="W551">
        <f t="shared" si="208"/>
        <v>1</v>
      </c>
      <c r="X551">
        <f t="shared" si="208"/>
        <v>1</v>
      </c>
      <c r="Y551">
        <f t="shared" si="208"/>
        <v>2</v>
      </c>
      <c r="Z551">
        <f t="shared" si="209"/>
        <v>4</v>
      </c>
      <c r="AA551">
        <f t="shared" si="209"/>
        <v>1</v>
      </c>
      <c r="AB551">
        <f t="shared" si="209"/>
        <v>2</v>
      </c>
      <c r="AC551">
        <f t="shared" si="209"/>
        <v>0</v>
      </c>
      <c r="AD551">
        <f t="shared" si="209"/>
        <v>2</v>
      </c>
      <c r="AE551">
        <f t="shared" si="209"/>
        <v>0</v>
      </c>
      <c r="AF551" s="56">
        <f t="shared" si="198"/>
        <v>17</v>
      </c>
      <c r="AG551" s="59">
        <f t="shared" si="199"/>
        <v>4.5454545454545459</v>
      </c>
      <c r="AH551">
        <f t="shared" si="200"/>
        <v>0.26737967914438504</v>
      </c>
    </row>
    <row r="552" spans="1:34" ht="15" x14ac:dyDescent="0.2">
      <c r="A552">
        <v>157</v>
      </c>
      <c r="B552" s="57" t="s">
        <v>222</v>
      </c>
      <c r="C552" s="57"/>
      <c r="D552">
        <f t="shared" si="196"/>
        <v>50</v>
      </c>
      <c r="E552" s="1">
        <f t="shared" si="197"/>
        <v>9</v>
      </c>
      <c r="F552">
        <f t="shared" ref="F552:O561" si="210">LEN($B552)-LEN(SUBSTITUTE($B552,F$1,""))</f>
        <v>4</v>
      </c>
      <c r="G552">
        <f t="shared" si="210"/>
        <v>1</v>
      </c>
      <c r="H552">
        <f t="shared" si="210"/>
        <v>2</v>
      </c>
      <c r="I552">
        <f t="shared" si="210"/>
        <v>0</v>
      </c>
      <c r="J552">
        <f t="shared" si="210"/>
        <v>5</v>
      </c>
      <c r="K552">
        <f t="shared" si="210"/>
        <v>1</v>
      </c>
      <c r="L552">
        <f t="shared" si="210"/>
        <v>0</v>
      </c>
      <c r="M552">
        <f t="shared" si="210"/>
        <v>3</v>
      </c>
      <c r="N552">
        <f t="shared" si="210"/>
        <v>4</v>
      </c>
      <c r="O552">
        <f t="shared" si="210"/>
        <v>0</v>
      </c>
      <c r="P552">
        <f t="shared" ref="P552:Y561" si="211">LEN($B552)-LEN(SUBSTITUTE($B552,P$1,""))</f>
        <v>0</v>
      </c>
      <c r="Q552">
        <f t="shared" si="211"/>
        <v>1</v>
      </c>
      <c r="R552">
        <f t="shared" si="211"/>
        <v>1</v>
      </c>
      <c r="S552">
        <f t="shared" si="211"/>
        <v>4</v>
      </c>
      <c r="T552">
        <f t="shared" si="211"/>
        <v>2</v>
      </c>
      <c r="U552">
        <f t="shared" si="211"/>
        <v>1</v>
      </c>
      <c r="V552">
        <f t="shared" si="211"/>
        <v>0</v>
      </c>
      <c r="W552">
        <f t="shared" si="211"/>
        <v>0</v>
      </c>
      <c r="X552">
        <f t="shared" si="211"/>
        <v>2</v>
      </c>
      <c r="Y552">
        <f t="shared" si="211"/>
        <v>5</v>
      </c>
      <c r="Z552">
        <f t="shared" ref="Z552:AE561" si="212">LEN($B552)-LEN(SUBSTITUTE($B552,Z$1,""))</f>
        <v>1</v>
      </c>
      <c r="AA552">
        <f t="shared" si="212"/>
        <v>1</v>
      </c>
      <c r="AB552">
        <f t="shared" si="212"/>
        <v>1</v>
      </c>
      <c r="AC552">
        <f t="shared" si="212"/>
        <v>0</v>
      </c>
      <c r="AD552">
        <f t="shared" si="212"/>
        <v>2</v>
      </c>
      <c r="AE552">
        <f t="shared" si="212"/>
        <v>0</v>
      </c>
      <c r="AF552" s="56">
        <f t="shared" si="198"/>
        <v>18</v>
      </c>
      <c r="AG552" s="59">
        <f t="shared" si="199"/>
        <v>5.5555555555555554</v>
      </c>
      <c r="AH552">
        <f t="shared" si="200"/>
        <v>0.30864197530864196</v>
      </c>
    </row>
    <row r="553" spans="1:34" ht="15" x14ac:dyDescent="0.2">
      <c r="A553">
        <v>143</v>
      </c>
      <c r="B553" s="57" t="s">
        <v>208</v>
      </c>
      <c r="C553" s="57"/>
      <c r="D553">
        <f t="shared" si="196"/>
        <v>50</v>
      </c>
      <c r="E553" s="1">
        <f t="shared" si="197"/>
        <v>8</v>
      </c>
      <c r="F553">
        <f t="shared" si="210"/>
        <v>3</v>
      </c>
      <c r="G553">
        <f t="shared" si="210"/>
        <v>0</v>
      </c>
      <c r="H553">
        <f t="shared" si="210"/>
        <v>2</v>
      </c>
      <c r="I553">
        <f t="shared" si="210"/>
        <v>0</v>
      </c>
      <c r="J553">
        <f t="shared" si="210"/>
        <v>7</v>
      </c>
      <c r="K553">
        <f t="shared" si="210"/>
        <v>0</v>
      </c>
      <c r="L553">
        <f t="shared" si="210"/>
        <v>1</v>
      </c>
      <c r="M553">
        <f t="shared" si="210"/>
        <v>1</v>
      </c>
      <c r="N553">
        <f t="shared" si="210"/>
        <v>1</v>
      </c>
      <c r="O553">
        <f t="shared" si="210"/>
        <v>0</v>
      </c>
      <c r="P553">
        <f t="shared" si="211"/>
        <v>0</v>
      </c>
      <c r="Q553">
        <f t="shared" si="211"/>
        <v>2</v>
      </c>
      <c r="R553">
        <f t="shared" si="211"/>
        <v>1</v>
      </c>
      <c r="S553">
        <f t="shared" si="211"/>
        <v>3</v>
      </c>
      <c r="T553">
        <f t="shared" si="211"/>
        <v>2</v>
      </c>
      <c r="U553">
        <f t="shared" si="211"/>
        <v>1</v>
      </c>
      <c r="V553">
        <f t="shared" si="211"/>
        <v>0</v>
      </c>
      <c r="W553">
        <f t="shared" si="211"/>
        <v>3</v>
      </c>
      <c r="X553">
        <f t="shared" si="211"/>
        <v>6</v>
      </c>
      <c r="Y553">
        <f t="shared" si="211"/>
        <v>2</v>
      </c>
      <c r="Z553">
        <f t="shared" si="212"/>
        <v>2</v>
      </c>
      <c r="AA553">
        <f t="shared" si="212"/>
        <v>1</v>
      </c>
      <c r="AB553">
        <f t="shared" si="212"/>
        <v>1</v>
      </c>
      <c r="AC553">
        <f t="shared" si="212"/>
        <v>0</v>
      </c>
      <c r="AD553">
        <f t="shared" si="212"/>
        <v>2</v>
      </c>
      <c r="AE553">
        <f t="shared" si="212"/>
        <v>0</v>
      </c>
      <c r="AF553" s="56">
        <f t="shared" si="198"/>
        <v>18</v>
      </c>
      <c r="AG553" s="59">
        <f t="shared" si="199"/>
        <v>6.25</v>
      </c>
      <c r="AH553">
        <f t="shared" si="200"/>
        <v>0.34722222222222221</v>
      </c>
    </row>
    <row r="554" spans="1:34" ht="15" x14ac:dyDescent="0.2">
      <c r="A554">
        <v>193</v>
      </c>
      <c r="B554" s="57" t="s">
        <v>257</v>
      </c>
      <c r="C554" s="57"/>
      <c r="D554">
        <f t="shared" si="196"/>
        <v>49</v>
      </c>
      <c r="E554" s="1">
        <f t="shared" si="197"/>
        <v>7</v>
      </c>
      <c r="F554">
        <f t="shared" si="210"/>
        <v>5</v>
      </c>
      <c r="G554">
        <f t="shared" si="210"/>
        <v>0</v>
      </c>
      <c r="H554">
        <f t="shared" si="210"/>
        <v>3</v>
      </c>
      <c r="I554">
        <f t="shared" si="210"/>
        <v>0</v>
      </c>
      <c r="J554">
        <f t="shared" si="210"/>
        <v>6</v>
      </c>
      <c r="K554">
        <f t="shared" si="210"/>
        <v>1</v>
      </c>
      <c r="L554">
        <f t="shared" si="210"/>
        <v>0</v>
      </c>
      <c r="M554">
        <f t="shared" si="210"/>
        <v>0</v>
      </c>
      <c r="N554">
        <f t="shared" si="210"/>
        <v>1</v>
      </c>
      <c r="O554">
        <f t="shared" si="210"/>
        <v>0</v>
      </c>
      <c r="P554">
        <f t="shared" si="211"/>
        <v>2</v>
      </c>
      <c r="Q554">
        <f t="shared" si="211"/>
        <v>0</v>
      </c>
      <c r="R554">
        <f t="shared" si="211"/>
        <v>3</v>
      </c>
      <c r="S554">
        <f t="shared" si="211"/>
        <v>0</v>
      </c>
      <c r="T554">
        <f t="shared" si="211"/>
        <v>1</v>
      </c>
      <c r="U554">
        <f t="shared" si="211"/>
        <v>1</v>
      </c>
      <c r="V554">
        <f t="shared" si="211"/>
        <v>0</v>
      </c>
      <c r="W554">
        <f t="shared" si="211"/>
        <v>4</v>
      </c>
      <c r="X554">
        <f t="shared" si="211"/>
        <v>4</v>
      </c>
      <c r="Y554">
        <f t="shared" si="211"/>
        <v>4</v>
      </c>
      <c r="Z554">
        <f t="shared" si="212"/>
        <v>2</v>
      </c>
      <c r="AA554">
        <f t="shared" si="212"/>
        <v>2</v>
      </c>
      <c r="AB554">
        <f t="shared" si="212"/>
        <v>0</v>
      </c>
      <c r="AC554">
        <f t="shared" si="212"/>
        <v>0</v>
      </c>
      <c r="AD554">
        <f t="shared" si="212"/>
        <v>2</v>
      </c>
      <c r="AE554">
        <f t="shared" si="212"/>
        <v>0</v>
      </c>
      <c r="AF554" s="56">
        <f t="shared" si="198"/>
        <v>15</v>
      </c>
      <c r="AG554" s="59">
        <f t="shared" si="199"/>
        <v>7</v>
      </c>
      <c r="AH554">
        <f t="shared" si="200"/>
        <v>0.46666666666666667</v>
      </c>
    </row>
    <row r="555" spans="1:34" ht="15" x14ac:dyDescent="0.2">
      <c r="A555">
        <v>86</v>
      </c>
      <c r="B555" s="57" t="s">
        <v>151</v>
      </c>
      <c r="C555" s="57"/>
      <c r="D555">
        <f t="shared" si="196"/>
        <v>49</v>
      </c>
      <c r="E555" s="1">
        <f t="shared" si="197"/>
        <v>10</v>
      </c>
      <c r="F555">
        <f t="shared" si="210"/>
        <v>1</v>
      </c>
      <c r="G555">
        <f t="shared" si="210"/>
        <v>1</v>
      </c>
      <c r="H555">
        <f t="shared" si="210"/>
        <v>0</v>
      </c>
      <c r="I555">
        <f t="shared" si="210"/>
        <v>1</v>
      </c>
      <c r="J555">
        <f t="shared" si="210"/>
        <v>9</v>
      </c>
      <c r="K555">
        <f t="shared" si="210"/>
        <v>2</v>
      </c>
      <c r="L555">
        <f t="shared" si="210"/>
        <v>0</v>
      </c>
      <c r="M555">
        <f t="shared" si="210"/>
        <v>5</v>
      </c>
      <c r="N555">
        <f t="shared" si="210"/>
        <v>1</v>
      </c>
      <c r="O555">
        <f t="shared" si="210"/>
        <v>0</v>
      </c>
      <c r="P555">
        <f t="shared" si="211"/>
        <v>0</v>
      </c>
      <c r="Q555">
        <f t="shared" si="211"/>
        <v>0</v>
      </c>
      <c r="R555">
        <f t="shared" si="211"/>
        <v>0</v>
      </c>
      <c r="S555">
        <f t="shared" si="211"/>
        <v>1</v>
      </c>
      <c r="T555">
        <f t="shared" si="211"/>
        <v>2</v>
      </c>
      <c r="U555">
        <f t="shared" si="211"/>
        <v>1</v>
      </c>
      <c r="V555">
        <f t="shared" si="211"/>
        <v>0</v>
      </c>
      <c r="W555">
        <f t="shared" si="211"/>
        <v>2</v>
      </c>
      <c r="X555">
        <f t="shared" si="211"/>
        <v>1</v>
      </c>
      <c r="Y555">
        <f t="shared" si="211"/>
        <v>9</v>
      </c>
      <c r="Z555">
        <f t="shared" si="212"/>
        <v>0</v>
      </c>
      <c r="AA555">
        <f t="shared" si="212"/>
        <v>1</v>
      </c>
      <c r="AB555">
        <f t="shared" si="212"/>
        <v>2</v>
      </c>
      <c r="AC555">
        <f t="shared" si="212"/>
        <v>0</v>
      </c>
      <c r="AD555">
        <f t="shared" si="212"/>
        <v>0</v>
      </c>
      <c r="AE555">
        <f t="shared" si="212"/>
        <v>0</v>
      </c>
      <c r="AF555" s="56">
        <f t="shared" si="198"/>
        <v>15</v>
      </c>
      <c r="AG555" s="59">
        <f t="shared" si="199"/>
        <v>4.9000000000000004</v>
      </c>
      <c r="AH555">
        <f t="shared" si="200"/>
        <v>0.32666666666666672</v>
      </c>
    </row>
    <row r="556" spans="1:34" ht="15" x14ac:dyDescent="0.2">
      <c r="A556">
        <v>148</v>
      </c>
      <c r="B556" s="57" t="s">
        <v>213</v>
      </c>
      <c r="C556" s="57"/>
      <c r="D556">
        <f t="shared" si="196"/>
        <v>49</v>
      </c>
      <c r="E556" s="1">
        <f t="shared" si="197"/>
        <v>11</v>
      </c>
      <c r="F556">
        <f t="shared" si="210"/>
        <v>4</v>
      </c>
      <c r="G556">
        <f t="shared" si="210"/>
        <v>0</v>
      </c>
      <c r="H556">
        <f t="shared" si="210"/>
        <v>1</v>
      </c>
      <c r="I556">
        <f t="shared" si="210"/>
        <v>0</v>
      </c>
      <c r="J556">
        <f t="shared" si="210"/>
        <v>5</v>
      </c>
      <c r="K556">
        <f t="shared" si="210"/>
        <v>1</v>
      </c>
      <c r="L556">
        <f t="shared" si="210"/>
        <v>0</v>
      </c>
      <c r="M556">
        <f t="shared" si="210"/>
        <v>1</v>
      </c>
      <c r="N556">
        <f t="shared" si="210"/>
        <v>3</v>
      </c>
      <c r="O556">
        <f t="shared" si="210"/>
        <v>0</v>
      </c>
      <c r="P556">
        <f t="shared" si="211"/>
        <v>0</v>
      </c>
      <c r="Q556">
        <f t="shared" si="211"/>
        <v>2</v>
      </c>
      <c r="R556">
        <f t="shared" si="211"/>
        <v>0</v>
      </c>
      <c r="S556">
        <f t="shared" si="211"/>
        <v>2</v>
      </c>
      <c r="T556">
        <f t="shared" si="211"/>
        <v>2</v>
      </c>
      <c r="U556">
        <f t="shared" si="211"/>
        <v>0</v>
      </c>
      <c r="V556">
        <f t="shared" si="211"/>
        <v>0</v>
      </c>
      <c r="W556">
        <f t="shared" si="211"/>
        <v>4</v>
      </c>
      <c r="X556">
        <f t="shared" si="211"/>
        <v>1</v>
      </c>
      <c r="Y556">
        <f t="shared" si="211"/>
        <v>4</v>
      </c>
      <c r="Z556">
        <f t="shared" si="212"/>
        <v>2</v>
      </c>
      <c r="AA556">
        <f t="shared" si="212"/>
        <v>1</v>
      </c>
      <c r="AB556">
        <f t="shared" si="212"/>
        <v>1</v>
      </c>
      <c r="AC556">
        <f t="shared" si="212"/>
        <v>0</v>
      </c>
      <c r="AD556">
        <f t="shared" si="212"/>
        <v>2</v>
      </c>
      <c r="AE556">
        <f t="shared" si="212"/>
        <v>0</v>
      </c>
      <c r="AF556" s="56">
        <f t="shared" si="198"/>
        <v>16</v>
      </c>
      <c r="AG556" s="59">
        <f t="shared" si="199"/>
        <v>4.4545454545454541</v>
      </c>
      <c r="AH556">
        <f t="shared" si="200"/>
        <v>0.27840909090909088</v>
      </c>
    </row>
    <row r="557" spans="1:34" ht="15" x14ac:dyDescent="0.2">
      <c r="A557">
        <v>14</v>
      </c>
      <c r="B557" s="57" t="s">
        <v>79</v>
      </c>
      <c r="C557" s="57"/>
      <c r="D557">
        <f t="shared" si="196"/>
        <v>49</v>
      </c>
      <c r="E557" s="1">
        <f t="shared" si="197"/>
        <v>11</v>
      </c>
      <c r="F557">
        <f t="shared" si="210"/>
        <v>5</v>
      </c>
      <c r="G557">
        <f t="shared" si="210"/>
        <v>0</v>
      </c>
      <c r="H557">
        <f t="shared" si="210"/>
        <v>1</v>
      </c>
      <c r="I557">
        <f t="shared" si="210"/>
        <v>4</v>
      </c>
      <c r="J557">
        <f t="shared" si="210"/>
        <v>6</v>
      </c>
      <c r="K557">
        <f t="shared" si="210"/>
        <v>1</v>
      </c>
      <c r="L557">
        <f t="shared" si="210"/>
        <v>1</v>
      </c>
      <c r="M557">
        <f t="shared" si="210"/>
        <v>0</v>
      </c>
      <c r="N557">
        <f t="shared" si="210"/>
        <v>2</v>
      </c>
      <c r="O557">
        <f t="shared" si="210"/>
        <v>0</v>
      </c>
      <c r="P557">
        <f t="shared" si="211"/>
        <v>2</v>
      </c>
      <c r="Q557">
        <f t="shared" si="211"/>
        <v>1</v>
      </c>
      <c r="R557">
        <f t="shared" si="211"/>
        <v>0</v>
      </c>
      <c r="S557">
        <f t="shared" si="211"/>
        <v>2</v>
      </c>
      <c r="T557">
        <f t="shared" si="211"/>
        <v>1</v>
      </c>
      <c r="U557">
        <f t="shared" si="211"/>
        <v>0</v>
      </c>
      <c r="V557">
        <f t="shared" si="211"/>
        <v>0</v>
      </c>
      <c r="W557">
        <f t="shared" si="211"/>
        <v>3</v>
      </c>
      <c r="X557">
        <f t="shared" si="211"/>
        <v>4</v>
      </c>
      <c r="Y557">
        <f t="shared" si="211"/>
        <v>3</v>
      </c>
      <c r="Z557">
        <f t="shared" si="212"/>
        <v>1</v>
      </c>
      <c r="AA557">
        <f t="shared" si="212"/>
        <v>0</v>
      </c>
      <c r="AB557">
        <f t="shared" si="212"/>
        <v>1</v>
      </c>
      <c r="AC557">
        <f t="shared" si="212"/>
        <v>0</v>
      </c>
      <c r="AD557">
        <f t="shared" si="212"/>
        <v>0</v>
      </c>
      <c r="AE557">
        <f t="shared" si="212"/>
        <v>0</v>
      </c>
      <c r="AF557" s="56">
        <f t="shared" si="198"/>
        <v>16</v>
      </c>
      <c r="AG557" s="59">
        <f t="shared" si="199"/>
        <v>4.4545454545454541</v>
      </c>
      <c r="AH557">
        <f t="shared" si="200"/>
        <v>0.27840909090909088</v>
      </c>
    </row>
    <row r="558" spans="1:34" ht="15" x14ac:dyDescent="0.2">
      <c r="A558">
        <v>71</v>
      </c>
      <c r="B558" s="57" t="s">
        <v>136</v>
      </c>
      <c r="C558" s="57"/>
      <c r="D558">
        <f t="shared" si="196"/>
        <v>49</v>
      </c>
      <c r="E558" s="1">
        <f t="shared" si="197"/>
        <v>10</v>
      </c>
      <c r="F558">
        <f t="shared" si="210"/>
        <v>3</v>
      </c>
      <c r="G558">
        <f t="shared" si="210"/>
        <v>0</v>
      </c>
      <c r="H558">
        <f t="shared" si="210"/>
        <v>1</v>
      </c>
      <c r="I558">
        <f t="shared" si="210"/>
        <v>1</v>
      </c>
      <c r="J558">
        <f t="shared" si="210"/>
        <v>2</v>
      </c>
      <c r="K558">
        <f t="shared" si="210"/>
        <v>2</v>
      </c>
      <c r="L558">
        <f t="shared" si="210"/>
        <v>1</v>
      </c>
      <c r="M558">
        <f t="shared" si="210"/>
        <v>1</v>
      </c>
      <c r="N558">
        <f t="shared" si="210"/>
        <v>2</v>
      </c>
      <c r="O558">
        <f t="shared" si="210"/>
        <v>0</v>
      </c>
      <c r="P558">
        <f t="shared" si="211"/>
        <v>0</v>
      </c>
      <c r="Q558">
        <f t="shared" si="211"/>
        <v>2</v>
      </c>
      <c r="R558">
        <f t="shared" si="211"/>
        <v>1</v>
      </c>
      <c r="S558">
        <f t="shared" si="211"/>
        <v>2</v>
      </c>
      <c r="T558">
        <f t="shared" si="211"/>
        <v>4</v>
      </c>
      <c r="U558">
        <f t="shared" si="211"/>
        <v>0</v>
      </c>
      <c r="V558">
        <f t="shared" si="211"/>
        <v>0</v>
      </c>
      <c r="W558">
        <f t="shared" si="211"/>
        <v>4</v>
      </c>
      <c r="X558">
        <f t="shared" si="211"/>
        <v>3</v>
      </c>
      <c r="Y558">
        <f t="shared" si="211"/>
        <v>4</v>
      </c>
      <c r="Z558">
        <f t="shared" si="212"/>
        <v>3</v>
      </c>
      <c r="AA558">
        <f t="shared" si="212"/>
        <v>0</v>
      </c>
      <c r="AB558">
        <f t="shared" si="212"/>
        <v>1</v>
      </c>
      <c r="AC558">
        <f t="shared" si="212"/>
        <v>0</v>
      </c>
      <c r="AD558">
        <f t="shared" si="212"/>
        <v>1</v>
      </c>
      <c r="AE558">
        <f t="shared" si="212"/>
        <v>0</v>
      </c>
      <c r="AF558" s="56">
        <f t="shared" si="198"/>
        <v>18</v>
      </c>
      <c r="AG558" s="59">
        <f t="shared" si="199"/>
        <v>4.9000000000000004</v>
      </c>
      <c r="AH558">
        <f t="shared" si="200"/>
        <v>0.27222222222222225</v>
      </c>
    </row>
    <row r="559" spans="1:34" ht="15" x14ac:dyDescent="0.2">
      <c r="A559">
        <v>479</v>
      </c>
      <c r="B559" s="57" t="s">
        <v>517</v>
      </c>
      <c r="C559" s="57"/>
      <c r="D559">
        <f t="shared" si="196"/>
        <v>48</v>
      </c>
      <c r="E559" s="1">
        <f t="shared" si="197"/>
        <v>8</v>
      </c>
      <c r="F559">
        <f t="shared" si="210"/>
        <v>4</v>
      </c>
      <c r="G559">
        <f t="shared" si="210"/>
        <v>0</v>
      </c>
      <c r="H559">
        <f t="shared" si="210"/>
        <v>2</v>
      </c>
      <c r="I559">
        <f t="shared" si="210"/>
        <v>2</v>
      </c>
      <c r="J559">
        <f t="shared" si="210"/>
        <v>5</v>
      </c>
      <c r="K559">
        <f t="shared" si="210"/>
        <v>1</v>
      </c>
      <c r="L559">
        <f t="shared" si="210"/>
        <v>0</v>
      </c>
      <c r="M559">
        <f t="shared" si="210"/>
        <v>2</v>
      </c>
      <c r="N559">
        <f t="shared" si="210"/>
        <v>2</v>
      </c>
      <c r="O559">
        <f t="shared" si="210"/>
        <v>0</v>
      </c>
      <c r="P559">
        <f t="shared" si="211"/>
        <v>0</v>
      </c>
      <c r="Q559">
        <f t="shared" si="211"/>
        <v>1</v>
      </c>
      <c r="R559">
        <f t="shared" si="211"/>
        <v>1</v>
      </c>
      <c r="S559">
        <f t="shared" si="211"/>
        <v>2</v>
      </c>
      <c r="T559">
        <f t="shared" si="211"/>
        <v>2</v>
      </c>
      <c r="U559">
        <f t="shared" si="211"/>
        <v>3</v>
      </c>
      <c r="V559">
        <f t="shared" si="211"/>
        <v>0</v>
      </c>
      <c r="W559">
        <f t="shared" si="211"/>
        <v>4</v>
      </c>
      <c r="X559">
        <f t="shared" si="211"/>
        <v>3</v>
      </c>
      <c r="Y559">
        <f t="shared" si="211"/>
        <v>2</v>
      </c>
      <c r="Z559">
        <f t="shared" si="212"/>
        <v>2</v>
      </c>
      <c r="AA559">
        <f t="shared" si="212"/>
        <v>1</v>
      </c>
      <c r="AB559">
        <f t="shared" si="212"/>
        <v>0</v>
      </c>
      <c r="AC559">
        <f t="shared" si="212"/>
        <v>0</v>
      </c>
      <c r="AD559">
        <f t="shared" si="212"/>
        <v>0</v>
      </c>
      <c r="AE559">
        <f t="shared" si="212"/>
        <v>0</v>
      </c>
      <c r="AF559" s="56">
        <f t="shared" si="198"/>
        <v>17</v>
      </c>
      <c r="AG559" s="59">
        <f t="shared" si="199"/>
        <v>6</v>
      </c>
      <c r="AH559">
        <f t="shared" si="200"/>
        <v>0.35294117647058826</v>
      </c>
    </row>
    <row r="560" spans="1:34" ht="15" x14ac:dyDescent="0.2">
      <c r="A560">
        <v>64</v>
      </c>
      <c r="B560" s="57" t="s">
        <v>129</v>
      </c>
      <c r="C560" s="57"/>
      <c r="D560">
        <f t="shared" si="196"/>
        <v>48</v>
      </c>
      <c r="E560" s="1">
        <f t="shared" si="197"/>
        <v>6</v>
      </c>
      <c r="F560">
        <f t="shared" si="210"/>
        <v>4</v>
      </c>
      <c r="G560">
        <f t="shared" si="210"/>
        <v>0</v>
      </c>
      <c r="H560">
        <f t="shared" si="210"/>
        <v>2</v>
      </c>
      <c r="I560">
        <f t="shared" si="210"/>
        <v>1</v>
      </c>
      <c r="J560">
        <f t="shared" si="210"/>
        <v>7</v>
      </c>
      <c r="K560">
        <f t="shared" si="210"/>
        <v>1</v>
      </c>
      <c r="L560">
        <f t="shared" si="210"/>
        <v>2</v>
      </c>
      <c r="M560">
        <f t="shared" si="210"/>
        <v>0</v>
      </c>
      <c r="N560">
        <f t="shared" si="210"/>
        <v>4</v>
      </c>
      <c r="O560">
        <f t="shared" si="210"/>
        <v>0</v>
      </c>
      <c r="P560">
        <f t="shared" si="211"/>
        <v>0</v>
      </c>
      <c r="Q560">
        <f t="shared" si="211"/>
        <v>2</v>
      </c>
      <c r="R560">
        <f t="shared" si="211"/>
        <v>3</v>
      </c>
      <c r="S560">
        <f t="shared" si="211"/>
        <v>3</v>
      </c>
      <c r="T560">
        <f t="shared" si="211"/>
        <v>1</v>
      </c>
      <c r="U560">
        <f t="shared" si="211"/>
        <v>1</v>
      </c>
      <c r="V560">
        <f t="shared" si="211"/>
        <v>0</v>
      </c>
      <c r="W560">
        <f t="shared" si="211"/>
        <v>2</v>
      </c>
      <c r="X560">
        <f t="shared" si="211"/>
        <v>1</v>
      </c>
      <c r="Y560">
        <f t="shared" si="211"/>
        <v>4</v>
      </c>
      <c r="Z560">
        <f t="shared" si="212"/>
        <v>1</v>
      </c>
      <c r="AA560">
        <f t="shared" si="212"/>
        <v>1</v>
      </c>
      <c r="AB560">
        <f t="shared" si="212"/>
        <v>0</v>
      </c>
      <c r="AC560">
        <f t="shared" si="212"/>
        <v>0</v>
      </c>
      <c r="AD560">
        <f t="shared" si="212"/>
        <v>0</v>
      </c>
      <c r="AE560">
        <f t="shared" si="212"/>
        <v>0</v>
      </c>
      <c r="AF560" s="56">
        <f t="shared" si="198"/>
        <v>17</v>
      </c>
      <c r="AG560" s="59">
        <f t="shared" si="199"/>
        <v>8</v>
      </c>
      <c r="AH560">
        <f t="shared" si="200"/>
        <v>0.47058823529411764</v>
      </c>
    </row>
    <row r="561" spans="1:34" ht="15" x14ac:dyDescent="0.2">
      <c r="A561">
        <v>256</v>
      </c>
      <c r="B561" s="57" t="s">
        <v>319</v>
      </c>
      <c r="C561" s="57"/>
      <c r="D561">
        <f t="shared" si="196"/>
        <v>47</v>
      </c>
      <c r="E561" s="1">
        <f t="shared" si="197"/>
        <v>7</v>
      </c>
      <c r="F561">
        <f t="shared" si="210"/>
        <v>5</v>
      </c>
      <c r="G561">
        <f t="shared" si="210"/>
        <v>0</v>
      </c>
      <c r="H561">
        <f t="shared" si="210"/>
        <v>0</v>
      </c>
      <c r="I561">
        <f t="shared" si="210"/>
        <v>0</v>
      </c>
      <c r="J561">
        <f t="shared" si="210"/>
        <v>4</v>
      </c>
      <c r="K561">
        <f t="shared" si="210"/>
        <v>0</v>
      </c>
      <c r="L561">
        <f t="shared" si="210"/>
        <v>1</v>
      </c>
      <c r="M561">
        <f t="shared" si="210"/>
        <v>1</v>
      </c>
      <c r="N561">
        <f t="shared" si="210"/>
        <v>2</v>
      </c>
      <c r="O561">
        <f t="shared" si="210"/>
        <v>0</v>
      </c>
      <c r="P561">
        <f t="shared" si="211"/>
        <v>0</v>
      </c>
      <c r="Q561">
        <f t="shared" si="211"/>
        <v>1</v>
      </c>
      <c r="R561">
        <f t="shared" si="211"/>
        <v>0</v>
      </c>
      <c r="S561">
        <f t="shared" si="211"/>
        <v>3</v>
      </c>
      <c r="T561">
        <f t="shared" si="211"/>
        <v>2</v>
      </c>
      <c r="U561">
        <f t="shared" si="211"/>
        <v>1</v>
      </c>
      <c r="V561">
        <f t="shared" si="211"/>
        <v>0</v>
      </c>
      <c r="W561">
        <f t="shared" si="211"/>
        <v>2</v>
      </c>
      <c r="X561">
        <f t="shared" si="211"/>
        <v>5</v>
      </c>
      <c r="Y561">
        <f t="shared" si="211"/>
        <v>2</v>
      </c>
      <c r="Z561">
        <f t="shared" si="212"/>
        <v>0</v>
      </c>
      <c r="AA561">
        <f t="shared" si="212"/>
        <v>1</v>
      </c>
      <c r="AB561">
        <f t="shared" si="212"/>
        <v>1</v>
      </c>
      <c r="AC561">
        <f t="shared" si="212"/>
        <v>0</v>
      </c>
      <c r="AD561">
        <f t="shared" si="212"/>
        <v>3</v>
      </c>
      <c r="AE561">
        <f t="shared" si="212"/>
        <v>0</v>
      </c>
      <c r="AF561" s="56">
        <f t="shared" si="198"/>
        <v>15</v>
      </c>
      <c r="AG561" s="59">
        <f t="shared" si="199"/>
        <v>6.7142857142857144</v>
      </c>
      <c r="AH561">
        <f t="shared" si="200"/>
        <v>0.44761904761904764</v>
      </c>
    </row>
    <row r="562" spans="1:34" ht="15" x14ac:dyDescent="0.2">
      <c r="A562">
        <v>186</v>
      </c>
      <c r="B562" s="57" t="s">
        <v>250</v>
      </c>
      <c r="C562" s="57"/>
      <c r="D562">
        <f t="shared" si="196"/>
        <v>47</v>
      </c>
      <c r="E562" s="1">
        <f t="shared" si="197"/>
        <v>6</v>
      </c>
      <c r="F562">
        <f t="shared" ref="F562:O571" si="213">LEN($B562)-LEN(SUBSTITUTE($B562,F$1,""))</f>
        <v>3</v>
      </c>
      <c r="G562">
        <f t="shared" si="213"/>
        <v>1</v>
      </c>
      <c r="H562">
        <f t="shared" si="213"/>
        <v>2</v>
      </c>
      <c r="I562">
        <f t="shared" si="213"/>
        <v>0</v>
      </c>
      <c r="J562">
        <f t="shared" si="213"/>
        <v>5</v>
      </c>
      <c r="K562">
        <f t="shared" si="213"/>
        <v>0</v>
      </c>
      <c r="L562">
        <f t="shared" si="213"/>
        <v>1</v>
      </c>
      <c r="M562">
        <f t="shared" si="213"/>
        <v>1</v>
      </c>
      <c r="N562">
        <f t="shared" si="213"/>
        <v>3</v>
      </c>
      <c r="O562">
        <f t="shared" si="213"/>
        <v>0</v>
      </c>
      <c r="P562">
        <f t="shared" ref="P562:Y571" si="214">LEN($B562)-LEN(SUBSTITUTE($B562,P$1,""))</f>
        <v>0</v>
      </c>
      <c r="Q562">
        <f t="shared" si="214"/>
        <v>0</v>
      </c>
      <c r="R562">
        <f t="shared" si="214"/>
        <v>1</v>
      </c>
      <c r="S562">
        <f t="shared" si="214"/>
        <v>7</v>
      </c>
      <c r="T562">
        <f t="shared" si="214"/>
        <v>3</v>
      </c>
      <c r="U562">
        <f t="shared" si="214"/>
        <v>1</v>
      </c>
      <c r="V562">
        <f t="shared" si="214"/>
        <v>0</v>
      </c>
      <c r="W562">
        <f t="shared" si="214"/>
        <v>0</v>
      </c>
      <c r="X562">
        <f t="shared" si="214"/>
        <v>5</v>
      </c>
      <c r="Y562">
        <f t="shared" si="214"/>
        <v>4</v>
      </c>
      <c r="Z562">
        <f t="shared" ref="Z562:AE571" si="215">LEN($B562)-LEN(SUBSTITUTE($B562,Z$1,""))</f>
        <v>1</v>
      </c>
      <c r="AA562">
        <f t="shared" si="215"/>
        <v>0</v>
      </c>
      <c r="AB562">
        <f t="shared" si="215"/>
        <v>1</v>
      </c>
      <c r="AC562">
        <f t="shared" si="215"/>
        <v>0</v>
      </c>
      <c r="AD562">
        <f t="shared" si="215"/>
        <v>1</v>
      </c>
      <c r="AE562">
        <f t="shared" si="215"/>
        <v>0</v>
      </c>
      <c r="AF562" s="56">
        <f t="shared" si="198"/>
        <v>16</v>
      </c>
      <c r="AG562" s="59">
        <f t="shared" si="199"/>
        <v>7.833333333333333</v>
      </c>
      <c r="AH562">
        <f t="shared" si="200"/>
        <v>0.48958333333333331</v>
      </c>
    </row>
    <row r="563" spans="1:34" ht="15" x14ac:dyDescent="0.2">
      <c r="A563">
        <v>183</v>
      </c>
      <c r="B563" s="57" t="s">
        <v>247</v>
      </c>
      <c r="C563" s="57"/>
      <c r="D563">
        <f t="shared" si="196"/>
        <v>47</v>
      </c>
      <c r="E563" s="1">
        <f t="shared" si="197"/>
        <v>10</v>
      </c>
      <c r="F563">
        <f t="shared" si="213"/>
        <v>1</v>
      </c>
      <c r="G563">
        <f t="shared" si="213"/>
        <v>2</v>
      </c>
      <c r="H563">
        <f t="shared" si="213"/>
        <v>0</v>
      </c>
      <c r="I563">
        <f t="shared" si="213"/>
        <v>1</v>
      </c>
      <c r="J563">
        <f t="shared" si="213"/>
        <v>5</v>
      </c>
      <c r="K563">
        <f t="shared" si="213"/>
        <v>1</v>
      </c>
      <c r="L563">
        <f t="shared" si="213"/>
        <v>0</v>
      </c>
      <c r="M563">
        <f t="shared" si="213"/>
        <v>2</v>
      </c>
      <c r="N563">
        <f t="shared" si="213"/>
        <v>2</v>
      </c>
      <c r="O563">
        <f t="shared" si="213"/>
        <v>0</v>
      </c>
      <c r="P563">
        <f t="shared" si="214"/>
        <v>0</v>
      </c>
      <c r="Q563">
        <f t="shared" si="214"/>
        <v>2</v>
      </c>
      <c r="R563">
        <f t="shared" si="214"/>
        <v>0</v>
      </c>
      <c r="S563">
        <f t="shared" si="214"/>
        <v>1</v>
      </c>
      <c r="T563">
        <f t="shared" si="214"/>
        <v>4</v>
      </c>
      <c r="U563">
        <f t="shared" si="214"/>
        <v>1</v>
      </c>
      <c r="V563">
        <f t="shared" si="214"/>
        <v>0</v>
      </c>
      <c r="W563">
        <f t="shared" si="214"/>
        <v>1</v>
      </c>
      <c r="X563">
        <f t="shared" si="214"/>
        <v>2</v>
      </c>
      <c r="Y563">
        <f t="shared" si="214"/>
        <v>8</v>
      </c>
      <c r="Z563">
        <f t="shared" si="215"/>
        <v>1</v>
      </c>
      <c r="AA563">
        <f t="shared" si="215"/>
        <v>0</v>
      </c>
      <c r="AB563">
        <f t="shared" si="215"/>
        <v>0</v>
      </c>
      <c r="AC563">
        <f t="shared" si="215"/>
        <v>0</v>
      </c>
      <c r="AD563">
        <f t="shared" si="215"/>
        <v>1</v>
      </c>
      <c r="AE563">
        <f t="shared" si="215"/>
        <v>0</v>
      </c>
      <c r="AF563" s="56">
        <f t="shared" si="198"/>
        <v>16</v>
      </c>
      <c r="AG563" s="59">
        <f t="shared" si="199"/>
        <v>4.7</v>
      </c>
      <c r="AH563">
        <f t="shared" si="200"/>
        <v>0.29375000000000001</v>
      </c>
    </row>
    <row r="564" spans="1:34" ht="15" x14ac:dyDescent="0.2">
      <c r="A564">
        <v>6</v>
      </c>
      <c r="B564" s="57" t="s">
        <v>71</v>
      </c>
      <c r="C564" s="57"/>
      <c r="D564">
        <f t="shared" si="196"/>
        <v>47</v>
      </c>
      <c r="E564" s="1">
        <f t="shared" si="197"/>
        <v>10</v>
      </c>
      <c r="F564">
        <f t="shared" si="213"/>
        <v>5</v>
      </c>
      <c r="G564">
        <f t="shared" si="213"/>
        <v>0</v>
      </c>
      <c r="H564">
        <f t="shared" si="213"/>
        <v>2</v>
      </c>
      <c r="I564">
        <f t="shared" si="213"/>
        <v>0</v>
      </c>
      <c r="J564">
        <f t="shared" si="213"/>
        <v>4</v>
      </c>
      <c r="K564">
        <f t="shared" si="213"/>
        <v>1</v>
      </c>
      <c r="L564">
        <f t="shared" si="213"/>
        <v>5</v>
      </c>
      <c r="M564">
        <f t="shared" si="213"/>
        <v>2</v>
      </c>
      <c r="N564">
        <f t="shared" si="213"/>
        <v>3</v>
      </c>
      <c r="O564">
        <f t="shared" si="213"/>
        <v>0</v>
      </c>
      <c r="P564">
        <f t="shared" si="214"/>
        <v>2</v>
      </c>
      <c r="Q564">
        <f t="shared" si="214"/>
        <v>0</v>
      </c>
      <c r="R564">
        <f t="shared" si="214"/>
        <v>1</v>
      </c>
      <c r="S564">
        <f t="shared" si="214"/>
        <v>4</v>
      </c>
      <c r="T564">
        <f t="shared" si="214"/>
        <v>2</v>
      </c>
      <c r="U564">
        <f t="shared" si="214"/>
        <v>0</v>
      </c>
      <c r="V564">
        <f t="shared" si="214"/>
        <v>0</v>
      </c>
      <c r="W564">
        <f t="shared" si="214"/>
        <v>1</v>
      </c>
      <c r="X564">
        <f t="shared" si="214"/>
        <v>2</v>
      </c>
      <c r="Y564">
        <f t="shared" si="214"/>
        <v>1</v>
      </c>
      <c r="Z564">
        <f t="shared" si="215"/>
        <v>0</v>
      </c>
      <c r="AA564">
        <f t="shared" si="215"/>
        <v>0</v>
      </c>
      <c r="AB564">
        <f t="shared" si="215"/>
        <v>1</v>
      </c>
      <c r="AC564">
        <f t="shared" si="215"/>
        <v>0</v>
      </c>
      <c r="AD564">
        <f t="shared" si="215"/>
        <v>1</v>
      </c>
      <c r="AE564">
        <f t="shared" si="215"/>
        <v>0</v>
      </c>
      <c r="AF564" s="56">
        <f t="shared" si="198"/>
        <v>16</v>
      </c>
      <c r="AG564" s="59">
        <f t="shared" si="199"/>
        <v>4.7</v>
      </c>
      <c r="AH564">
        <f t="shared" si="200"/>
        <v>0.29375000000000001</v>
      </c>
    </row>
    <row r="565" spans="1:34" ht="15" x14ac:dyDescent="0.2">
      <c r="A565">
        <v>224</v>
      </c>
      <c r="B565" s="57" t="s">
        <v>287</v>
      </c>
      <c r="C565" s="57"/>
      <c r="D565">
        <f t="shared" si="196"/>
        <v>46</v>
      </c>
      <c r="E565" s="1">
        <f t="shared" si="197"/>
        <v>11</v>
      </c>
      <c r="F565">
        <f t="shared" si="213"/>
        <v>4</v>
      </c>
      <c r="G565">
        <f t="shared" si="213"/>
        <v>2</v>
      </c>
      <c r="H565">
        <f t="shared" si="213"/>
        <v>2</v>
      </c>
      <c r="I565">
        <f t="shared" si="213"/>
        <v>2</v>
      </c>
      <c r="J565">
        <f t="shared" si="213"/>
        <v>2</v>
      </c>
      <c r="K565">
        <f t="shared" si="213"/>
        <v>1</v>
      </c>
      <c r="L565">
        <f t="shared" si="213"/>
        <v>0</v>
      </c>
      <c r="M565">
        <f t="shared" si="213"/>
        <v>1</v>
      </c>
      <c r="N565">
        <f t="shared" si="213"/>
        <v>5</v>
      </c>
      <c r="O565">
        <f t="shared" si="213"/>
        <v>0</v>
      </c>
      <c r="P565">
        <f t="shared" si="214"/>
        <v>0</v>
      </c>
      <c r="Q565">
        <f t="shared" si="214"/>
        <v>1</v>
      </c>
      <c r="R565">
        <f t="shared" si="214"/>
        <v>0</v>
      </c>
      <c r="S565">
        <f t="shared" si="214"/>
        <v>2</v>
      </c>
      <c r="T565">
        <f t="shared" si="214"/>
        <v>2</v>
      </c>
      <c r="U565">
        <f t="shared" si="214"/>
        <v>1</v>
      </c>
      <c r="V565">
        <f t="shared" si="214"/>
        <v>0</v>
      </c>
      <c r="W565">
        <f t="shared" si="214"/>
        <v>0</v>
      </c>
      <c r="X565">
        <f t="shared" si="214"/>
        <v>2</v>
      </c>
      <c r="Y565">
        <f t="shared" si="214"/>
        <v>5</v>
      </c>
      <c r="Z565">
        <f t="shared" si="215"/>
        <v>0</v>
      </c>
      <c r="AA565">
        <f t="shared" si="215"/>
        <v>0</v>
      </c>
      <c r="AB565">
        <f t="shared" si="215"/>
        <v>1</v>
      </c>
      <c r="AC565">
        <f t="shared" si="215"/>
        <v>0</v>
      </c>
      <c r="AD565">
        <f t="shared" si="215"/>
        <v>0</v>
      </c>
      <c r="AE565">
        <f t="shared" si="215"/>
        <v>0</v>
      </c>
      <c r="AF565" s="56">
        <f t="shared" si="198"/>
        <v>15</v>
      </c>
      <c r="AG565" s="59">
        <f t="shared" si="199"/>
        <v>4.1818181818181817</v>
      </c>
      <c r="AH565">
        <f t="shared" si="200"/>
        <v>0.27878787878787875</v>
      </c>
    </row>
    <row r="566" spans="1:34" ht="15" x14ac:dyDescent="0.2">
      <c r="A566">
        <v>253</v>
      </c>
      <c r="B566" s="57" t="s">
        <v>316</v>
      </c>
      <c r="C566" s="57"/>
      <c r="D566">
        <f t="shared" si="196"/>
        <v>46</v>
      </c>
      <c r="E566" s="1">
        <f t="shared" si="197"/>
        <v>7</v>
      </c>
      <c r="F566">
        <f t="shared" si="213"/>
        <v>3</v>
      </c>
      <c r="G566">
        <f t="shared" si="213"/>
        <v>1</v>
      </c>
      <c r="H566">
        <f t="shared" si="213"/>
        <v>1</v>
      </c>
      <c r="I566">
        <f t="shared" si="213"/>
        <v>1</v>
      </c>
      <c r="J566">
        <f t="shared" si="213"/>
        <v>4</v>
      </c>
      <c r="K566">
        <f t="shared" si="213"/>
        <v>0</v>
      </c>
      <c r="L566">
        <f t="shared" si="213"/>
        <v>1</v>
      </c>
      <c r="M566">
        <f t="shared" si="213"/>
        <v>0</v>
      </c>
      <c r="N566">
        <f t="shared" si="213"/>
        <v>4</v>
      </c>
      <c r="O566">
        <f t="shared" si="213"/>
        <v>0</v>
      </c>
      <c r="P566">
        <f t="shared" si="214"/>
        <v>0</v>
      </c>
      <c r="Q566">
        <f t="shared" si="214"/>
        <v>1</v>
      </c>
      <c r="R566">
        <f t="shared" si="214"/>
        <v>3</v>
      </c>
      <c r="S566">
        <f t="shared" si="214"/>
        <v>4</v>
      </c>
      <c r="T566">
        <f t="shared" si="214"/>
        <v>1</v>
      </c>
      <c r="U566">
        <f t="shared" si="214"/>
        <v>0</v>
      </c>
      <c r="V566">
        <f t="shared" si="214"/>
        <v>0</v>
      </c>
      <c r="W566">
        <f t="shared" si="214"/>
        <v>2</v>
      </c>
      <c r="X566">
        <f t="shared" si="214"/>
        <v>6</v>
      </c>
      <c r="Y566">
        <f t="shared" si="214"/>
        <v>4</v>
      </c>
      <c r="Z566">
        <f t="shared" si="215"/>
        <v>1</v>
      </c>
      <c r="AA566">
        <f t="shared" si="215"/>
        <v>0</v>
      </c>
      <c r="AB566">
        <f t="shared" si="215"/>
        <v>0</v>
      </c>
      <c r="AC566">
        <f t="shared" si="215"/>
        <v>0</v>
      </c>
      <c r="AD566">
        <f t="shared" si="215"/>
        <v>1</v>
      </c>
      <c r="AE566">
        <f t="shared" si="215"/>
        <v>0</v>
      </c>
      <c r="AF566" s="56">
        <f t="shared" si="198"/>
        <v>16</v>
      </c>
      <c r="AG566" s="59">
        <f t="shared" si="199"/>
        <v>6.5714285714285712</v>
      </c>
      <c r="AH566">
        <f t="shared" si="200"/>
        <v>0.4107142857142857</v>
      </c>
    </row>
    <row r="567" spans="1:34" ht="15" x14ac:dyDescent="0.2">
      <c r="A567">
        <v>79</v>
      </c>
      <c r="B567" s="57" t="s">
        <v>144</v>
      </c>
      <c r="C567" s="57"/>
      <c r="D567">
        <f t="shared" si="196"/>
        <v>46</v>
      </c>
      <c r="E567" s="1">
        <f t="shared" si="197"/>
        <v>10</v>
      </c>
      <c r="F567">
        <f t="shared" si="213"/>
        <v>6</v>
      </c>
      <c r="G567">
        <f t="shared" si="213"/>
        <v>1</v>
      </c>
      <c r="H567">
        <f t="shared" si="213"/>
        <v>1</v>
      </c>
      <c r="I567">
        <f t="shared" si="213"/>
        <v>1</v>
      </c>
      <c r="J567">
        <f t="shared" si="213"/>
        <v>5</v>
      </c>
      <c r="K567">
        <f t="shared" si="213"/>
        <v>1</v>
      </c>
      <c r="L567">
        <f t="shared" si="213"/>
        <v>1</v>
      </c>
      <c r="M567">
        <f t="shared" si="213"/>
        <v>1</v>
      </c>
      <c r="N567">
        <f t="shared" si="213"/>
        <v>3</v>
      </c>
      <c r="O567">
        <f t="shared" si="213"/>
        <v>0</v>
      </c>
      <c r="P567">
        <f t="shared" si="214"/>
        <v>0</v>
      </c>
      <c r="Q567">
        <f t="shared" si="214"/>
        <v>1</v>
      </c>
      <c r="R567">
        <f t="shared" si="214"/>
        <v>3</v>
      </c>
      <c r="S567">
        <f t="shared" si="214"/>
        <v>3</v>
      </c>
      <c r="T567">
        <f t="shared" si="214"/>
        <v>2</v>
      </c>
      <c r="U567">
        <f t="shared" si="214"/>
        <v>0</v>
      </c>
      <c r="V567">
        <f t="shared" si="214"/>
        <v>0</v>
      </c>
      <c r="W567">
        <f t="shared" si="214"/>
        <v>3</v>
      </c>
      <c r="X567">
        <f t="shared" si="214"/>
        <v>3</v>
      </c>
      <c r="Y567">
        <f t="shared" si="214"/>
        <v>0</v>
      </c>
      <c r="Z567">
        <f t="shared" si="215"/>
        <v>0</v>
      </c>
      <c r="AA567">
        <f t="shared" si="215"/>
        <v>1</v>
      </c>
      <c r="AB567">
        <f t="shared" si="215"/>
        <v>0</v>
      </c>
      <c r="AC567">
        <f t="shared" si="215"/>
        <v>0</v>
      </c>
      <c r="AD567">
        <f t="shared" si="215"/>
        <v>0</v>
      </c>
      <c r="AE567">
        <f t="shared" si="215"/>
        <v>0</v>
      </c>
      <c r="AF567" s="56">
        <f t="shared" si="198"/>
        <v>16</v>
      </c>
      <c r="AG567" s="59">
        <f t="shared" si="199"/>
        <v>4.5999999999999996</v>
      </c>
      <c r="AH567">
        <f t="shared" si="200"/>
        <v>0.28749999999999998</v>
      </c>
    </row>
    <row r="568" spans="1:34" ht="15" x14ac:dyDescent="0.2">
      <c r="A568">
        <v>88</v>
      </c>
      <c r="B568" s="57" t="s">
        <v>153</v>
      </c>
      <c r="C568" s="57"/>
      <c r="D568">
        <f t="shared" si="196"/>
        <v>45</v>
      </c>
      <c r="E568" s="1">
        <f t="shared" si="197"/>
        <v>9</v>
      </c>
      <c r="F568">
        <f t="shared" si="213"/>
        <v>3</v>
      </c>
      <c r="G568">
        <f t="shared" si="213"/>
        <v>0</v>
      </c>
      <c r="H568">
        <f t="shared" si="213"/>
        <v>0</v>
      </c>
      <c r="I568">
        <f t="shared" si="213"/>
        <v>0</v>
      </c>
      <c r="J568">
        <f t="shared" si="213"/>
        <v>4</v>
      </c>
      <c r="K568">
        <f t="shared" si="213"/>
        <v>0</v>
      </c>
      <c r="L568">
        <f t="shared" si="213"/>
        <v>1</v>
      </c>
      <c r="M568">
        <f t="shared" si="213"/>
        <v>0</v>
      </c>
      <c r="N568">
        <f t="shared" si="213"/>
        <v>5</v>
      </c>
      <c r="O568">
        <f t="shared" si="213"/>
        <v>0</v>
      </c>
      <c r="P568">
        <f t="shared" si="214"/>
        <v>2</v>
      </c>
      <c r="Q568">
        <f t="shared" si="214"/>
        <v>2</v>
      </c>
      <c r="R568">
        <f t="shared" si="214"/>
        <v>2</v>
      </c>
      <c r="S568">
        <f t="shared" si="214"/>
        <v>5</v>
      </c>
      <c r="T568">
        <f t="shared" si="214"/>
        <v>3</v>
      </c>
      <c r="U568">
        <f t="shared" si="214"/>
        <v>0</v>
      </c>
      <c r="V568">
        <f t="shared" si="214"/>
        <v>0</v>
      </c>
      <c r="W568">
        <f t="shared" si="214"/>
        <v>0</v>
      </c>
      <c r="X568">
        <f t="shared" si="214"/>
        <v>3</v>
      </c>
      <c r="Y568">
        <f t="shared" si="214"/>
        <v>3</v>
      </c>
      <c r="Z568">
        <f t="shared" si="215"/>
        <v>2</v>
      </c>
      <c r="AA568">
        <f t="shared" si="215"/>
        <v>0</v>
      </c>
      <c r="AB568">
        <f t="shared" si="215"/>
        <v>0</v>
      </c>
      <c r="AC568">
        <f t="shared" si="215"/>
        <v>0</v>
      </c>
      <c r="AD568">
        <f t="shared" si="215"/>
        <v>1</v>
      </c>
      <c r="AE568">
        <f t="shared" si="215"/>
        <v>0</v>
      </c>
      <c r="AF568" s="56">
        <f t="shared" si="198"/>
        <v>13</v>
      </c>
      <c r="AG568" s="59">
        <f t="shared" si="199"/>
        <v>5</v>
      </c>
      <c r="AH568">
        <f t="shared" si="200"/>
        <v>0.38461538461538464</v>
      </c>
    </row>
    <row r="569" spans="1:34" ht="15" x14ac:dyDescent="0.2">
      <c r="A569">
        <v>159</v>
      </c>
      <c r="B569" s="57" t="s">
        <v>646</v>
      </c>
      <c r="C569" s="57"/>
      <c r="D569">
        <f t="shared" si="196"/>
        <v>45</v>
      </c>
      <c r="E569" s="1">
        <f t="shared" si="197"/>
        <v>9</v>
      </c>
      <c r="F569">
        <f t="shared" si="213"/>
        <v>0</v>
      </c>
      <c r="G569">
        <f t="shared" si="213"/>
        <v>1</v>
      </c>
      <c r="H569">
        <f t="shared" si="213"/>
        <v>0</v>
      </c>
      <c r="I569">
        <f t="shared" si="213"/>
        <v>2</v>
      </c>
      <c r="J569">
        <f t="shared" si="213"/>
        <v>0</v>
      </c>
      <c r="K569">
        <f t="shared" si="213"/>
        <v>1</v>
      </c>
      <c r="L569">
        <f t="shared" si="213"/>
        <v>0</v>
      </c>
      <c r="M569">
        <f t="shared" si="213"/>
        <v>0</v>
      </c>
      <c r="N569">
        <f t="shared" si="213"/>
        <v>7</v>
      </c>
      <c r="O569">
        <f t="shared" si="213"/>
        <v>0</v>
      </c>
      <c r="P569">
        <f t="shared" si="214"/>
        <v>1</v>
      </c>
      <c r="Q569">
        <f t="shared" si="214"/>
        <v>0</v>
      </c>
      <c r="R569">
        <f t="shared" si="214"/>
        <v>0</v>
      </c>
      <c r="S569">
        <f t="shared" si="214"/>
        <v>1</v>
      </c>
      <c r="T569">
        <f t="shared" si="214"/>
        <v>1</v>
      </c>
      <c r="U569">
        <f t="shared" si="214"/>
        <v>2</v>
      </c>
      <c r="V569">
        <f t="shared" si="214"/>
        <v>0</v>
      </c>
      <c r="W569">
        <f t="shared" si="214"/>
        <v>1</v>
      </c>
      <c r="X569">
        <f t="shared" si="214"/>
        <v>5</v>
      </c>
      <c r="Y569">
        <f t="shared" si="214"/>
        <v>7</v>
      </c>
      <c r="Z569">
        <f t="shared" si="215"/>
        <v>3</v>
      </c>
      <c r="AA569">
        <f t="shared" si="215"/>
        <v>0</v>
      </c>
      <c r="AB569">
        <f t="shared" si="215"/>
        <v>1</v>
      </c>
      <c r="AC569">
        <f t="shared" si="215"/>
        <v>0</v>
      </c>
      <c r="AD569">
        <f t="shared" si="215"/>
        <v>0</v>
      </c>
      <c r="AE569">
        <f t="shared" si="215"/>
        <v>0</v>
      </c>
      <c r="AF569" s="56">
        <f t="shared" si="198"/>
        <v>13</v>
      </c>
      <c r="AG569" s="59">
        <f t="shared" si="199"/>
        <v>5</v>
      </c>
      <c r="AH569">
        <f t="shared" si="200"/>
        <v>0.38461538461538464</v>
      </c>
    </row>
    <row r="570" spans="1:34" ht="15" x14ac:dyDescent="0.2">
      <c r="A570">
        <v>60</v>
      </c>
      <c r="B570" s="57" t="s">
        <v>125</v>
      </c>
      <c r="C570" s="57"/>
      <c r="D570">
        <f t="shared" si="196"/>
        <v>45</v>
      </c>
      <c r="E570" s="1">
        <f t="shared" si="197"/>
        <v>10</v>
      </c>
      <c r="F570">
        <f t="shared" si="213"/>
        <v>0</v>
      </c>
      <c r="G570">
        <f t="shared" si="213"/>
        <v>1</v>
      </c>
      <c r="H570">
        <f t="shared" si="213"/>
        <v>1</v>
      </c>
      <c r="I570">
        <f t="shared" si="213"/>
        <v>2</v>
      </c>
      <c r="J570">
        <f t="shared" si="213"/>
        <v>5</v>
      </c>
      <c r="K570">
        <f t="shared" si="213"/>
        <v>0</v>
      </c>
      <c r="L570">
        <f t="shared" si="213"/>
        <v>0</v>
      </c>
      <c r="M570">
        <f t="shared" si="213"/>
        <v>0</v>
      </c>
      <c r="N570">
        <f t="shared" si="213"/>
        <v>5</v>
      </c>
      <c r="O570">
        <f t="shared" si="213"/>
        <v>0</v>
      </c>
      <c r="P570">
        <f t="shared" si="214"/>
        <v>0</v>
      </c>
      <c r="Q570">
        <f t="shared" si="214"/>
        <v>0</v>
      </c>
      <c r="R570">
        <f t="shared" si="214"/>
        <v>1</v>
      </c>
      <c r="S570">
        <f t="shared" si="214"/>
        <v>3</v>
      </c>
      <c r="T570">
        <f t="shared" si="214"/>
        <v>4</v>
      </c>
      <c r="U570">
        <f t="shared" si="214"/>
        <v>0</v>
      </c>
      <c r="V570">
        <f t="shared" si="214"/>
        <v>0</v>
      </c>
      <c r="W570">
        <f t="shared" si="214"/>
        <v>1</v>
      </c>
      <c r="X570">
        <f t="shared" si="214"/>
        <v>4</v>
      </c>
      <c r="Y570">
        <f t="shared" si="214"/>
        <v>2</v>
      </c>
      <c r="Z570">
        <f t="shared" si="215"/>
        <v>2</v>
      </c>
      <c r="AA570">
        <f t="shared" si="215"/>
        <v>1</v>
      </c>
      <c r="AB570">
        <f t="shared" si="215"/>
        <v>1</v>
      </c>
      <c r="AC570">
        <f t="shared" si="215"/>
        <v>0</v>
      </c>
      <c r="AD570">
        <f t="shared" si="215"/>
        <v>0</v>
      </c>
      <c r="AE570">
        <f t="shared" si="215"/>
        <v>0</v>
      </c>
      <c r="AF570" s="56">
        <f t="shared" si="198"/>
        <v>14</v>
      </c>
      <c r="AG570" s="59">
        <f t="shared" si="199"/>
        <v>4.5</v>
      </c>
      <c r="AH570">
        <f t="shared" si="200"/>
        <v>0.32142857142857145</v>
      </c>
    </row>
    <row r="571" spans="1:34" ht="15" x14ac:dyDescent="0.2">
      <c r="A571">
        <v>367</v>
      </c>
      <c r="B571" s="57" t="s">
        <v>424</v>
      </c>
      <c r="C571" s="57"/>
      <c r="D571">
        <f t="shared" si="196"/>
        <v>45</v>
      </c>
      <c r="E571" s="1">
        <f t="shared" si="197"/>
        <v>11</v>
      </c>
      <c r="F571">
        <f t="shared" si="213"/>
        <v>3</v>
      </c>
      <c r="G571">
        <f t="shared" si="213"/>
        <v>0</v>
      </c>
      <c r="H571">
        <f t="shared" si="213"/>
        <v>0</v>
      </c>
      <c r="I571">
        <f t="shared" si="213"/>
        <v>0</v>
      </c>
      <c r="J571">
        <f t="shared" si="213"/>
        <v>4</v>
      </c>
      <c r="K571">
        <f t="shared" si="213"/>
        <v>1</v>
      </c>
      <c r="L571">
        <f t="shared" si="213"/>
        <v>0</v>
      </c>
      <c r="M571">
        <f t="shared" si="213"/>
        <v>2</v>
      </c>
      <c r="N571">
        <f t="shared" si="213"/>
        <v>4</v>
      </c>
      <c r="O571">
        <f t="shared" si="213"/>
        <v>0</v>
      </c>
      <c r="P571">
        <f t="shared" si="214"/>
        <v>1</v>
      </c>
      <c r="Q571">
        <f t="shared" si="214"/>
        <v>2</v>
      </c>
      <c r="R571">
        <f t="shared" si="214"/>
        <v>0</v>
      </c>
      <c r="S571">
        <f t="shared" si="214"/>
        <v>3</v>
      </c>
      <c r="T571">
        <f t="shared" si="214"/>
        <v>1</v>
      </c>
      <c r="U571">
        <f t="shared" si="214"/>
        <v>0</v>
      </c>
      <c r="V571">
        <f t="shared" si="214"/>
        <v>0</v>
      </c>
      <c r="W571">
        <f t="shared" si="214"/>
        <v>2</v>
      </c>
      <c r="X571">
        <f t="shared" si="214"/>
        <v>2</v>
      </c>
      <c r="Y571">
        <f t="shared" si="214"/>
        <v>2</v>
      </c>
      <c r="Z571">
        <f t="shared" si="215"/>
        <v>1</v>
      </c>
      <c r="AA571">
        <f t="shared" si="215"/>
        <v>0</v>
      </c>
      <c r="AB571">
        <f t="shared" si="215"/>
        <v>3</v>
      </c>
      <c r="AC571">
        <f t="shared" si="215"/>
        <v>0</v>
      </c>
      <c r="AD571">
        <f t="shared" si="215"/>
        <v>1</v>
      </c>
      <c r="AE571">
        <f t="shared" si="215"/>
        <v>0</v>
      </c>
      <c r="AF571" s="56">
        <f t="shared" si="198"/>
        <v>15</v>
      </c>
      <c r="AG571" s="59">
        <f t="shared" si="199"/>
        <v>4.0909090909090908</v>
      </c>
      <c r="AH571">
        <f t="shared" si="200"/>
        <v>0.27272727272727271</v>
      </c>
    </row>
    <row r="572" spans="1:34" ht="15" x14ac:dyDescent="0.2">
      <c r="A572">
        <v>54</v>
      </c>
      <c r="B572" s="57" t="s">
        <v>119</v>
      </c>
      <c r="C572" s="57"/>
      <c r="D572">
        <f t="shared" si="196"/>
        <v>45</v>
      </c>
      <c r="E572" s="1">
        <f t="shared" si="197"/>
        <v>8</v>
      </c>
      <c r="F572">
        <f t="shared" ref="F572:O581" si="216">LEN($B572)-LEN(SUBSTITUTE($B572,F$1,""))</f>
        <v>3</v>
      </c>
      <c r="G572">
        <f t="shared" si="216"/>
        <v>0</v>
      </c>
      <c r="H572">
        <f t="shared" si="216"/>
        <v>0</v>
      </c>
      <c r="I572">
        <f t="shared" si="216"/>
        <v>4</v>
      </c>
      <c r="J572">
        <f t="shared" si="216"/>
        <v>4</v>
      </c>
      <c r="K572">
        <f t="shared" si="216"/>
        <v>0</v>
      </c>
      <c r="L572">
        <f t="shared" si="216"/>
        <v>1</v>
      </c>
      <c r="M572">
        <f t="shared" si="216"/>
        <v>4</v>
      </c>
      <c r="N572">
        <f t="shared" si="216"/>
        <v>1</v>
      </c>
      <c r="O572">
        <f t="shared" si="216"/>
        <v>1</v>
      </c>
      <c r="P572">
        <f t="shared" ref="P572:Y581" si="217">LEN($B572)-LEN(SUBSTITUTE($B572,P$1,""))</f>
        <v>1</v>
      </c>
      <c r="Q572">
        <f t="shared" si="217"/>
        <v>2</v>
      </c>
      <c r="R572">
        <f t="shared" si="217"/>
        <v>0</v>
      </c>
      <c r="S572">
        <f t="shared" si="217"/>
        <v>3</v>
      </c>
      <c r="T572">
        <f t="shared" si="217"/>
        <v>2</v>
      </c>
      <c r="U572">
        <f t="shared" si="217"/>
        <v>0</v>
      </c>
      <c r="V572">
        <f t="shared" si="217"/>
        <v>0</v>
      </c>
      <c r="W572">
        <f t="shared" si="217"/>
        <v>1</v>
      </c>
      <c r="X572">
        <f t="shared" si="217"/>
        <v>3</v>
      </c>
      <c r="Y572">
        <f t="shared" si="217"/>
        <v>4</v>
      </c>
      <c r="Z572">
        <f t="shared" ref="Z572:AE581" si="218">LEN($B572)-LEN(SUBSTITUTE($B572,Z$1,""))</f>
        <v>2</v>
      </c>
      <c r="AA572">
        <f t="shared" si="218"/>
        <v>0</v>
      </c>
      <c r="AB572">
        <f t="shared" si="218"/>
        <v>1</v>
      </c>
      <c r="AC572">
        <f t="shared" si="218"/>
        <v>0</v>
      </c>
      <c r="AD572">
        <f t="shared" si="218"/>
        <v>0</v>
      </c>
      <c r="AE572">
        <f t="shared" si="218"/>
        <v>0</v>
      </c>
      <c r="AF572" s="56">
        <f t="shared" si="198"/>
        <v>16</v>
      </c>
      <c r="AG572" s="59">
        <f t="shared" si="199"/>
        <v>5.625</v>
      </c>
      <c r="AH572">
        <f t="shared" si="200"/>
        <v>0.3515625</v>
      </c>
    </row>
    <row r="573" spans="1:34" ht="15" x14ac:dyDescent="0.2">
      <c r="A573">
        <v>460</v>
      </c>
      <c r="B573" s="57" t="s">
        <v>501</v>
      </c>
      <c r="C573" s="57"/>
      <c r="D573">
        <f t="shared" si="196"/>
        <v>45</v>
      </c>
      <c r="E573" s="1">
        <f t="shared" si="197"/>
        <v>10</v>
      </c>
      <c r="F573">
        <f t="shared" si="216"/>
        <v>1</v>
      </c>
      <c r="G573">
        <f t="shared" si="216"/>
        <v>1</v>
      </c>
      <c r="H573">
        <f t="shared" si="216"/>
        <v>0</v>
      </c>
      <c r="I573">
        <f t="shared" si="216"/>
        <v>1</v>
      </c>
      <c r="J573">
        <f t="shared" si="216"/>
        <v>7</v>
      </c>
      <c r="K573">
        <f t="shared" si="216"/>
        <v>1</v>
      </c>
      <c r="L573">
        <f t="shared" si="216"/>
        <v>1</v>
      </c>
      <c r="M573">
        <f t="shared" si="216"/>
        <v>3</v>
      </c>
      <c r="N573">
        <f t="shared" si="216"/>
        <v>2</v>
      </c>
      <c r="O573">
        <f t="shared" si="216"/>
        <v>0</v>
      </c>
      <c r="P573">
        <f t="shared" si="217"/>
        <v>0</v>
      </c>
      <c r="Q573">
        <f t="shared" si="217"/>
        <v>1</v>
      </c>
      <c r="R573">
        <f t="shared" si="217"/>
        <v>1</v>
      </c>
      <c r="S573">
        <f t="shared" si="217"/>
        <v>1</v>
      </c>
      <c r="T573">
        <f t="shared" si="217"/>
        <v>4</v>
      </c>
      <c r="U573">
        <f t="shared" si="217"/>
        <v>0</v>
      </c>
      <c r="V573">
        <f t="shared" si="217"/>
        <v>0</v>
      </c>
      <c r="W573">
        <f t="shared" si="217"/>
        <v>1</v>
      </c>
      <c r="X573">
        <f t="shared" si="217"/>
        <v>2</v>
      </c>
      <c r="Y573">
        <f t="shared" si="217"/>
        <v>5</v>
      </c>
      <c r="Z573">
        <f t="shared" si="218"/>
        <v>0</v>
      </c>
      <c r="AA573">
        <f t="shared" si="218"/>
        <v>1</v>
      </c>
      <c r="AB573">
        <f t="shared" si="218"/>
        <v>0</v>
      </c>
      <c r="AC573">
        <f t="shared" si="218"/>
        <v>0</v>
      </c>
      <c r="AD573">
        <f t="shared" si="218"/>
        <v>1</v>
      </c>
      <c r="AE573">
        <f t="shared" si="218"/>
        <v>0</v>
      </c>
      <c r="AF573" s="56">
        <f t="shared" si="198"/>
        <v>17</v>
      </c>
      <c r="AG573" s="59">
        <f t="shared" si="199"/>
        <v>4.5</v>
      </c>
      <c r="AH573">
        <f t="shared" si="200"/>
        <v>0.26470588235294118</v>
      </c>
    </row>
    <row r="574" spans="1:34" ht="15" x14ac:dyDescent="0.2">
      <c r="A574">
        <v>36</v>
      </c>
      <c r="B574" s="57" t="s">
        <v>101</v>
      </c>
      <c r="C574" s="57"/>
      <c r="D574">
        <f t="shared" si="196"/>
        <v>45</v>
      </c>
      <c r="E574" s="1">
        <f t="shared" si="197"/>
        <v>8</v>
      </c>
      <c r="F574">
        <f t="shared" si="216"/>
        <v>0</v>
      </c>
      <c r="G574">
        <f t="shared" si="216"/>
        <v>0</v>
      </c>
      <c r="H574">
        <f t="shared" si="216"/>
        <v>1</v>
      </c>
      <c r="I574">
        <f t="shared" si="216"/>
        <v>2</v>
      </c>
      <c r="J574">
        <f t="shared" si="216"/>
        <v>4</v>
      </c>
      <c r="K574">
        <f t="shared" si="216"/>
        <v>1</v>
      </c>
      <c r="L574">
        <f t="shared" si="216"/>
        <v>0</v>
      </c>
      <c r="M574">
        <f t="shared" si="216"/>
        <v>0</v>
      </c>
      <c r="N574">
        <f t="shared" si="216"/>
        <v>3</v>
      </c>
      <c r="O574">
        <f t="shared" si="216"/>
        <v>0</v>
      </c>
      <c r="P574">
        <f t="shared" si="217"/>
        <v>1</v>
      </c>
      <c r="Q574">
        <f t="shared" si="217"/>
        <v>1</v>
      </c>
      <c r="R574">
        <f t="shared" si="217"/>
        <v>1</v>
      </c>
      <c r="S574">
        <f t="shared" si="217"/>
        <v>3</v>
      </c>
      <c r="T574">
        <f t="shared" si="217"/>
        <v>4</v>
      </c>
      <c r="U574">
        <f t="shared" si="217"/>
        <v>2</v>
      </c>
      <c r="V574">
        <f t="shared" si="217"/>
        <v>0</v>
      </c>
      <c r="W574">
        <f t="shared" si="217"/>
        <v>2</v>
      </c>
      <c r="X574">
        <f t="shared" si="217"/>
        <v>2</v>
      </c>
      <c r="Y574">
        <f t="shared" si="217"/>
        <v>4</v>
      </c>
      <c r="Z574">
        <f t="shared" si="218"/>
        <v>1</v>
      </c>
      <c r="AA574">
        <f t="shared" si="218"/>
        <v>0</v>
      </c>
      <c r="AB574">
        <f t="shared" si="218"/>
        <v>1</v>
      </c>
      <c r="AC574">
        <f t="shared" si="218"/>
        <v>0</v>
      </c>
      <c r="AD574">
        <f t="shared" si="218"/>
        <v>1</v>
      </c>
      <c r="AE574">
        <f t="shared" si="218"/>
        <v>0</v>
      </c>
      <c r="AF574" s="56">
        <f t="shared" si="198"/>
        <v>17</v>
      </c>
      <c r="AG574" s="59">
        <f t="shared" si="199"/>
        <v>5.625</v>
      </c>
      <c r="AH574">
        <f t="shared" si="200"/>
        <v>0.33088235294117646</v>
      </c>
    </row>
    <row r="575" spans="1:34" ht="15" x14ac:dyDescent="0.2">
      <c r="A575">
        <v>185</v>
      </c>
      <c r="B575" s="57" t="s">
        <v>249</v>
      </c>
      <c r="C575" s="57"/>
      <c r="D575">
        <f t="shared" si="196"/>
        <v>44</v>
      </c>
      <c r="E575" s="1">
        <f t="shared" si="197"/>
        <v>8</v>
      </c>
      <c r="F575">
        <f t="shared" si="216"/>
        <v>1</v>
      </c>
      <c r="G575">
        <f t="shared" si="216"/>
        <v>1</v>
      </c>
      <c r="H575">
        <f t="shared" si="216"/>
        <v>0</v>
      </c>
      <c r="I575">
        <f t="shared" si="216"/>
        <v>0</v>
      </c>
      <c r="J575">
        <f t="shared" si="216"/>
        <v>7</v>
      </c>
      <c r="K575">
        <f t="shared" si="216"/>
        <v>0</v>
      </c>
      <c r="L575">
        <f t="shared" si="216"/>
        <v>4</v>
      </c>
      <c r="M575">
        <f t="shared" si="216"/>
        <v>1</v>
      </c>
      <c r="N575">
        <f t="shared" si="216"/>
        <v>5</v>
      </c>
      <c r="O575">
        <f t="shared" si="216"/>
        <v>0</v>
      </c>
      <c r="P575">
        <f t="shared" si="217"/>
        <v>0</v>
      </c>
      <c r="Q575">
        <f t="shared" si="217"/>
        <v>1</v>
      </c>
      <c r="R575">
        <f t="shared" si="217"/>
        <v>4</v>
      </c>
      <c r="S575">
        <f t="shared" si="217"/>
        <v>1</v>
      </c>
      <c r="T575">
        <f t="shared" si="217"/>
        <v>2</v>
      </c>
      <c r="U575">
        <f t="shared" si="217"/>
        <v>0</v>
      </c>
      <c r="V575">
        <f t="shared" si="217"/>
        <v>0</v>
      </c>
      <c r="W575">
        <f t="shared" si="217"/>
        <v>1</v>
      </c>
      <c r="X575">
        <f t="shared" si="217"/>
        <v>2</v>
      </c>
      <c r="Y575">
        <f t="shared" si="217"/>
        <v>2</v>
      </c>
      <c r="Z575">
        <f t="shared" si="218"/>
        <v>1</v>
      </c>
      <c r="AA575">
        <f t="shared" si="218"/>
        <v>2</v>
      </c>
      <c r="AB575">
        <f t="shared" si="218"/>
        <v>0</v>
      </c>
      <c r="AC575">
        <f t="shared" si="218"/>
        <v>0</v>
      </c>
      <c r="AD575">
        <f t="shared" si="218"/>
        <v>1</v>
      </c>
      <c r="AE575">
        <f t="shared" si="218"/>
        <v>0</v>
      </c>
      <c r="AF575" s="56">
        <f t="shared" si="198"/>
        <v>16</v>
      </c>
      <c r="AG575" s="59">
        <f t="shared" si="199"/>
        <v>5.5</v>
      </c>
      <c r="AH575">
        <f t="shared" si="200"/>
        <v>0.34375</v>
      </c>
    </row>
    <row r="576" spans="1:34" ht="15" x14ac:dyDescent="0.2">
      <c r="A576">
        <v>97</v>
      </c>
      <c r="B576" s="57" t="s">
        <v>162</v>
      </c>
      <c r="C576" s="57"/>
      <c r="D576">
        <f t="shared" si="196"/>
        <v>43</v>
      </c>
      <c r="E576" s="1">
        <f t="shared" si="197"/>
        <v>8</v>
      </c>
      <c r="F576">
        <f t="shared" si="216"/>
        <v>2</v>
      </c>
      <c r="G576">
        <f t="shared" si="216"/>
        <v>1</v>
      </c>
      <c r="H576">
        <f t="shared" si="216"/>
        <v>0</v>
      </c>
      <c r="I576">
        <f t="shared" si="216"/>
        <v>1</v>
      </c>
      <c r="J576">
        <f t="shared" si="216"/>
        <v>6</v>
      </c>
      <c r="K576">
        <f t="shared" si="216"/>
        <v>0</v>
      </c>
      <c r="L576">
        <f t="shared" si="216"/>
        <v>0</v>
      </c>
      <c r="M576">
        <f t="shared" si="216"/>
        <v>2</v>
      </c>
      <c r="N576">
        <f t="shared" si="216"/>
        <v>2</v>
      </c>
      <c r="O576">
        <f t="shared" si="216"/>
        <v>0</v>
      </c>
      <c r="P576">
        <f t="shared" si="217"/>
        <v>1</v>
      </c>
      <c r="Q576">
        <f t="shared" si="217"/>
        <v>0</v>
      </c>
      <c r="R576">
        <f t="shared" si="217"/>
        <v>4</v>
      </c>
      <c r="S576">
        <f t="shared" si="217"/>
        <v>2</v>
      </c>
      <c r="T576">
        <f t="shared" si="217"/>
        <v>2</v>
      </c>
      <c r="U576">
        <f t="shared" si="217"/>
        <v>0</v>
      </c>
      <c r="V576">
        <f t="shared" si="217"/>
        <v>0</v>
      </c>
      <c r="W576">
        <f t="shared" si="217"/>
        <v>3</v>
      </c>
      <c r="X576">
        <f t="shared" si="217"/>
        <v>1</v>
      </c>
      <c r="Y576">
        <f t="shared" si="217"/>
        <v>4</v>
      </c>
      <c r="Z576">
        <f t="shared" si="218"/>
        <v>0</v>
      </c>
      <c r="AA576">
        <f t="shared" si="218"/>
        <v>0</v>
      </c>
      <c r="AB576">
        <f t="shared" si="218"/>
        <v>0</v>
      </c>
      <c r="AC576">
        <f t="shared" si="218"/>
        <v>0</v>
      </c>
      <c r="AD576">
        <f t="shared" si="218"/>
        <v>1</v>
      </c>
      <c r="AE576">
        <f t="shared" si="218"/>
        <v>0</v>
      </c>
      <c r="AF576" s="56">
        <f t="shared" si="198"/>
        <v>14</v>
      </c>
      <c r="AG576" s="59">
        <f t="shared" si="199"/>
        <v>5.375</v>
      </c>
      <c r="AH576">
        <f t="shared" si="200"/>
        <v>0.38392857142857145</v>
      </c>
    </row>
    <row r="577" spans="1:34" ht="15" x14ac:dyDescent="0.2">
      <c r="A577">
        <v>217</v>
      </c>
      <c r="B577" s="57" t="s">
        <v>281</v>
      </c>
      <c r="C577" s="57"/>
      <c r="D577">
        <f t="shared" si="196"/>
        <v>43</v>
      </c>
      <c r="E577" s="1">
        <f t="shared" si="197"/>
        <v>7</v>
      </c>
      <c r="F577">
        <f t="shared" si="216"/>
        <v>3</v>
      </c>
      <c r="G577">
        <f t="shared" si="216"/>
        <v>0</v>
      </c>
      <c r="H577">
        <f t="shared" si="216"/>
        <v>1</v>
      </c>
      <c r="I577">
        <f t="shared" si="216"/>
        <v>1</v>
      </c>
      <c r="J577">
        <f t="shared" si="216"/>
        <v>5</v>
      </c>
      <c r="K577">
        <f t="shared" si="216"/>
        <v>1</v>
      </c>
      <c r="L577">
        <f t="shared" si="216"/>
        <v>0</v>
      </c>
      <c r="M577">
        <f t="shared" si="216"/>
        <v>2</v>
      </c>
      <c r="N577">
        <f t="shared" si="216"/>
        <v>3</v>
      </c>
      <c r="O577">
        <f t="shared" si="216"/>
        <v>0</v>
      </c>
      <c r="P577">
        <f t="shared" si="217"/>
        <v>0</v>
      </c>
      <c r="Q577">
        <f t="shared" si="217"/>
        <v>4</v>
      </c>
      <c r="R577">
        <f t="shared" si="217"/>
        <v>0</v>
      </c>
      <c r="S577">
        <f t="shared" si="217"/>
        <v>3</v>
      </c>
      <c r="T577">
        <f t="shared" si="217"/>
        <v>1</v>
      </c>
      <c r="U577">
        <f t="shared" si="217"/>
        <v>0</v>
      </c>
      <c r="V577">
        <f t="shared" si="217"/>
        <v>0</v>
      </c>
      <c r="W577">
        <f t="shared" si="217"/>
        <v>2</v>
      </c>
      <c r="X577">
        <f t="shared" si="217"/>
        <v>4</v>
      </c>
      <c r="Y577">
        <f t="shared" si="217"/>
        <v>3</v>
      </c>
      <c r="Z577">
        <f t="shared" si="218"/>
        <v>1</v>
      </c>
      <c r="AA577">
        <f t="shared" si="218"/>
        <v>0</v>
      </c>
      <c r="AB577">
        <f t="shared" si="218"/>
        <v>1</v>
      </c>
      <c r="AC577">
        <f t="shared" si="218"/>
        <v>0</v>
      </c>
      <c r="AD577">
        <f t="shared" si="218"/>
        <v>0</v>
      </c>
      <c r="AE577">
        <f t="shared" si="218"/>
        <v>0</v>
      </c>
      <c r="AF577" s="56">
        <f t="shared" si="198"/>
        <v>15</v>
      </c>
      <c r="AG577" s="59">
        <f t="shared" si="199"/>
        <v>6.1428571428571432</v>
      </c>
      <c r="AH577">
        <f t="shared" si="200"/>
        <v>0.40952380952380957</v>
      </c>
    </row>
    <row r="578" spans="1:34" ht="15" x14ac:dyDescent="0.2">
      <c r="A578">
        <v>135</v>
      </c>
      <c r="B578" s="57" t="s">
        <v>200</v>
      </c>
      <c r="C578" s="57"/>
      <c r="D578">
        <f t="shared" ref="D578:D606" si="219">LEN(B578)</f>
        <v>43</v>
      </c>
      <c r="E578" s="1">
        <f t="shared" ref="E578:E606" si="220">IF(LEN(TRIM(B578))=0,0,LEN(TRIM(B578))-LEN(SUBSTITUTE(B578," ",""))+1)</f>
        <v>7</v>
      </c>
      <c r="F578">
        <f t="shared" si="216"/>
        <v>4</v>
      </c>
      <c r="G578">
        <f t="shared" si="216"/>
        <v>1</v>
      </c>
      <c r="H578">
        <f t="shared" si="216"/>
        <v>3</v>
      </c>
      <c r="I578">
        <f t="shared" si="216"/>
        <v>3</v>
      </c>
      <c r="J578">
        <f t="shared" si="216"/>
        <v>7</v>
      </c>
      <c r="K578">
        <f t="shared" si="216"/>
        <v>0</v>
      </c>
      <c r="L578">
        <f t="shared" si="216"/>
        <v>0</v>
      </c>
      <c r="M578">
        <f t="shared" si="216"/>
        <v>1</v>
      </c>
      <c r="N578">
        <f t="shared" si="216"/>
        <v>1</v>
      </c>
      <c r="O578">
        <f t="shared" si="216"/>
        <v>0</v>
      </c>
      <c r="P578">
        <f t="shared" si="217"/>
        <v>1</v>
      </c>
      <c r="Q578">
        <f t="shared" si="217"/>
        <v>2</v>
      </c>
      <c r="R578">
        <f t="shared" si="217"/>
        <v>1</v>
      </c>
      <c r="S578">
        <f t="shared" si="217"/>
        <v>1</v>
      </c>
      <c r="T578">
        <f t="shared" si="217"/>
        <v>0</v>
      </c>
      <c r="U578">
        <f t="shared" si="217"/>
        <v>3</v>
      </c>
      <c r="V578">
        <f t="shared" si="217"/>
        <v>0</v>
      </c>
      <c r="W578">
        <f t="shared" si="217"/>
        <v>0</v>
      </c>
      <c r="X578">
        <f t="shared" si="217"/>
        <v>4</v>
      </c>
      <c r="Y578">
        <f t="shared" si="217"/>
        <v>1</v>
      </c>
      <c r="Z578">
        <f t="shared" si="218"/>
        <v>2</v>
      </c>
      <c r="AA578">
        <f t="shared" si="218"/>
        <v>0</v>
      </c>
      <c r="AB578">
        <f t="shared" si="218"/>
        <v>0</v>
      </c>
      <c r="AC578">
        <f t="shared" si="218"/>
        <v>1</v>
      </c>
      <c r="AD578">
        <f t="shared" si="218"/>
        <v>1</v>
      </c>
      <c r="AE578">
        <f t="shared" si="218"/>
        <v>0</v>
      </c>
      <c r="AF578" s="56">
        <f t="shared" ref="AF578:AF606" si="221">26-COUNTIF(F578:AE578,0)</f>
        <v>17</v>
      </c>
      <c r="AG578" s="59">
        <f t="shared" ref="AG578:AG606" si="222">D578/E578</f>
        <v>6.1428571428571432</v>
      </c>
      <c r="AH578">
        <f t="shared" ref="AH578:AH606" si="223">AG578/AF578</f>
        <v>0.3613445378151261</v>
      </c>
    </row>
    <row r="579" spans="1:34" ht="15" x14ac:dyDescent="0.2">
      <c r="A579">
        <v>117</v>
      </c>
      <c r="B579" s="57" t="s">
        <v>182</v>
      </c>
      <c r="C579" s="57"/>
      <c r="D579">
        <f t="shared" si="219"/>
        <v>42</v>
      </c>
      <c r="E579" s="1">
        <f t="shared" si="220"/>
        <v>8</v>
      </c>
      <c r="F579">
        <f t="shared" si="216"/>
        <v>5</v>
      </c>
      <c r="G579">
        <f t="shared" si="216"/>
        <v>0</v>
      </c>
      <c r="H579">
        <f t="shared" si="216"/>
        <v>1</v>
      </c>
      <c r="I579">
        <f t="shared" si="216"/>
        <v>1</v>
      </c>
      <c r="J579">
        <f t="shared" si="216"/>
        <v>2</v>
      </c>
      <c r="K579">
        <f t="shared" si="216"/>
        <v>1</v>
      </c>
      <c r="L579">
        <f t="shared" si="216"/>
        <v>0</v>
      </c>
      <c r="M579">
        <f t="shared" si="216"/>
        <v>0</v>
      </c>
      <c r="N579">
        <f t="shared" si="216"/>
        <v>2</v>
      </c>
      <c r="O579">
        <f t="shared" si="216"/>
        <v>1</v>
      </c>
      <c r="P579">
        <f t="shared" si="217"/>
        <v>0</v>
      </c>
      <c r="Q579">
        <f t="shared" si="217"/>
        <v>0</v>
      </c>
      <c r="R579">
        <f t="shared" si="217"/>
        <v>1</v>
      </c>
      <c r="S579">
        <f t="shared" si="217"/>
        <v>1</v>
      </c>
      <c r="T579">
        <f t="shared" si="217"/>
        <v>1</v>
      </c>
      <c r="U579">
        <f t="shared" si="217"/>
        <v>1</v>
      </c>
      <c r="V579">
        <f t="shared" si="217"/>
        <v>0</v>
      </c>
      <c r="W579">
        <f t="shared" si="217"/>
        <v>1</v>
      </c>
      <c r="X579">
        <f t="shared" si="217"/>
        <v>4</v>
      </c>
      <c r="Y579">
        <f t="shared" si="217"/>
        <v>4</v>
      </c>
      <c r="Z579">
        <f t="shared" si="218"/>
        <v>2</v>
      </c>
      <c r="AA579">
        <f t="shared" si="218"/>
        <v>0</v>
      </c>
      <c r="AB579">
        <f t="shared" si="218"/>
        <v>1</v>
      </c>
      <c r="AC579">
        <f t="shared" si="218"/>
        <v>0</v>
      </c>
      <c r="AD579">
        <f t="shared" si="218"/>
        <v>2</v>
      </c>
      <c r="AE579">
        <f t="shared" si="218"/>
        <v>0</v>
      </c>
      <c r="AF579" s="56">
        <f t="shared" si="221"/>
        <v>17</v>
      </c>
      <c r="AG579" s="59">
        <f t="shared" si="222"/>
        <v>5.25</v>
      </c>
      <c r="AH579">
        <f t="shared" si="223"/>
        <v>0.30882352941176472</v>
      </c>
    </row>
    <row r="580" spans="1:34" ht="15" x14ac:dyDescent="0.2">
      <c r="A580">
        <v>214</v>
      </c>
      <c r="B580" s="57" t="s">
        <v>278</v>
      </c>
      <c r="C580" s="57"/>
      <c r="D580">
        <f t="shared" si="219"/>
        <v>41</v>
      </c>
      <c r="E580" s="1">
        <f t="shared" si="220"/>
        <v>7</v>
      </c>
      <c r="F580">
        <f t="shared" si="216"/>
        <v>3</v>
      </c>
      <c r="G580">
        <f t="shared" si="216"/>
        <v>0</v>
      </c>
      <c r="H580">
        <f t="shared" si="216"/>
        <v>0</v>
      </c>
      <c r="I580">
        <f t="shared" si="216"/>
        <v>0</v>
      </c>
      <c r="J580">
        <f t="shared" si="216"/>
        <v>2</v>
      </c>
      <c r="K580">
        <f t="shared" si="216"/>
        <v>0</v>
      </c>
      <c r="L580">
        <f t="shared" si="216"/>
        <v>2</v>
      </c>
      <c r="M580">
        <f t="shared" si="216"/>
        <v>1</v>
      </c>
      <c r="N580">
        <f t="shared" si="216"/>
        <v>4</v>
      </c>
      <c r="O580">
        <f t="shared" si="216"/>
        <v>0</v>
      </c>
      <c r="P580">
        <f t="shared" si="217"/>
        <v>0</v>
      </c>
      <c r="Q580">
        <f t="shared" si="217"/>
        <v>1</v>
      </c>
      <c r="R580">
        <f t="shared" si="217"/>
        <v>0</v>
      </c>
      <c r="S580">
        <f t="shared" si="217"/>
        <v>3</v>
      </c>
      <c r="T580">
        <f t="shared" si="217"/>
        <v>3</v>
      </c>
      <c r="U580">
        <f t="shared" si="217"/>
        <v>1</v>
      </c>
      <c r="V580">
        <f t="shared" si="217"/>
        <v>0</v>
      </c>
      <c r="W580">
        <f t="shared" si="217"/>
        <v>2</v>
      </c>
      <c r="X580">
        <f t="shared" si="217"/>
        <v>2</v>
      </c>
      <c r="Y580">
        <f t="shared" si="217"/>
        <v>4</v>
      </c>
      <c r="Z580">
        <f t="shared" si="218"/>
        <v>0</v>
      </c>
      <c r="AA580">
        <f t="shared" si="218"/>
        <v>2</v>
      </c>
      <c r="AB580">
        <f t="shared" si="218"/>
        <v>1</v>
      </c>
      <c r="AC580">
        <f t="shared" si="218"/>
        <v>0</v>
      </c>
      <c r="AD580">
        <f t="shared" si="218"/>
        <v>2</v>
      </c>
      <c r="AE580">
        <f t="shared" si="218"/>
        <v>0</v>
      </c>
      <c r="AF580" s="56">
        <f t="shared" si="221"/>
        <v>15</v>
      </c>
      <c r="AG580" s="59">
        <f t="shared" si="222"/>
        <v>5.8571428571428568</v>
      </c>
      <c r="AH580">
        <f t="shared" si="223"/>
        <v>0.39047619047619048</v>
      </c>
    </row>
    <row r="581" spans="1:34" ht="15" x14ac:dyDescent="0.2">
      <c r="A581">
        <v>222</v>
      </c>
      <c r="B581" s="57" t="s">
        <v>285</v>
      </c>
      <c r="C581" s="57"/>
      <c r="D581">
        <f t="shared" si="219"/>
        <v>41</v>
      </c>
      <c r="E581" s="1">
        <f t="shared" si="220"/>
        <v>8</v>
      </c>
      <c r="F581">
        <f t="shared" si="216"/>
        <v>3</v>
      </c>
      <c r="G581">
        <f t="shared" si="216"/>
        <v>0</v>
      </c>
      <c r="H581">
        <f t="shared" si="216"/>
        <v>2</v>
      </c>
      <c r="I581">
        <f t="shared" si="216"/>
        <v>2</v>
      </c>
      <c r="J581">
        <f t="shared" si="216"/>
        <v>4</v>
      </c>
      <c r="K581">
        <f t="shared" si="216"/>
        <v>0</v>
      </c>
      <c r="L581">
        <f t="shared" si="216"/>
        <v>0</v>
      </c>
      <c r="M581">
        <f t="shared" si="216"/>
        <v>0</v>
      </c>
      <c r="N581">
        <f t="shared" si="216"/>
        <v>5</v>
      </c>
      <c r="O581">
        <f t="shared" si="216"/>
        <v>0</v>
      </c>
      <c r="P581">
        <f t="shared" si="217"/>
        <v>1</v>
      </c>
      <c r="Q581">
        <f t="shared" si="217"/>
        <v>2</v>
      </c>
      <c r="R581">
        <f t="shared" si="217"/>
        <v>1</v>
      </c>
      <c r="S581">
        <f t="shared" si="217"/>
        <v>4</v>
      </c>
      <c r="T581">
        <f t="shared" si="217"/>
        <v>1</v>
      </c>
      <c r="U581">
        <f t="shared" si="217"/>
        <v>1</v>
      </c>
      <c r="V581">
        <f t="shared" si="217"/>
        <v>0</v>
      </c>
      <c r="W581">
        <f t="shared" si="217"/>
        <v>2</v>
      </c>
      <c r="X581">
        <f t="shared" si="217"/>
        <v>1</v>
      </c>
      <c r="Y581">
        <f t="shared" si="217"/>
        <v>2</v>
      </c>
      <c r="Z581">
        <f t="shared" si="218"/>
        <v>0</v>
      </c>
      <c r="AA581">
        <f t="shared" si="218"/>
        <v>1</v>
      </c>
      <c r="AB581">
        <f t="shared" si="218"/>
        <v>1</v>
      </c>
      <c r="AC581">
        <f t="shared" si="218"/>
        <v>0</v>
      </c>
      <c r="AD581">
        <f t="shared" si="218"/>
        <v>0</v>
      </c>
      <c r="AE581">
        <f t="shared" si="218"/>
        <v>0</v>
      </c>
      <c r="AF581" s="56">
        <f t="shared" si="221"/>
        <v>16</v>
      </c>
      <c r="AG581" s="59">
        <f t="shared" si="222"/>
        <v>5.125</v>
      </c>
      <c r="AH581">
        <f t="shared" si="223"/>
        <v>0.3203125</v>
      </c>
    </row>
    <row r="582" spans="1:34" ht="15" x14ac:dyDescent="0.2">
      <c r="A582">
        <v>113</v>
      </c>
      <c r="B582" s="57" t="s">
        <v>178</v>
      </c>
      <c r="C582" s="57"/>
      <c r="D582">
        <f t="shared" si="219"/>
        <v>40</v>
      </c>
      <c r="E582" s="1">
        <f t="shared" si="220"/>
        <v>8</v>
      </c>
      <c r="F582">
        <f t="shared" ref="F582:O591" si="224">LEN($B582)-LEN(SUBSTITUTE($B582,F$1,""))</f>
        <v>1</v>
      </c>
      <c r="G582">
        <f t="shared" si="224"/>
        <v>0</v>
      </c>
      <c r="H582">
        <f t="shared" si="224"/>
        <v>0</v>
      </c>
      <c r="I582">
        <f t="shared" si="224"/>
        <v>3</v>
      </c>
      <c r="J582">
        <f t="shared" si="224"/>
        <v>4</v>
      </c>
      <c r="K582">
        <f t="shared" si="224"/>
        <v>0</v>
      </c>
      <c r="L582">
        <f t="shared" si="224"/>
        <v>2</v>
      </c>
      <c r="M582">
        <f t="shared" si="224"/>
        <v>1</v>
      </c>
      <c r="N582">
        <f t="shared" si="224"/>
        <v>2</v>
      </c>
      <c r="O582">
        <f t="shared" si="224"/>
        <v>0</v>
      </c>
      <c r="P582">
        <f t="shared" ref="P582:Y591" si="225">LEN($B582)-LEN(SUBSTITUTE($B582,P$1,""))</f>
        <v>0</v>
      </c>
      <c r="Q582">
        <f t="shared" si="225"/>
        <v>2</v>
      </c>
      <c r="R582">
        <f t="shared" si="225"/>
        <v>0</v>
      </c>
      <c r="S582">
        <f t="shared" si="225"/>
        <v>6</v>
      </c>
      <c r="T582">
        <f t="shared" si="225"/>
        <v>5</v>
      </c>
      <c r="U582">
        <f t="shared" si="225"/>
        <v>0</v>
      </c>
      <c r="V582">
        <f t="shared" si="225"/>
        <v>0</v>
      </c>
      <c r="W582">
        <f t="shared" si="225"/>
        <v>0</v>
      </c>
      <c r="X582">
        <f t="shared" si="225"/>
        <v>0</v>
      </c>
      <c r="Y582">
        <f t="shared" si="225"/>
        <v>2</v>
      </c>
      <c r="Z582">
        <f t="shared" ref="Z582:AE591" si="226">LEN($B582)-LEN(SUBSTITUTE($B582,Z$1,""))</f>
        <v>1</v>
      </c>
      <c r="AA582">
        <f t="shared" si="226"/>
        <v>0</v>
      </c>
      <c r="AB582">
        <f t="shared" si="226"/>
        <v>1</v>
      </c>
      <c r="AC582">
        <f t="shared" si="226"/>
        <v>0</v>
      </c>
      <c r="AD582">
        <f t="shared" si="226"/>
        <v>1</v>
      </c>
      <c r="AE582">
        <f t="shared" si="226"/>
        <v>0</v>
      </c>
      <c r="AF582" s="56">
        <f t="shared" si="221"/>
        <v>13</v>
      </c>
      <c r="AG582" s="59">
        <f t="shared" si="222"/>
        <v>5</v>
      </c>
      <c r="AH582">
        <f t="shared" si="223"/>
        <v>0.38461538461538464</v>
      </c>
    </row>
    <row r="583" spans="1:34" ht="15" x14ac:dyDescent="0.2">
      <c r="A583">
        <v>583</v>
      </c>
      <c r="B583" s="57" t="s">
        <v>604</v>
      </c>
      <c r="C583" s="57"/>
      <c r="D583">
        <f t="shared" si="219"/>
        <v>40</v>
      </c>
      <c r="E583" s="1">
        <f t="shared" si="220"/>
        <v>7</v>
      </c>
      <c r="F583">
        <f t="shared" si="224"/>
        <v>3</v>
      </c>
      <c r="G583">
        <f t="shared" si="224"/>
        <v>0</v>
      </c>
      <c r="H583">
        <f t="shared" si="224"/>
        <v>0</v>
      </c>
      <c r="I583">
        <f t="shared" si="224"/>
        <v>0</v>
      </c>
      <c r="J583">
        <f t="shared" si="224"/>
        <v>2</v>
      </c>
      <c r="K583">
        <f t="shared" si="224"/>
        <v>0</v>
      </c>
      <c r="L583">
        <f t="shared" si="224"/>
        <v>2</v>
      </c>
      <c r="M583">
        <f t="shared" si="224"/>
        <v>1</v>
      </c>
      <c r="N583">
        <f t="shared" si="224"/>
        <v>4</v>
      </c>
      <c r="O583">
        <f t="shared" si="224"/>
        <v>0</v>
      </c>
      <c r="P583">
        <f t="shared" si="225"/>
        <v>0</v>
      </c>
      <c r="Q583">
        <f t="shared" si="225"/>
        <v>1</v>
      </c>
      <c r="R583">
        <f t="shared" si="225"/>
        <v>0</v>
      </c>
      <c r="S583">
        <f t="shared" si="225"/>
        <v>3</v>
      </c>
      <c r="T583">
        <f t="shared" si="225"/>
        <v>3</v>
      </c>
      <c r="U583">
        <f t="shared" si="225"/>
        <v>1</v>
      </c>
      <c r="V583">
        <f t="shared" si="225"/>
        <v>0</v>
      </c>
      <c r="W583">
        <f t="shared" si="225"/>
        <v>2</v>
      </c>
      <c r="X583">
        <f t="shared" si="225"/>
        <v>2</v>
      </c>
      <c r="Y583">
        <f t="shared" si="225"/>
        <v>4</v>
      </c>
      <c r="Z583">
        <f t="shared" si="226"/>
        <v>0</v>
      </c>
      <c r="AA583">
        <f t="shared" si="226"/>
        <v>2</v>
      </c>
      <c r="AB583">
        <f t="shared" si="226"/>
        <v>1</v>
      </c>
      <c r="AC583">
        <f t="shared" si="226"/>
        <v>0</v>
      </c>
      <c r="AD583">
        <f t="shared" si="226"/>
        <v>2</v>
      </c>
      <c r="AE583">
        <f t="shared" si="226"/>
        <v>0</v>
      </c>
      <c r="AF583" s="56">
        <f t="shared" si="221"/>
        <v>15</v>
      </c>
      <c r="AG583" s="59">
        <f t="shared" si="222"/>
        <v>5.7142857142857144</v>
      </c>
      <c r="AH583">
        <f t="shared" si="223"/>
        <v>0.38095238095238099</v>
      </c>
    </row>
    <row r="584" spans="1:34" ht="15" x14ac:dyDescent="0.2">
      <c r="A584">
        <v>151</v>
      </c>
      <c r="B584" s="57" t="s">
        <v>216</v>
      </c>
      <c r="C584" s="57"/>
      <c r="D584">
        <f t="shared" si="219"/>
        <v>39</v>
      </c>
      <c r="E584" s="1">
        <f t="shared" si="220"/>
        <v>5</v>
      </c>
      <c r="F584">
        <f t="shared" si="224"/>
        <v>4</v>
      </c>
      <c r="G584">
        <f t="shared" si="224"/>
        <v>0</v>
      </c>
      <c r="H584">
        <f t="shared" si="224"/>
        <v>0</v>
      </c>
      <c r="I584">
        <f t="shared" si="224"/>
        <v>0</v>
      </c>
      <c r="J584">
        <f t="shared" si="224"/>
        <v>5</v>
      </c>
      <c r="K584">
        <f t="shared" si="224"/>
        <v>0</v>
      </c>
      <c r="L584">
        <f t="shared" si="224"/>
        <v>3</v>
      </c>
      <c r="M584">
        <f t="shared" si="224"/>
        <v>0</v>
      </c>
      <c r="N584">
        <f t="shared" si="224"/>
        <v>3</v>
      </c>
      <c r="O584">
        <f t="shared" si="224"/>
        <v>0</v>
      </c>
      <c r="P584">
        <f t="shared" si="225"/>
        <v>0</v>
      </c>
      <c r="Q584">
        <f t="shared" si="225"/>
        <v>3</v>
      </c>
      <c r="R584">
        <f t="shared" si="225"/>
        <v>0</v>
      </c>
      <c r="S584">
        <f t="shared" si="225"/>
        <v>4</v>
      </c>
      <c r="T584">
        <f t="shared" si="225"/>
        <v>2</v>
      </c>
      <c r="U584">
        <f t="shared" si="225"/>
        <v>1</v>
      </c>
      <c r="V584">
        <f t="shared" si="225"/>
        <v>0</v>
      </c>
      <c r="W584">
        <f t="shared" si="225"/>
        <v>3</v>
      </c>
      <c r="X584">
        <f t="shared" si="225"/>
        <v>3</v>
      </c>
      <c r="Y584">
        <f t="shared" si="225"/>
        <v>1</v>
      </c>
      <c r="Z584">
        <f t="shared" si="226"/>
        <v>0</v>
      </c>
      <c r="AA584">
        <f t="shared" si="226"/>
        <v>0</v>
      </c>
      <c r="AB584">
        <f t="shared" si="226"/>
        <v>2</v>
      </c>
      <c r="AC584">
        <f t="shared" si="226"/>
        <v>0</v>
      </c>
      <c r="AD584">
        <f t="shared" si="226"/>
        <v>0</v>
      </c>
      <c r="AE584">
        <f t="shared" si="226"/>
        <v>0</v>
      </c>
      <c r="AF584" s="56">
        <f t="shared" si="221"/>
        <v>12</v>
      </c>
      <c r="AG584" s="59">
        <f t="shared" si="222"/>
        <v>7.8</v>
      </c>
      <c r="AH584">
        <f t="shared" si="223"/>
        <v>0.65</v>
      </c>
    </row>
    <row r="585" spans="1:34" ht="15" x14ac:dyDescent="0.2">
      <c r="A585">
        <v>91</v>
      </c>
      <c r="B585" s="57" t="s">
        <v>156</v>
      </c>
      <c r="C585" s="57"/>
      <c r="D585">
        <f t="shared" si="219"/>
        <v>39</v>
      </c>
      <c r="E585" s="1">
        <f t="shared" si="220"/>
        <v>8</v>
      </c>
      <c r="F585">
        <f t="shared" si="224"/>
        <v>2</v>
      </c>
      <c r="G585">
        <f t="shared" si="224"/>
        <v>0</v>
      </c>
      <c r="H585">
        <f t="shared" si="224"/>
        <v>0</v>
      </c>
      <c r="I585">
        <f t="shared" si="224"/>
        <v>1</v>
      </c>
      <c r="J585">
        <f t="shared" si="224"/>
        <v>5</v>
      </c>
      <c r="K585">
        <f t="shared" si="224"/>
        <v>1</v>
      </c>
      <c r="L585">
        <f t="shared" si="224"/>
        <v>1</v>
      </c>
      <c r="M585">
        <f t="shared" si="224"/>
        <v>4</v>
      </c>
      <c r="N585">
        <f t="shared" si="224"/>
        <v>2</v>
      </c>
      <c r="O585">
        <f t="shared" si="224"/>
        <v>0</v>
      </c>
      <c r="P585">
        <f t="shared" si="225"/>
        <v>0</v>
      </c>
      <c r="Q585">
        <f t="shared" si="225"/>
        <v>0</v>
      </c>
      <c r="R585">
        <f t="shared" si="225"/>
        <v>1</v>
      </c>
      <c r="S585">
        <f t="shared" si="225"/>
        <v>3</v>
      </c>
      <c r="T585">
        <f t="shared" si="225"/>
        <v>3</v>
      </c>
      <c r="U585">
        <f t="shared" si="225"/>
        <v>0</v>
      </c>
      <c r="V585">
        <f t="shared" si="225"/>
        <v>0</v>
      </c>
      <c r="W585">
        <f t="shared" si="225"/>
        <v>2</v>
      </c>
      <c r="X585">
        <f t="shared" si="225"/>
        <v>2</v>
      </c>
      <c r="Y585">
        <f t="shared" si="225"/>
        <v>2</v>
      </c>
      <c r="Z585">
        <f t="shared" si="226"/>
        <v>0</v>
      </c>
      <c r="AA585">
        <f t="shared" si="226"/>
        <v>1</v>
      </c>
      <c r="AB585">
        <f t="shared" si="226"/>
        <v>0</v>
      </c>
      <c r="AC585">
        <f t="shared" si="226"/>
        <v>0</v>
      </c>
      <c r="AD585">
        <f t="shared" si="226"/>
        <v>0</v>
      </c>
      <c r="AE585">
        <f t="shared" si="226"/>
        <v>0</v>
      </c>
      <c r="AF585" s="56">
        <f t="shared" si="221"/>
        <v>14</v>
      </c>
      <c r="AG585" s="59">
        <f t="shared" si="222"/>
        <v>4.875</v>
      </c>
      <c r="AH585">
        <f t="shared" si="223"/>
        <v>0.3482142857142857</v>
      </c>
    </row>
    <row r="586" spans="1:34" ht="15" x14ac:dyDescent="0.2">
      <c r="A586">
        <v>15</v>
      </c>
      <c r="B586" s="57" t="s">
        <v>80</v>
      </c>
      <c r="C586" s="57"/>
      <c r="D586">
        <f t="shared" si="219"/>
        <v>39</v>
      </c>
      <c r="E586" s="1">
        <f t="shared" si="220"/>
        <v>10</v>
      </c>
      <c r="F586">
        <f t="shared" si="224"/>
        <v>3</v>
      </c>
      <c r="G586">
        <f t="shared" si="224"/>
        <v>0</v>
      </c>
      <c r="H586">
        <f t="shared" si="224"/>
        <v>1</v>
      </c>
      <c r="I586">
        <f t="shared" si="224"/>
        <v>2</v>
      </c>
      <c r="J586">
        <f t="shared" si="224"/>
        <v>3</v>
      </c>
      <c r="K586">
        <f t="shared" si="224"/>
        <v>1</v>
      </c>
      <c r="L586">
        <f t="shared" si="224"/>
        <v>1</v>
      </c>
      <c r="M586">
        <f t="shared" si="224"/>
        <v>1</v>
      </c>
      <c r="N586">
        <f t="shared" si="224"/>
        <v>4</v>
      </c>
      <c r="O586">
        <f t="shared" si="224"/>
        <v>0</v>
      </c>
      <c r="P586">
        <f t="shared" si="225"/>
        <v>2</v>
      </c>
      <c r="Q586">
        <f t="shared" si="225"/>
        <v>0</v>
      </c>
      <c r="R586">
        <f t="shared" si="225"/>
        <v>1</v>
      </c>
      <c r="S586">
        <f t="shared" si="225"/>
        <v>3</v>
      </c>
      <c r="T586">
        <f t="shared" si="225"/>
        <v>1</v>
      </c>
      <c r="U586">
        <f t="shared" si="225"/>
        <v>0</v>
      </c>
      <c r="V586">
        <f t="shared" si="225"/>
        <v>0</v>
      </c>
      <c r="W586">
        <f t="shared" si="225"/>
        <v>0</v>
      </c>
      <c r="X586">
        <f t="shared" si="225"/>
        <v>4</v>
      </c>
      <c r="Y586">
        <f t="shared" si="225"/>
        <v>2</v>
      </c>
      <c r="Z586">
        <f t="shared" si="226"/>
        <v>0</v>
      </c>
      <c r="AA586">
        <f t="shared" si="226"/>
        <v>0</v>
      </c>
      <c r="AB586">
        <f t="shared" si="226"/>
        <v>0</v>
      </c>
      <c r="AC586">
        <f t="shared" si="226"/>
        <v>0</v>
      </c>
      <c r="AD586">
        <f t="shared" si="226"/>
        <v>0</v>
      </c>
      <c r="AE586">
        <f t="shared" si="226"/>
        <v>0</v>
      </c>
      <c r="AF586" s="56">
        <f t="shared" si="221"/>
        <v>14</v>
      </c>
      <c r="AG586" s="59">
        <f t="shared" si="222"/>
        <v>3.9</v>
      </c>
      <c r="AH586">
        <f t="shared" si="223"/>
        <v>0.27857142857142858</v>
      </c>
    </row>
    <row r="587" spans="1:34" ht="15" x14ac:dyDescent="0.2">
      <c r="A587">
        <v>95</v>
      </c>
      <c r="B587" s="57" t="s">
        <v>160</v>
      </c>
      <c r="C587" s="57"/>
      <c r="D587">
        <f t="shared" si="219"/>
        <v>39</v>
      </c>
      <c r="E587" s="1">
        <f t="shared" si="220"/>
        <v>6</v>
      </c>
      <c r="F587">
        <f t="shared" si="224"/>
        <v>3</v>
      </c>
      <c r="G587">
        <f t="shared" si="224"/>
        <v>1</v>
      </c>
      <c r="H587">
        <f t="shared" si="224"/>
        <v>1</v>
      </c>
      <c r="I587">
        <f t="shared" si="224"/>
        <v>2</v>
      </c>
      <c r="J587">
        <f t="shared" si="224"/>
        <v>4</v>
      </c>
      <c r="K587">
        <f t="shared" si="224"/>
        <v>1</v>
      </c>
      <c r="L587">
        <f t="shared" si="224"/>
        <v>0</v>
      </c>
      <c r="M587">
        <f t="shared" si="224"/>
        <v>2</v>
      </c>
      <c r="N587">
        <f t="shared" si="224"/>
        <v>1</v>
      </c>
      <c r="O587">
        <f t="shared" si="224"/>
        <v>0</v>
      </c>
      <c r="P587">
        <f t="shared" si="225"/>
        <v>1</v>
      </c>
      <c r="Q587">
        <f t="shared" si="225"/>
        <v>0</v>
      </c>
      <c r="R587">
        <f t="shared" si="225"/>
        <v>1</v>
      </c>
      <c r="S587">
        <f t="shared" si="225"/>
        <v>3</v>
      </c>
      <c r="T587">
        <f t="shared" si="225"/>
        <v>5</v>
      </c>
      <c r="U587">
        <f t="shared" si="225"/>
        <v>0</v>
      </c>
      <c r="V587">
        <f t="shared" si="225"/>
        <v>0</v>
      </c>
      <c r="W587">
        <f t="shared" si="225"/>
        <v>2</v>
      </c>
      <c r="X587">
        <f t="shared" si="225"/>
        <v>2</v>
      </c>
      <c r="Y587">
        <f t="shared" si="225"/>
        <v>2</v>
      </c>
      <c r="Z587">
        <f t="shared" si="226"/>
        <v>1</v>
      </c>
      <c r="AA587">
        <f t="shared" si="226"/>
        <v>0</v>
      </c>
      <c r="AB587">
        <f t="shared" si="226"/>
        <v>0</v>
      </c>
      <c r="AC587">
        <f t="shared" si="226"/>
        <v>0</v>
      </c>
      <c r="AD587">
        <f t="shared" si="226"/>
        <v>1</v>
      </c>
      <c r="AE587">
        <f t="shared" si="226"/>
        <v>0</v>
      </c>
      <c r="AF587" s="56">
        <f t="shared" si="221"/>
        <v>17</v>
      </c>
      <c r="AG587" s="59">
        <f t="shared" si="222"/>
        <v>6.5</v>
      </c>
      <c r="AH587">
        <f t="shared" si="223"/>
        <v>0.38235294117647056</v>
      </c>
    </row>
    <row r="588" spans="1:34" ht="15" x14ac:dyDescent="0.2">
      <c r="A588">
        <v>53</v>
      </c>
      <c r="B588" s="57" t="s">
        <v>118</v>
      </c>
      <c r="C588" s="57"/>
      <c r="D588">
        <f t="shared" si="219"/>
        <v>38</v>
      </c>
      <c r="E588" s="1">
        <f t="shared" si="220"/>
        <v>5</v>
      </c>
      <c r="F588">
        <f t="shared" si="224"/>
        <v>4</v>
      </c>
      <c r="G588">
        <f t="shared" si="224"/>
        <v>0</v>
      </c>
      <c r="H588">
        <f t="shared" si="224"/>
        <v>0</v>
      </c>
      <c r="I588">
        <f t="shared" si="224"/>
        <v>0</v>
      </c>
      <c r="J588">
        <f t="shared" si="224"/>
        <v>2</v>
      </c>
      <c r="K588">
        <f t="shared" si="224"/>
        <v>0</v>
      </c>
      <c r="L588">
        <f t="shared" si="224"/>
        <v>1</v>
      </c>
      <c r="M588">
        <f t="shared" si="224"/>
        <v>2</v>
      </c>
      <c r="N588">
        <f t="shared" si="224"/>
        <v>4</v>
      </c>
      <c r="O588">
        <f t="shared" si="224"/>
        <v>0</v>
      </c>
      <c r="P588">
        <f t="shared" si="225"/>
        <v>0</v>
      </c>
      <c r="Q588">
        <f t="shared" si="225"/>
        <v>0</v>
      </c>
      <c r="R588">
        <f t="shared" si="225"/>
        <v>1</v>
      </c>
      <c r="S588">
        <f t="shared" si="225"/>
        <v>4</v>
      </c>
      <c r="T588">
        <f t="shared" si="225"/>
        <v>4</v>
      </c>
      <c r="U588">
        <f t="shared" si="225"/>
        <v>2</v>
      </c>
      <c r="V588">
        <f t="shared" si="225"/>
        <v>0</v>
      </c>
      <c r="W588">
        <f t="shared" si="225"/>
        <v>2</v>
      </c>
      <c r="X588">
        <f t="shared" si="225"/>
        <v>3</v>
      </c>
      <c r="Y588">
        <f t="shared" si="225"/>
        <v>3</v>
      </c>
      <c r="Z588">
        <f t="shared" si="226"/>
        <v>0</v>
      </c>
      <c r="AA588">
        <f t="shared" si="226"/>
        <v>0</v>
      </c>
      <c r="AB588">
        <f t="shared" si="226"/>
        <v>0</v>
      </c>
      <c r="AC588">
        <f t="shared" si="226"/>
        <v>0</v>
      </c>
      <c r="AD588">
        <f t="shared" si="226"/>
        <v>0</v>
      </c>
      <c r="AE588">
        <f t="shared" si="226"/>
        <v>0</v>
      </c>
      <c r="AF588" s="56">
        <f t="shared" si="221"/>
        <v>12</v>
      </c>
      <c r="AG588" s="59">
        <f t="shared" si="222"/>
        <v>7.6</v>
      </c>
      <c r="AH588">
        <f t="shared" si="223"/>
        <v>0.6333333333333333</v>
      </c>
    </row>
    <row r="589" spans="1:34" ht="15" x14ac:dyDescent="0.2">
      <c r="A589">
        <v>463</v>
      </c>
      <c r="B589" s="57" t="s">
        <v>502</v>
      </c>
      <c r="C589" s="57"/>
      <c r="D589">
        <f t="shared" si="219"/>
        <v>38</v>
      </c>
      <c r="E589" s="1">
        <f t="shared" si="220"/>
        <v>7</v>
      </c>
      <c r="F589">
        <f t="shared" si="224"/>
        <v>3</v>
      </c>
      <c r="G589">
        <f t="shared" si="224"/>
        <v>0</v>
      </c>
      <c r="H589">
        <f t="shared" si="224"/>
        <v>0</v>
      </c>
      <c r="I589">
        <f t="shared" si="224"/>
        <v>2</v>
      </c>
      <c r="J589">
        <f t="shared" si="224"/>
        <v>3</v>
      </c>
      <c r="K589">
        <f t="shared" si="224"/>
        <v>0</v>
      </c>
      <c r="L589">
        <f t="shared" si="224"/>
        <v>0</v>
      </c>
      <c r="M589">
        <f t="shared" si="224"/>
        <v>1</v>
      </c>
      <c r="N589">
        <f t="shared" si="224"/>
        <v>2</v>
      </c>
      <c r="O589">
        <f t="shared" si="224"/>
        <v>0</v>
      </c>
      <c r="P589">
        <f t="shared" si="225"/>
        <v>2</v>
      </c>
      <c r="Q589">
        <f t="shared" si="225"/>
        <v>2</v>
      </c>
      <c r="R589">
        <f t="shared" si="225"/>
        <v>2</v>
      </c>
      <c r="S589">
        <f t="shared" si="225"/>
        <v>2</v>
      </c>
      <c r="T589">
        <f t="shared" si="225"/>
        <v>3</v>
      </c>
      <c r="U589">
        <f t="shared" si="225"/>
        <v>1</v>
      </c>
      <c r="V589">
        <f t="shared" si="225"/>
        <v>0</v>
      </c>
      <c r="W589">
        <f t="shared" si="225"/>
        <v>1</v>
      </c>
      <c r="X589">
        <f t="shared" si="225"/>
        <v>2</v>
      </c>
      <c r="Y589">
        <f t="shared" si="225"/>
        <v>1</v>
      </c>
      <c r="Z589">
        <f t="shared" si="226"/>
        <v>1</v>
      </c>
      <c r="AA589">
        <f t="shared" si="226"/>
        <v>0</v>
      </c>
      <c r="AB589">
        <f t="shared" si="226"/>
        <v>1</v>
      </c>
      <c r="AC589">
        <f t="shared" si="226"/>
        <v>0</v>
      </c>
      <c r="AD589">
        <f t="shared" si="226"/>
        <v>1</v>
      </c>
      <c r="AE589">
        <f t="shared" si="226"/>
        <v>0</v>
      </c>
      <c r="AF589" s="56">
        <f t="shared" si="221"/>
        <v>17</v>
      </c>
      <c r="AG589" s="59">
        <f t="shared" si="222"/>
        <v>5.4285714285714288</v>
      </c>
      <c r="AH589">
        <f t="shared" si="223"/>
        <v>0.31932773109243701</v>
      </c>
    </row>
    <row r="590" spans="1:34" ht="15" x14ac:dyDescent="0.2">
      <c r="A590">
        <v>352</v>
      </c>
      <c r="B590" s="57" t="s">
        <v>412</v>
      </c>
      <c r="C590" s="57"/>
      <c r="D590">
        <f t="shared" si="219"/>
        <v>37</v>
      </c>
      <c r="E590" s="1">
        <f t="shared" si="220"/>
        <v>7</v>
      </c>
      <c r="F590">
        <f t="shared" si="224"/>
        <v>3</v>
      </c>
      <c r="G590">
        <f t="shared" si="224"/>
        <v>0</v>
      </c>
      <c r="H590">
        <f t="shared" si="224"/>
        <v>3</v>
      </c>
      <c r="I590">
        <f t="shared" si="224"/>
        <v>1</v>
      </c>
      <c r="J590">
        <f t="shared" si="224"/>
        <v>2</v>
      </c>
      <c r="K590">
        <f t="shared" si="224"/>
        <v>1</v>
      </c>
      <c r="L590">
        <f t="shared" si="224"/>
        <v>0</v>
      </c>
      <c r="M590">
        <f t="shared" si="224"/>
        <v>0</v>
      </c>
      <c r="N590">
        <f t="shared" si="224"/>
        <v>2</v>
      </c>
      <c r="O590">
        <f t="shared" si="224"/>
        <v>0</v>
      </c>
      <c r="P590">
        <f t="shared" si="225"/>
        <v>0</v>
      </c>
      <c r="Q590">
        <f t="shared" si="225"/>
        <v>0</v>
      </c>
      <c r="R590">
        <f t="shared" si="225"/>
        <v>0</v>
      </c>
      <c r="S590">
        <f t="shared" si="225"/>
        <v>4</v>
      </c>
      <c r="T590">
        <f t="shared" si="225"/>
        <v>2</v>
      </c>
      <c r="U590">
        <f t="shared" si="225"/>
        <v>1</v>
      </c>
      <c r="V590">
        <f t="shared" si="225"/>
        <v>0</v>
      </c>
      <c r="W590">
        <f t="shared" si="225"/>
        <v>1</v>
      </c>
      <c r="X590">
        <f t="shared" si="225"/>
        <v>3</v>
      </c>
      <c r="Y590">
        <f t="shared" si="225"/>
        <v>2</v>
      </c>
      <c r="Z590">
        <f t="shared" si="226"/>
        <v>1</v>
      </c>
      <c r="AA590">
        <f t="shared" si="226"/>
        <v>0</v>
      </c>
      <c r="AB590">
        <f t="shared" si="226"/>
        <v>0</v>
      </c>
      <c r="AC590">
        <f t="shared" si="226"/>
        <v>0</v>
      </c>
      <c r="AD590">
        <f t="shared" si="226"/>
        <v>1</v>
      </c>
      <c r="AE590">
        <f t="shared" si="226"/>
        <v>0</v>
      </c>
      <c r="AF590" s="56">
        <f t="shared" si="221"/>
        <v>14</v>
      </c>
      <c r="AG590" s="59">
        <f t="shared" si="222"/>
        <v>5.2857142857142856</v>
      </c>
      <c r="AH590">
        <f t="shared" si="223"/>
        <v>0.37755102040816324</v>
      </c>
    </row>
    <row r="591" spans="1:34" ht="15" x14ac:dyDescent="0.2">
      <c r="A591">
        <v>187</v>
      </c>
      <c r="B591" s="57" t="s">
        <v>251</v>
      </c>
      <c r="C591" s="57"/>
      <c r="D591">
        <f t="shared" si="219"/>
        <v>37</v>
      </c>
      <c r="E591" s="1">
        <f t="shared" si="220"/>
        <v>7</v>
      </c>
      <c r="F591">
        <f t="shared" si="224"/>
        <v>3</v>
      </c>
      <c r="G591">
        <f t="shared" si="224"/>
        <v>2</v>
      </c>
      <c r="H591">
        <f t="shared" si="224"/>
        <v>1</v>
      </c>
      <c r="I591">
        <f t="shared" si="224"/>
        <v>1</v>
      </c>
      <c r="J591">
        <f t="shared" si="224"/>
        <v>1</v>
      </c>
      <c r="K591">
        <f t="shared" si="224"/>
        <v>0</v>
      </c>
      <c r="L591">
        <f t="shared" si="224"/>
        <v>1</v>
      </c>
      <c r="M591">
        <f t="shared" si="224"/>
        <v>2</v>
      </c>
      <c r="N591">
        <f t="shared" si="224"/>
        <v>3</v>
      </c>
      <c r="O591">
        <f t="shared" si="224"/>
        <v>0</v>
      </c>
      <c r="P591">
        <f t="shared" si="225"/>
        <v>0</v>
      </c>
      <c r="Q591">
        <f t="shared" si="225"/>
        <v>1</v>
      </c>
      <c r="R591">
        <f t="shared" si="225"/>
        <v>0</v>
      </c>
      <c r="S591">
        <f t="shared" si="225"/>
        <v>2</v>
      </c>
      <c r="T591">
        <f t="shared" si="225"/>
        <v>3</v>
      </c>
      <c r="U591">
        <f t="shared" si="225"/>
        <v>0</v>
      </c>
      <c r="V591">
        <f t="shared" si="225"/>
        <v>0</v>
      </c>
      <c r="W591">
        <f t="shared" si="225"/>
        <v>2</v>
      </c>
      <c r="X591">
        <f t="shared" si="225"/>
        <v>2</v>
      </c>
      <c r="Y591">
        <f t="shared" si="225"/>
        <v>1</v>
      </c>
      <c r="Z591">
        <f t="shared" si="226"/>
        <v>1</v>
      </c>
      <c r="AA591">
        <f t="shared" si="226"/>
        <v>1</v>
      </c>
      <c r="AB591">
        <f t="shared" si="226"/>
        <v>2</v>
      </c>
      <c r="AC591">
        <f t="shared" si="226"/>
        <v>0</v>
      </c>
      <c r="AD591">
        <f t="shared" si="226"/>
        <v>1</v>
      </c>
      <c r="AE591">
        <f t="shared" si="226"/>
        <v>0</v>
      </c>
      <c r="AF591" s="56">
        <f t="shared" si="221"/>
        <v>18</v>
      </c>
      <c r="AG591" s="59">
        <f t="shared" si="222"/>
        <v>5.2857142857142856</v>
      </c>
      <c r="AH591">
        <f t="shared" si="223"/>
        <v>0.29365079365079366</v>
      </c>
    </row>
    <row r="592" spans="1:34" ht="15" x14ac:dyDescent="0.2">
      <c r="A592">
        <v>223</v>
      </c>
      <c r="B592" s="57" t="s">
        <v>286</v>
      </c>
      <c r="C592" s="57"/>
      <c r="D592">
        <f t="shared" si="219"/>
        <v>36</v>
      </c>
      <c r="E592" s="1">
        <f t="shared" si="220"/>
        <v>6</v>
      </c>
      <c r="F592">
        <f t="shared" ref="F592:O606" si="227">LEN($B592)-LEN(SUBSTITUTE($B592,F$1,""))</f>
        <v>0</v>
      </c>
      <c r="G592">
        <f t="shared" si="227"/>
        <v>1</v>
      </c>
      <c r="H592">
        <f t="shared" si="227"/>
        <v>2</v>
      </c>
      <c r="I592">
        <f t="shared" si="227"/>
        <v>2</v>
      </c>
      <c r="J592">
        <f t="shared" si="227"/>
        <v>4</v>
      </c>
      <c r="K592">
        <f t="shared" si="227"/>
        <v>0</v>
      </c>
      <c r="L592">
        <f t="shared" si="227"/>
        <v>0</v>
      </c>
      <c r="M592">
        <f t="shared" si="227"/>
        <v>2</v>
      </c>
      <c r="N592">
        <f t="shared" si="227"/>
        <v>3</v>
      </c>
      <c r="O592">
        <f t="shared" si="227"/>
        <v>0</v>
      </c>
      <c r="P592">
        <f t="shared" ref="P592:Y606" si="228">LEN($B592)-LEN(SUBSTITUTE($B592,P$1,""))</f>
        <v>0</v>
      </c>
      <c r="Q592">
        <f t="shared" si="228"/>
        <v>1</v>
      </c>
      <c r="R592">
        <f t="shared" si="228"/>
        <v>0</v>
      </c>
      <c r="S592">
        <f t="shared" si="228"/>
        <v>2</v>
      </c>
      <c r="T592">
        <f t="shared" si="228"/>
        <v>3</v>
      </c>
      <c r="U592">
        <f t="shared" si="228"/>
        <v>1</v>
      </c>
      <c r="V592">
        <f t="shared" si="228"/>
        <v>0</v>
      </c>
      <c r="W592">
        <f t="shared" si="228"/>
        <v>0</v>
      </c>
      <c r="X592">
        <f t="shared" si="228"/>
        <v>5</v>
      </c>
      <c r="Y592">
        <f t="shared" si="228"/>
        <v>3</v>
      </c>
      <c r="Z592">
        <f t="shared" ref="Z592:AE606" si="229">LEN($B592)-LEN(SUBSTITUTE($B592,Z$1,""))</f>
        <v>0</v>
      </c>
      <c r="AA592">
        <f t="shared" si="229"/>
        <v>0</v>
      </c>
      <c r="AB592">
        <f t="shared" si="229"/>
        <v>0</v>
      </c>
      <c r="AC592">
        <f t="shared" si="229"/>
        <v>0</v>
      </c>
      <c r="AD592">
        <f t="shared" si="229"/>
        <v>2</v>
      </c>
      <c r="AE592">
        <f t="shared" si="229"/>
        <v>0</v>
      </c>
      <c r="AF592" s="56">
        <f t="shared" si="221"/>
        <v>13</v>
      </c>
      <c r="AG592" s="59">
        <f t="shared" si="222"/>
        <v>6</v>
      </c>
      <c r="AH592">
        <f t="shared" si="223"/>
        <v>0.46153846153846156</v>
      </c>
    </row>
    <row r="593" spans="1:34" ht="15" x14ac:dyDescent="0.2">
      <c r="A593">
        <v>9</v>
      </c>
      <c r="B593" s="57" t="s">
        <v>74</v>
      </c>
      <c r="C593" s="57"/>
      <c r="D593">
        <f t="shared" si="219"/>
        <v>35</v>
      </c>
      <c r="E593" s="1">
        <f t="shared" si="220"/>
        <v>8</v>
      </c>
      <c r="F593">
        <f t="shared" si="227"/>
        <v>2</v>
      </c>
      <c r="G593">
        <f t="shared" si="227"/>
        <v>0</v>
      </c>
      <c r="H593">
        <f t="shared" si="227"/>
        <v>1</v>
      </c>
      <c r="I593">
        <f t="shared" si="227"/>
        <v>2</v>
      </c>
      <c r="J593">
        <f t="shared" si="227"/>
        <v>1</v>
      </c>
      <c r="K593">
        <f t="shared" si="227"/>
        <v>2</v>
      </c>
      <c r="L593">
        <f t="shared" si="227"/>
        <v>0</v>
      </c>
      <c r="M593">
        <f t="shared" si="227"/>
        <v>0</v>
      </c>
      <c r="N593">
        <f t="shared" si="227"/>
        <v>5</v>
      </c>
      <c r="O593">
        <f t="shared" si="227"/>
        <v>0</v>
      </c>
      <c r="P593">
        <f t="shared" si="228"/>
        <v>0</v>
      </c>
      <c r="Q593">
        <f t="shared" si="228"/>
        <v>0</v>
      </c>
      <c r="R593">
        <f t="shared" si="228"/>
        <v>1</v>
      </c>
      <c r="S593">
        <f t="shared" si="228"/>
        <v>1</v>
      </c>
      <c r="T593">
        <f t="shared" si="228"/>
        <v>3</v>
      </c>
      <c r="U593">
        <f t="shared" si="228"/>
        <v>0</v>
      </c>
      <c r="V593">
        <f t="shared" si="228"/>
        <v>0</v>
      </c>
      <c r="W593">
        <f t="shared" si="228"/>
        <v>3</v>
      </c>
      <c r="X593">
        <f t="shared" si="228"/>
        <v>3</v>
      </c>
      <c r="Y593">
        <f t="shared" si="228"/>
        <v>1</v>
      </c>
      <c r="Z593">
        <f t="shared" si="229"/>
        <v>0</v>
      </c>
      <c r="AA593">
        <f t="shared" si="229"/>
        <v>0</v>
      </c>
      <c r="AB593">
        <f t="shared" si="229"/>
        <v>0</v>
      </c>
      <c r="AC593">
        <f t="shared" si="229"/>
        <v>0</v>
      </c>
      <c r="AD593">
        <f t="shared" si="229"/>
        <v>1</v>
      </c>
      <c r="AE593">
        <f t="shared" si="229"/>
        <v>0</v>
      </c>
      <c r="AF593" s="56">
        <f t="shared" si="221"/>
        <v>13</v>
      </c>
      <c r="AG593" s="59">
        <f t="shared" si="222"/>
        <v>4.375</v>
      </c>
      <c r="AH593">
        <f t="shared" si="223"/>
        <v>0.33653846153846156</v>
      </c>
    </row>
    <row r="594" spans="1:34" ht="15" x14ac:dyDescent="0.2">
      <c r="A594">
        <v>338</v>
      </c>
      <c r="B594" s="57" t="s">
        <v>398</v>
      </c>
      <c r="C594" s="57"/>
      <c r="D594">
        <f t="shared" si="219"/>
        <v>35</v>
      </c>
      <c r="E594" s="1">
        <f t="shared" si="220"/>
        <v>6</v>
      </c>
      <c r="F594">
        <f t="shared" si="227"/>
        <v>5</v>
      </c>
      <c r="G594">
        <f t="shared" si="227"/>
        <v>0</v>
      </c>
      <c r="H594">
        <f t="shared" si="227"/>
        <v>0</v>
      </c>
      <c r="I594">
        <f t="shared" si="227"/>
        <v>2</v>
      </c>
      <c r="J594">
        <f t="shared" si="227"/>
        <v>5</v>
      </c>
      <c r="K594">
        <f t="shared" si="227"/>
        <v>0</v>
      </c>
      <c r="L594">
        <f t="shared" si="227"/>
        <v>1</v>
      </c>
      <c r="M594">
        <f t="shared" si="227"/>
        <v>0</v>
      </c>
      <c r="N594">
        <f t="shared" si="227"/>
        <v>1</v>
      </c>
      <c r="O594">
        <f t="shared" si="227"/>
        <v>0</v>
      </c>
      <c r="P594">
        <f t="shared" si="228"/>
        <v>1</v>
      </c>
      <c r="Q594">
        <f t="shared" si="228"/>
        <v>1</v>
      </c>
      <c r="R594">
        <f t="shared" si="228"/>
        <v>2</v>
      </c>
      <c r="S594">
        <f t="shared" si="228"/>
        <v>2</v>
      </c>
      <c r="T594">
        <f t="shared" si="228"/>
        <v>1</v>
      </c>
      <c r="U594">
        <f t="shared" si="228"/>
        <v>0</v>
      </c>
      <c r="V594">
        <f t="shared" si="228"/>
        <v>0</v>
      </c>
      <c r="W594">
        <f t="shared" si="228"/>
        <v>3</v>
      </c>
      <c r="X594">
        <f t="shared" si="228"/>
        <v>2</v>
      </c>
      <c r="Y594">
        <f t="shared" si="228"/>
        <v>1</v>
      </c>
      <c r="Z594">
        <f t="shared" si="229"/>
        <v>0</v>
      </c>
      <c r="AA594">
        <f t="shared" si="229"/>
        <v>0</v>
      </c>
      <c r="AB594">
        <f t="shared" si="229"/>
        <v>1</v>
      </c>
      <c r="AC594">
        <f t="shared" si="229"/>
        <v>0</v>
      </c>
      <c r="AD594">
        <f t="shared" si="229"/>
        <v>0</v>
      </c>
      <c r="AE594">
        <f t="shared" si="229"/>
        <v>0</v>
      </c>
      <c r="AF594" s="56">
        <f t="shared" si="221"/>
        <v>14</v>
      </c>
      <c r="AG594" s="59">
        <f t="shared" si="222"/>
        <v>5.833333333333333</v>
      </c>
      <c r="AH594">
        <f t="shared" si="223"/>
        <v>0.41666666666666663</v>
      </c>
    </row>
    <row r="595" spans="1:34" ht="15" x14ac:dyDescent="0.2">
      <c r="A595">
        <v>43</v>
      </c>
      <c r="B595" s="57" t="s">
        <v>108</v>
      </c>
      <c r="C595" s="57"/>
      <c r="D595">
        <f t="shared" si="219"/>
        <v>34</v>
      </c>
      <c r="E595" s="1">
        <f t="shared" si="220"/>
        <v>5</v>
      </c>
      <c r="F595">
        <f t="shared" si="227"/>
        <v>0</v>
      </c>
      <c r="G595">
        <f t="shared" si="227"/>
        <v>0</v>
      </c>
      <c r="H595">
        <f t="shared" si="227"/>
        <v>0</v>
      </c>
      <c r="I595">
        <f t="shared" si="227"/>
        <v>1</v>
      </c>
      <c r="J595">
        <f t="shared" si="227"/>
        <v>8</v>
      </c>
      <c r="K595">
        <f t="shared" si="227"/>
        <v>0</v>
      </c>
      <c r="L595">
        <f t="shared" si="227"/>
        <v>0</v>
      </c>
      <c r="M595">
        <f t="shared" si="227"/>
        <v>0</v>
      </c>
      <c r="N595">
        <f t="shared" si="227"/>
        <v>2</v>
      </c>
      <c r="O595">
        <f t="shared" si="227"/>
        <v>0</v>
      </c>
      <c r="P595">
        <f t="shared" si="228"/>
        <v>0</v>
      </c>
      <c r="Q595">
        <f t="shared" si="228"/>
        <v>1</v>
      </c>
      <c r="R595">
        <f t="shared" si="228"/>
        <v>1</v>
      </c>
      <c r="S595">
        <f t="shared" si="228"/>
        <v>2</v>
      </c>
      <c r="T595">
        <f t="shared" si="228"/>
        <v>4</v>
      </c>
      <c r="U595">
        <f t="shared" si="228"/>
        <v>0</v>
      </c>
      <c r="V595">
        <f t="shared" si="228"/>
        <v>0</v>
      </c>
      <c r="W595">
        <f t="shared" si="228"/>
        <v>2</v>
      </c>
      <c r="X595">
        <f t="shared" si="228"/>
        <v>4</v>
      </c>
      <c r="Y595">
        <f t="shared" si="228"/>
        <v>0</v>
      </c>
      <c r="Z595">
        <f t="shared" si="229"/>
        <v>0</v>
      </c>
      <c r="AA595">
        <f t="shared" si="229"/>
        <v>1</v>
      </c>
      <c r="AB595">
        <f t="shared" si="229"/>
        <v>1</v>
      </c>
      <c r="AC595">
        <f t="shared" si="229"/>
        <v>0</v>
      </c>
      <c r="AD595">
        <f t="shared" si="229"/>
        <v>1</v>
      </c>
      <c r="AE595">
        <f t="shared" si="229"/>
        <v>0</v>
      </c>
      <c r="AF595" s="56">
        <f t="shared" si="221"/>
        <v>12</v>
      </c>
      <c r="AG595" s="59">
        <f t="shared" si="222"/>
        <v>6.8</v>
      </c>
      <c r="AH595">
        <f t="shared" si="223"/>
        <v>0.56666666666666665</v>
      </c>
    </row>
    <row r="596" spans="1:34" ht="15" x14ac:dyDescent="0.2">
      <c r="A596">
        <v>106</v>
      </c>
      <c r="B596" s="57" t="s">
        <v>171</v>
      </c>
      <c r="C596" s="57"/>
      <c r="D596">
        <f t="shared" si="219"/>
        <v>33</v>
      </c>
      <c r="E596" s="1">
        <f t="shared" si="220"/>
        <v>6</v>
      </c>
      <c r="F596">
        <f t="shared" si="227"/>
        <v>1</v>
      </c>
      <c r="G596">
        <f t="shared" si="227"/>
        <v>0</v>
      </c>
      <c r="H596">
        <f t="shared" si="227"/>
        <v>0</v>
      </c>
      <c r="I596">
        <f t="shared" si="227"/>
        <v>0</v>
      </c>
      <c r="J596">
        <f t="shared" si="227"/>
        <v>5</v>
      </c>
      <c r="K596">
        <f t="shared" si="227"/>
        <v>1</v>
      </c>
      <c r="L596">
        <f t="shared" si="227"/>
        <v>0</v>
      </c>
      <c r="M596">
        <f t="shared" si="227"/>
        <v>1</v>
      </c>
      <c r="N596">
        <f t="shared" si="227"/>
        <v>2</v>
      </c>
      <c r="O596">
        <f t="shared" si="227"/>
        <v>0</v>
      </c>
      <c r="P596">
        <f t="shared" si="228"/>
        <v>0</v>
      </c>
      <c r="Q596">
        <f t="shared" si="228"/>
        <v>1</v>
      </c>
      <c r="R596">
        <f t="shared" si="228"/>
        <v>1</v>
      </c>
      <c r="S596">
        <f t="shared" si="228"/>
        <v>2</v>
      </c>
      <c r="T596">
        <f t="shared" si="228"/>
        <v>1</v>
      </c>
      <c r="U596">
        <f t="shared" si="228"/>
        <v>0</v>
      </c>
      <c r="V596">
        <f t="shared" si="228"/>
        <v>0</v>
      </c>
      <c r="W596">
        <f t="shared" si="228"/>
        <v>3</v>
      </c>
      <c r="X596">
        <f t="shared" si="228"/>
        <v>1</v>
      </c>
      <c r="Y596">
        <f t="shared" si="228"/>
        <v>4</v>
      </c>
      <c r="Z596">
        <f t="shared" si="229"/>
        <v>2</v>
      </c>
      <c r="AA596">
        <f t="shared" si="229"/>
        <v>1</v>
      </c>
      <c r="AB596">
        <f t="shared" si="229"/>
        <v>0</v>
      </c>
      <c r="AC596">
        <f t="shared" si="229"/>
        <v>0</v>
      </c>
      <c r="AD596">
        <f t="shared" si="229"/>
        <v>0</v>
      </c>
      <c r="AE596">
        <f t="shared" si="229"/>
        <v>0</v>
      </c>
      <c r="AF596" s="56">
        <f t="shared" si="221"/>
        <v>14</v>
      </c>
      <c r="AG596" s="59">
        <f t="shared" si="222"/>
        <v>5.5</v>
      </c>
      <c r="AH596">
        <f t="shared" si="223"/>
        <v>0.39285714285714285</v>
      </c>
    </row>
    <row r="597" spans="1:34" ht="15" x14ac:dyDescent="0.2">
      <c r="A597">
        <v>163</v>
      </c>
      <c r="B597" s="57" t="s">
        <v>227</v>
      </c>
      <c r="C597" s="57"/>
      <c r="D597">
        <f t="shared" si="219"/>
        <v>33</v>
      </c>
      <c r="E597" s="1">
        <f t="shared" si="220"/>
        <v>6</v>
      </c>
      <c r="F597">
        <f t="shared" si="227"/>
        <v>1</v>
      </c>
      <c r="G597">
        <f t="shared" si="227"/>
        <v>0</v>
      </c>
      <c r="H597">
        <f t="shared" si="227"/>
        <v>1</v>
      </c>
      <c r="I597">
        <f t="shared" si="227"/>
        <v>0</v>
      </c>
      <c r="J597">
        <f t="shared" si="227"/>
        <v>4</v>
      </c>
      <c r="K597">
        <f t="shared" si="227"/>
        <v>1</v>
      </c>
      <c r="L597">
        <f t="shared" si="227"/>
        <v>1</v>
      </c>
      <c r="M597">
        <f t="shared" si="227"/>
        <v>3</v>
      </c>
      <c r="N597">
        <f t="shared" si="227"/>
        <v>3</v>
      </c>
      <c r="O597">
        <f t="shared" si="227"/>
        <v>0</v>
      </c>
      <c r="P597">
        <f t="shared" si="228"/>
        <v>0</v>
      </c>
      <c r="Q597">
        <f t="shared" si="228"/>
        <v>0</v>
      </c>
      <c r="R597">
        <f t="shared" si="228"/>
        <v>0</v>
      </c>
      <c r="S597">
        <f t="shared" si="228"/>
        <v>2</v>
      </c>
      <c r="T597">
        <f t="shared" si="228"/>
        <v>1</v>
      </c>
      <c r="U597">
        <f t="shared" si="228"/>
        <v>1</v>
      </c>
      <c r="V597">
        <f t="shared" si="228"/>
        <v>0</v>
      </c>
      <c r="W597">
        <f t="shared" si="228"/>
        <v>3</v>
      </c>
      <c r="X597">
        <f t="shared" si="228"/>
        <v>1</v>
      </c>
      <c r="Y597">
        <f t="shared" si="228"/>
        <v>3</v>
      </c>
      <c r="Z597">
        <f t="shared" si="229"/>
        <v>0</v>
      </c>
      <c r="AA597">
        <f t="shared" si="229"/>
        <v>0</v>
      </c>
      <c r="AB597">
        <f t="shared" si="229"/>
        <v>1</v>
      </c>
      <c r="AC597">
        <f t="shared" si="229"/>
        <v>0</v>
      </c>
      <c r="AD597">
        <f t="shared" si="229"/>
        <v>1</v>
      </c>
      <c r="AE597">
        <f t="shared" si="229"/>
        <v>0</v>
      </c>
      <c r="AF597" s="56">
        <f t="shared" si="221"/>
        <v>15</v>
      </c>
      <c r="AG597" s="59">
        <f t="shared" si="222"/>
        <v>5.5</v>
      </c>
      <c r="AH597">
        <f t="shared" si="223"/>
        <v>0.36666666666666664</v>
      </c>
    </row>
    <row r="598" spans="1:34" ht="15" x14ac:dyDescent="0.2">
      <c r="A598">
        <v>152</v>
      </c>
      <c r="B598" s="57" t="s">
        <v>217</v>
      </c>
      <c r="C598" s="57"/>
      <c r="D598">
        <f t="shared" si="219"/>
        <v>32</v>
      </c>
      <c r="E598" s="1">
        <f t="shared" si="220"/>
        <v>6</v>
      </c>
      <c r="F598">
        <f t="shared" si="227"/>
        <v>2</v>
      </c>
      <c r="G598">
        <f t="shared" si="227"/>
        <v>0</v>
      </c>
      <c r="H598">
        <f t="shared" si="227"/>
        <v>2</v>
      </c>
      <c r="I598">
        <f t="shared" si="227"/>
        <v>1</v>
      </c>
      <c r="J598">
        <f t="shared" si="227"/>
        <v>3</v>
      </c>
      <c r="K598">
        <f t="shared" si="227"/>
        <v>0</v>
      </c>
      <c r="L598">
        <f t="shared" si="227"/>
        <v>1</v>
      </c>
      <c r="M598">
        <f t="shared" si="227"/>
        <v>2</v>
      </c>
      <c r="N598">
        <f t="shared" si="227"/>
        <v>4</v>
      </c>
      <c r="O598">
        <f t="shared" si="227"/>
        <v>0</v>
      </c>
      <c r="P598">
        <f t="shared" si="228"/>
        <v>1</v>
      </c>
      <c r="Q598">
        <f t="shared" si="228"/>
        <v>3</v>
      </c>
      <c r="R598">
        <f t="shared" si="228"/>
        <v>0</v>
      </c>
      <c r="S598">
        <f t="shared" si="228"/>
        <v>0</v>
      </c>
      <c r="T598">
        <f t="shared" si="228"/>
        <v>1</v>
      </c>
      <c r="U598">
        <f t="shared" si="228"/>
        <v>1</v>
      </c>
      <c r="V598">
        <f t="shared" si="228"/>
        <v>0</v>
      </c>
      <c r="W598">
        <f t="shared" si="228"/>
        <v>0</v>
      </c>
      <c r="X598">
        <f t="shared" si="228"/>
        <v>1</v>
      </c>
      <c r="Y598">
        <f t="shared" si="228"/>
        <v>1</v>
      </c>
      <c r="Z598">
        <f t="shared" si="229"/>
        <v>1</v>
      </c>
      <c r="AA598">
        <f t="shared" si="229"/>
        <v>1</v>
      </c>
      <c r="AB598">
        <f t="shared" si="229"/>
        <v>0</v>
      </c>
      <c r="AC598">
        <f t="shared" si="229"/>
        <v>0</v>
      </c>
      <c r="AD598">
        <f t="shared" si="229"/>
        <v>0</v>
      </c>
      <c r="AE598">
        <f t="shared" si="229"/>
        <v>0</v>
      </c>
      <c r="AF598" s="56">
        <f t="shared" si="221"/>
        <v>15</v>
      </c>
      <c r="AG598" s="59">
        <f t="shared" si="222"/>
        <v>5.333333333333333</v>
      </c>
      <c r="AH598">
        <f t="shared" si="223"/>
        <v>0.35555555555555551</v>
      </c>
    </row>
    <row r="599" spans="1:34" ht="15" x14ac:dyDescent="0.2">
      <c r="A599">
        <v>333</v>
      </c>
      <c r="B599" s="57" t="s">
        <v>393</v>
      </c>
      <c r="C599" s="57"/>
      <c r="D599">
        <f t="shared" si="219"/>
        <v>31</v>
      </c>
      <c r="E599" s="1">
        <f t="shared" si="220"/>
        <v>5</v>
      </c>
      <c r="F599">
        <f t="shared" si="227"/>
        <v>0</v>
      </c>
      <c r="G599">
        <f t="shared" si="227"/>
        <v>0</v>
      </c>
      <c r="H599">
        <f t="shared" si="227"/>
        <v>1</v>
      </c>
      <c r="I599">
        <f t="shared" si="227"/>
        <v>2</v>
      </c>
      <c r="J599">
        <f t="shared" si="227"/>
        <v>3</v>
      </c>
      <c r="K599">
        <f t="shared" si="227"/>
        <v>0</v>
      </c>
      <c r="L599">
        <f t="shared" si="227"/>
        <v>1</v>
      </c>
      <c r="M599">
        <f t="shared" si="227"/>
        <v>0</v>
      </c>
      <c r="N599">
        <f t="shared" si="227"/>
        <v>1</v>
      </c>
      <c r="O599">
        <f t="shared" si="227"/>
        <v>0</v>
      </c>
      <c r="P599">
        <f t="shared" si="228"/>
        <v>0</v>
      </c>
      <c r="Q599">
        <f t="shared" si="228"/>
        <v>0</v>
      </c>
      <c r="R599">
        <f t="shared" si="228"/>
        <v>0</v>
      </c>
      <c r="S599">
        <f t="shared" si="228"/>
        <v>0</v>
      </c>
      <c r="T599">
        <f t="shared" si="228"/>
        <v>4</v>
      </c>
      <c r="U599">
        <f t="shared" si="228"/>
        <v>2</v>
      </c>
      <c r="V599">
        <f t="shared" si="228"/>
        <v>0</v>
      </c>
      <c r="W599">
        <f t="shared" si="228"/>
        <v>4</v>
      </c>
      <c r="X599">
        <f t="shared" si="228"/>
        <v>3</v>
      </c>
      <c r="Y599">
        <f t="shared" si="228"/>
        <v>1</v>
      </c>
      <c r="Z599">
        <f t="shared" si="229"/>
        <v>0</v>
      </c>
      <c r="AA599">
        <f t="shared" si="229"/>
        <v>0</v>
      </c>
      <c r="AB599">
        <f t="shared" si="229"/>
        <v>1</v>
      </c>
      <c r="AC599">
        <f t="shared" si="229"/>
        <v>0</v>
      </c>
      <c r="AD599">
        <f t="shared" si="229"/>
        <v>1</v>
      </c>
      <c r="AE599">
        <f t="shared" si="229"/>
        <v>0</v>
      </c>
      <c r="AF599" s="56">
        <f t="shared" si="221"/>
        <v>12</v>
      </c>
      <c r="AG599" s="59">
        <f t="shared" si="222"/>
        <v>6.2</v>
      </c>
      <c r="AH599">
        <f t="shared" si="223"/>
        <v>0.51666666666666672</v>
      </c>
    </row>
    <row r="600" spans="1:34" ht="15" x14ac:dyDescent="0.2">
      <c r="A600">
        <v>340</v>
      </c>
      <c r="B600" s="57" t="s">
        <v>400</v>
      </c>
      <c r="C600" s="57"/>
      <c r="D600">
        <f t="shared" si="219"/>
        <v>31</v>
      </c>
      <c r="E600" s="1">
        <f t="shared" si="220"/>
        <v>6</v>
      </c>
      <c r="F600">
        <f t="shared" si="227"/>
        <v>2</v>
      </c>
      <c r="G600">
        <f t="shared" si="227"/>
        <v>0</v>
      </c>
      <c r="H600">
        <f t="shared" si="227"/>
        <v>0</v>
      </c>
      <c r="I600">
        <f t="shared" si="227"/>
        <v>0</v>
      </c>
      <c r="J600">
        <f t="shared" si="227"/>
        <v>1</v>
      </c>
      <c r="K600">
        <f t="shared" si="227"/>
        <v>0</v>
      </c>
      <c r="L600">
        <f t="shared" si="227"/>
        <v>0</v>
      </c>
      <c r="M600">
        <f t="shared" si="227"/>
        <v>2</v>
      </c>
      <c r="N600">
        <f t="shared" si="227"/>
        <v>3</v>
      </c>
      <c r="O600">
        <f t="shared" si="227"/>
        <v>0</v>
      </c>
      <c r="P600">
        <f t="shared" si="228"/>
        <v>0</v>
      </c>
      <c r="Q600">
        <f t="shared" si="228"/>
        <v>1</v>
      </c>
      <c r="R600">
        <f t="shared" si="228"/>
        <v>0</v>
      </c>
      <c r="S600">
        <f t="shared" si="228"/>
        <v>1</v>
      </c>
      <c r="T600">
        <f t="shared" si="228"/>
        <v>1</v>
      </c>
      <c r="U600">
        <f t="shared" si="228"/>
        <v>2</v>
      </c>
      <c r="V600">
        <f t="shared" si="228"/>
        <v>0</v>
      </c>
      <c r="W600">
        <f t="shared" si="228"/>
        <v>1</v>
      </c>
      <c r="X600">
        <f t="shared" si="228"/>
        <v>2</v>
      </c>
      <c r="Y600">
        <f t="shared" si="228"/>
        <v>5</v>
      </c>
      <c r="Z600">
        <f t="shared" si="229"/>
        <v>2</v>
      </c>
      <c r="AA600">
        <f t="shared" si="229"/>
        <v>0</v>
      </c>
      <c r="AB600">
        <f t="shared" si="229"/>
        <v>1</v>
      </c>
      <c r="AC600">
        <f t="shared" si="229"/>
        <v>0</v>
      </c>
      <c r="AD600">
        <f t="shared" si="229"/>
        <v>0</v>
      </c>
      <c r="AE600">
        <f t="shared" si="229"/>
        <v>0</v>
      </c>
      <c r="AF600" s="56">
        <f t="shared" si="221"/>
        <v>13</v>
      </c>
      <c r="AG600" s="59">
        <f t="shared" si="222"/>
        <v>5.166666666666667</v>
      </c>
      <c r="AH600">
        <f t="shared" si="223"/>
        <v>0.39743589743589747</v>
      </c>
    </row>
    <row r="601" spans="1:34" ht="15" x14ac:dyDescent="0.2">
      <c r="A601">
        <v>7</v>
      </c>
      <c r="B601" s="57" t="s">
        <v>72</v>
      </c>
      <c r="C601" s="57"/>
      <c r="D601">
        <f t="shared" si="219"/>
        <v>31</v>
      </c>
      <c r="E601" s="1">
        <f t="shared" si="220"/>
        <v>6</v>
      </c>
      <c r="F601">
        <f t="shared" si="227"/>
        <v>2</v>
      </c>
      <c r="G601">
        <f t="shared" si="227"/>
        <v>0</v>
      </c>
      <c r="H601">
        <f t="shared" si="227"/>
        <v>1</v>
      </c>
      <c r="I601">
        <f t="shared" si="227"/>
        <v>1</v>
      </c>
      <c r="J601">
        <f t="shared" si="227"/>
        <v>2</v>
      </c>
      <c r="K601">
        <f t="shared" si="227"/>
        <v>1</v>
      </c>
      <c r="L601">
        <f t="shared" si="227"/>
        <v>1</v>
      </c>
      <c r="M601">
        <f t="shared" si="227"/>
        <v>2</v>
      </c>
      <c r="N601">
        <f t="shared" si="227"/>
        <v>0</v>
      </c>
      <c r="O601">
        <f t="shared" si="227"/>
        <v>0</v>
      </c>
      <c r="P601">
        <f t="shared" si="228"/>
        <v>0</v>
      </c>
      <c r="Q601">
        <f t="shared" si="228"/>
        <v>1</v>
      </c>
      <c r="R601">
        <f t="shared" si="228"/>
        <v>1</v>
      </c>
      <c r="S601">
        <f t="shared" si="228"/>
        <v>1</v>
      </c>
      <c r="T601">
        <f t="shared" si="228"/>
        <v>5</v>
      </c>
      <c r="U601">
        <f t="shared" si="228"/>
        <v>0</v>
      </c>
      <c r="V601">
        <f t="shared" si="228"/>
        <v>0</v>
      </c>
      <c r="W601">
        <f t="shared" si="228"/>
        <v>1</v>
      </c>
      <c r="X601">
        <f t="shared" si="228"/>
        <v>2</v>
      </c>
      <c r="Y601">
        <f t="shared" si="228"/>
        <v>3</v>
      </c>
      <c r="Z601">
        <f t="shared" si="229"/>
        <v>1</v>
      </c>
      <c r="AA601">
        <f t="shared" si="229"/>
        <v>0</v>
      </c>
      <c r="AB601">
        <f t="shared" si="229"/>
        <v>0</v>
      </c>
      <c r="AC601">
        <f t="shared" si="229"/>
        <v>0</v>
      </c>
      <c r="AD601">
        <f t="shared" si="229"/>
        <v>0</v>
      </c>
      <c r="AE601">
        <f t="shared" si="229"/>
        <v>0</v>
      </c>
      <c r="AF601" s="56">
        <f t="shared" si="221"/>
        <v>15</v>
      </c>
      <c r="AG601" s="59">
        <f t="shared" si="222"/>
        <v>5.166666666666667</v>
      </c>
      <c r="AH601">
        <f t="shared" si="223"/>
        <v>0.34444444444444444</v>
      </c>
    </row>
    <row r="602" spans="1:34" ht="15" x14ac:dyDescent="0.2">
      <c r="A602">
        <v>52</v>
      </c>
      <c r="B602" s="57" t="s">
        <v>117</v>
      </c>
      <c r="C602" s="57"/>
      <c r="D602">
        <f t="shared" si="219"/>
        <v>31</v>
      </c>
      <c r="E602" s="1">
        <f t="shared" si="220"/>
        <v>7</v>
      </c>
      <c r="F602">
        <f t="shared" si="227"/>
        <v>2</v>
      </c>
      <c r="G602">
        <f t="shared" si="227"/>
        <v>1</v>
      </c>
      <c r="H602">
        <f t="shared" si="227"/>
        <v>1</v>
      </c>
      <c r="I602">
        <f t="shared" si="227"/>
        <v>0</v>
      </c>
      <c r="J602">
        <f t="shared" si="227"/>
        <v>3</v>
      </c>
      <c r="K602">
        <f t="shared" si="227"/>
        <v>1</v>
      </c>
      <c r="L602">
        <f t="shared" si="227"/>
        <v>0</v>
      </c>
      <c r="M602">
        <f t="shared" si="227"/>
        <v>0</v>
      </c>
      <c r="N602">
        <f t="shared" si="227"/>
        <v>1</v>
      </c>
      <c r="O602">
        <f t="shared" si="227"/>
        <v>0</v>
      </c>
      <c r="P602">
        <f t="shared" si="228"/>
        <v>1</v>
      </c>
      <c r="Q602">
        <f t="shared" si="228"/>
        <v>1</v>
      </c>
      <c r="R602">
        <f t="shared" si="228"/>
        <v>2</v>
      </c>
      <c r="S602">
        <f t="shared" si="228"/>
        <v>1</v>
      </c>
      <c r="T602">
        <f t="shared" si="228"/>
        <v>3</v>
      </c>
      <c r="U602">
        <f t="shared" si="228"/>
        <v>0</v>
      </c>
      <c r="V602">
        <f t="shared" si="228"/>
        <v>0</v>
      </c>
      <c r="W602">
        <f t="shared" si="228"/>
        <v>0</v>
      </c>
      <c r="X602">
        <f t="shared" si="228"/>
        <v>2</v>
      </c>
      <c r="Y602">
        <f t="shared" si="228"/>
        <v>1</v>
      </c>
      <c r="Z602">
        <f t="shared" si="229"/>
        <v>1</v>
      </c>
      <c r="AA602">
        <f t="shared" si="229"/>
        <v>1</v>
      </c>
      <c r="AB602">
        <f t="shared" si="229"/>
        <v>1</v>
      </c>
      <c r="AC602">
        <f t="shared" si="229"/>
        <v>0</v>
      </c>
      <c r="AD602">
        <f t="shared" si="229"/>
        <v>1</v>
      </c>
      <c r="AE602">
        <f t="shared" si="229"/>
        <v>0</v>
      </c>
      <c r="AF602" s="56">
        <f t="shared" si="221"/>
        <v>17</v>
      </c>
      <c r="AG602" s="59">
        <f t="shared" si="222"/>
        <v>4.4285714285714288</v>
      </c>
      <c r="AH602">
        <f t="shared" si="223"/>
        <v>0.26050420168067229</v>
      </c>
    </row>
    <row r="603" spans="1:34" ht="15" x14ac:dyDescent="0.2">
      <c r="A603">
        <v>364</v>
      </c>
      <c r="B603" s="57" t="s">
        <v>422</v>
      </c>
      <c r="C603" s="57"/>
      <c r="D603">
        <f t="shared" si="219"/>
        <v>30</v>
      </c>
      <c r="E603" s="1">
        <f t="shared" si="220"/>
        <v>5</v>
      </c>
      <c r="F603">
        <f t="shared" si="227"/>
        <v>1</v>
      </c>
      <c r="G603">
        <f t="shared" si="227"/>
        <v>0</v>
      </c>
      <c r="H603">
        <f t="shared" si="227"/>
        <v>2</v>
      </c>
      <c r="I603">
        <f t="shared" si="227"/>
        <v>3</v>
      </c>
      <c r="J603">
        <f t="shared" si="227"/>
        <v>5</v>
      </c>
      <c r="K603">
        <f t="shared" si="227"/>
        <v>0</v>
      </c>
      <c r="L603">
        <f t="shared" si="227"/>
        <v>2</v>
      </c>
      <c r="M603">
        <f t="shared" si="227"/>
        <v>0</v>
      </c>
      <c r="N603">
        <f t="shared" si="227"/>
        <v>0</v>
      </c>
      <c r="O603">
        <f t="shared" si="227"/>
        <v>0</v>
      </c>
      <c r="P603">
        <f t="shared" si="228"/>
        <v>0</v>
      </c>
      <c r="Q603">
        <f t="shared" si="228"/>
        <v>0</v>
      </c>
      <c r="R603">
        <f t="shared" si="228"/>
        <v>0</v>
      </c>
      <c r="S603">
        <f t="shared" si="228"/>
        <v>0</v>
      </c>
      <c r="T603">
        <f t="shared" si="228"/>
        <v>4</v>
      </c>
      <c r="U603">
        <f t="shared" si="228"/>
        <v>0</v>
      </c>
      <c r="V603">
        <f t="shared" si="228"/>
        <v>0</v>
      </c>
      <c r="W603">
        <f t="shared" si="228"/>
        <v>3</v>
      </c>
      <c r="X603">
        <f t="shared" si="228"/>
        <v>2</v>
      </c>
      <c r="Y603">
        <f t="shared" si="228"/>
        <v>1</v>
      </c>
      <c r="Z603">
        <f t="shared" si="229"/>
        <v>1</v>
      </c>
      <c r="AA603">
        <f t="shared" si="229"/>
        <v>0</v>
      </c>
      <c r="AB603">
        <f t="shared" si="229"/>
        <v>0</v>
      </c>
      <c r="AC603">
        <f t="shared" si="229"/>
        <v>0</v>
      </c>
      <c r="AD603">
        <f t="shared" si="229"/>
        <v>0</v>
      </c>
      <c r="AE603">
        <f t="shared" si="229"/>
        <v>0</v>
      </c>
      <c r="AF603" s="56">
        <f t="shared" si="221"/>
        <v>10</v>
      </c>
      <c r="AG603" s="59">
        <f t="shared" si="222"/>
        <v>6</v>
      </c>
      <c r="AH603">
        <f t="shared" si="223"/>
        <v>0.6</v>
      </c>
    </row>
    <row r="604" spans="1:34" ht="15" x14ac:dyDescent="0.2">
      <c r="A604">
        <v>49</v>
      </c>
      <c r="B604" s="57" t="s">
        <v>114</v>
      </c>
      <c r="C604" s="57"/>
      <c r="D604">
        <f t="shared" si="219"/>
        <v>30</v>
      </c>
      <c r="E604" s="1">
        <f t="shared" si="220"/>
        <v>5</v>
      </c>
      <c r="F604">
        <f t="shared" si="227"/>
        <v>3</v>
      </c>
      <c r="G604">
        <f t="shared" si="227"/>
        <v>0</v>
      </c>
      <c r="H604">
        <f t="shared" si="227"/>
        <v>0</v>
      </c>
      <c r="I604">
        <f t="shared" si="227"/>
        <v>0</v>
      </c>
      <c r="J604">
        <f t="shared" si="227"/>
        <v>3</v>
      </c>
      <c r="K604">
        <f t="shared" si="227"/>
        <v>1</v>
      </c>
      <c r="L604">
        <f t="shared" si="227"/>
        <v>2</v>
      </c>
      <c r="M604">
        <f t="shared" si="227"/>
        <v>3</v>
      </c>
      <c r="N604">
        <f t="shared" si="227"/>
        <v>0</v>
      </c>
      <c r="O604">
        <f t="shared" si="227"/>
        <v>0</v>
      </c>
      <c r="P604">
        <f t="shared" si="228"/>
        <v>0</v>
      </c>
      <c r="Q604">
        <f t="shared" si="228"/>
        <v>0</v>
      </c>
      <c r="R604">
        <f t="shared" si="228"/>
        <v>0</v>
      </c>
      <c r="S604">
        <f t="shared" si="228"/>
        <v>1</v>
      </c>
      <c r="T604">
        <f t="shared" si="228"/>
        <v>2</v>
      </c>
      <c r="U604">
        <f t="shared" si="228"/>
        <v>1</v>
      </c>
      <c r="V604">
        <f t="shared" si="228"/>
        <v>0</v>
      </c>
      <c r="W604">
        <f t="shared" si="228"/>
        <v>3</v>
      </c>
      <c r="X604">
        <f t="shared" si="228"/>
        <v>1</v>
      </c>
      <c r="Y604">
        <f t="shared" si="228"/>
        <v>2</v>
      </c>
      <c r="Z604">
        <f t="shared" si="229"/>
        <v>0</v>
      </c>
      <c r="AA604">
        <f t="shared" si="229"/>
        <v>1</v>
      </c>
      <c r="AB604">
        <f t="shared" si="229"/>
        <v>1</v>
      </c>
      <c r="AC604">
        <f t="shared" si="229"/>
        <v>0</v>
      </c>
      <c r="AD604">
        <f t="shared" si="229"/>
        <v>0</v>
      </c>
      <c r="AE604">
        <f t="shared" si="229"/>
        <v>0</v>
      </c>
      <c r="AF604" s="56">
        <f t="shared" si="221"/>
        <v>13</v>
      </c>
      <c r="AG604" s="59">
        <f t="shared" si="222"/>
        <v>6</v>
      </c>
      <c r="AH604">
        <f t="shared" si="223"/>
        <v>0.46153846153846156</v>
      </c>
    </row>
    <row r="605" spans="1:34" ht="15" x14ac:dyDescent="0.2">
      <c r="A605">
        <v>330</v>
      </c>
      <c r="B605" s="57" t="s">
        <v>390</v>
      </c>
      <c r="C605" s="57"/>
      <c r="D605">
        <f t="shared" si="219"/>
        <v>27</v>
      </c>
      <c r="E605" s="1">
        <f t="shared" si="220"/>
        <v>5</v>
      </c>
      <c r="F605">
        <f t="shared" si="227"/>
        <v>0</v>
      </c>
      <c r="G605">
        <f t="shared" si="227"/>
        <v>0</v>
      </c>
      <c r="H605">
        <f t="shared" si="227"/>
        <v>0</v>
      </c>
      <c r="I605">
        <f t="shared" si="227"/>
        <v>1</v>
      </c>
      <c r="J605">
        <f t="shared" si="227"/>
        <v>1</v>
      </c>
      <c r="K605">
        <f t="shared" si="227"/>
        <v>0</v>
      </c>
      <c r="L605">
        <f t="shared" si="227"/>
        <v>0</v>
      </c>
      <c r="M605">
        <f t="shared" si="227"/>
        <v>1</v>
      </c>
      <c r="N605">
        <f t="shared" si="227"/>
        <v>0</v>
      </c>
      <c r="O605">
        <f t="shared" si="227"/>
        <v>0</v>
      </c>
      <c r="P605">
        <f t="shared" si="228"/>
        <v>1</v>
      </c>
      <c r="Q605">
        <f t="shared" si="228"/>
        <v>2</v>
      </c>
      <c r="R605">
        <f t="shared" si="228"/>
        <v>0</v>
      </c>
      <c r="S605">
        <f t="shared" si="228"/>
        <v>4</v>
      </c>
      <c r="T605">
        <f t="shared" si="228"/>
        <v>3</v>
      </c>
      <c r="U605">
        <f t="shared" si="228"/>
        <v>0</v>
      </c>
      <c r="V605">
        <f t="shared" si="228"/>
        <v>0</v>
      </c>
      <c r="W605">
        <f t="shared" si="228"/>
        <v>0</v>
      </c>
      <c r="X605">
        <f t="shared" si="228"/>
        <v>1</v>
      </c>
      <c r="Y605">
        <f t="shared" si="228"/>
        <v>2</v>
      </c>
      <c r="Z605">
        <f t="shared" si="229"/>
        <v>1</v>
      </c>
      <c r="AA605">
        <f t="shared" si="229"/>
        <v>0</v>
      </c>
      <c r="AB605">
        <f t="shared" si="229"/>
        <v>2</v>
      </c>
      <c r="AC605">
        <f t="shared" si="229"/>
        <v>0</v>
      </c>
      <c r="AD605">
        <f t="shared" si="229"/>
        <v>0</v>
      </c>
      <c r="AE605">
        <f t="shared" si="229"/>
        <v>0</v>
      </c>
      <c r="AF605" s="56">
        <f t="shared" si="221"/>
        <v>11</v>
      </c>
      <c r="AG605" s="59">
        <f t="shared" si="222"/>
        <v>5.4</v>
      </c>
      <c r="AH605">
        <f t="shared" si="223"/>
        <v>0.49090909090909096</v>
      </c>
    </row>
    <row r="606" spans="1:34" ht="15" x14ac:dyDescent="0.2">
      <c r="A606">
        <v>219</v>
      </c>
      <c r="B606" s="57" t="s">
        <v>644</v>
      </c>
      <c r="C606" s="57"/>
      <c r="D606">
        <f t="shared" si="219"/>
        <v>24</v>
      </c>
      <c r="E606" s="1">
        <f t="shared" si="220"/>
        <v>3</v>
      </c>
      <c r="F606">
        <f t="shared" si="227"/>
        <v>2</v>
      </c>
      <c r="G606">
        <f t="shared" si="227"/>
        <v>0</v>
      </c>
      <c r="H606">
        <f t="shared" si="227"/>
        <v>3</v>
      </c>
      <c r="I606">
        <f t="shared" si="227"/>
        <v>0</v>
      </c>
      <c r="J606">
        <f t="shared" si="227"/>
        <v>4</v>
      </c>
      <c r="K606">
        <f t="shared" si="227"/>
        <v>1</v>
      </c>
      <c r="L606">
        <f t="shared" si="227"/>
        <v>0</v>
      </c>
      <c r="M606">
        <f t="shared" si="227"/>
        <v>0</v>
      </c>
      <c r="N606">
        <f t="shared" si="227"/>
        <v>1</v>
      </c>
      <c r="O606">
        <f t="shared" si="227"/>
        <v>0</v>
      </c>
      <c r="P606">
        <f t="shared" si="228"/>
        <v>1</v>
      </c>
      <c r="Q606">
        <f t="shared" si="228"/>
        <v>0</v>
      </c>
      <c r="R606">
        <f t="shared" si="228"/>
        <v>1</v>
      </c>
      <c r="S606">
        <f t="shared" si="228"/>
        <v>0</v>
      </c>
      <c r="T606">
        <f t="shared" si="228"/>
        <v>0</v>
      </c>
      <c r="U606">
        <f t="shared" si="228"/>
        <v>2</v>
      </c>
      <c r="V606">
        <f t="shared" si="228"/>
        <v>0</v>
      </c>
      <c r="W606">
        <f t="shared" si="228"/>
        <v>2</v>
      </c>
      <c r="X606">
        <f t="shared" si="228"/>
        <v>1</v>
      </c>
      <c r="Y606">
        <f t="shared" si="228"/>
        <v>3</v>
      </c>
      <c r="Z606">
        <f t="shared" si="229"/>
        <v>0</v>
      </c>
      <c r="AA606">
        <f t="shared" si="229"/>
        <v>0</v>
      </c>
      <c r="AB606">
        <f t="shared" si="229"/>
        <v>0</v>
      </c>
      <c r="AC606">
        <f t="shared" si="229"/>
        <v>0</v>
      </c>
      <c r="AD606">
        <f t="shared" si="229"/>
        <v>0</v>
      </c>
      <c r="AE606">
        <f t="shared" si="229"/>
        <v>0</v>
      </c>
      <c r="AF606" s="56">
        <f t="shared" si="221"/>
        <v>11</v>
      </c>
      <c r="AG606" s="59">
        <f t="shared" si="222"/>
        <v>8</v>
      </c>
      <c r="AH606">
        <f t="shared" si="223"/>
        <v>0.72727272727272729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M41"/>
  <sheetViews>
    <sheetView workbookViewId="0">
      <selection activeCell="F4" sqref="F4:AC4"/>
    </sheetView>
  </sheetViews>
  <sheetFormatPr defaultColWidth="3.7109375" defaultRowHeight="12.75" x14ac:dyDescent="0.2"/>
  <cols>
    <col min="1" max="3" width="4.42578125" style="19" customWidth="1"/>
    <col min="4" max="5" width="6.42578125" style="1" customWidth="1"/>
    <col min="6" max="29" width="2.85546875" style="1" customWidth="1"/>
    <col min="30" max="34" width="3.7109375" style="1"/>
    <col min="40" max="16384" width="3.7109375" style="1"/>
  </cols>
  <sheetData>
    <row r="1" spans="1:34" s="28" customFormat="1" x14ac:dyDescent="0.2">
      <c r="A1" s="29"/>
      <c r="B1" s="29"/>
      <c r="C1" s="29"/>
      <c r="F1" s="29"/>
      <c r="G1" s="29"/>
      <c r="H1" s="29"/>
      <c r="I1" s="29"/>
      <c r="J1" s="29"/>
      <c r="K1" s="29"/>
      <c r="L1" s="29"/>
      <c r="M1" s="29"/>
      <c r="N1" s="29"/>
      <c r="O1" s="29"/>
      <c r="P1" s="29"/>
      <c r="Q1" s="29"/>
      <c r="R1" s="29"/>
      <c r="S1" s="29"/>
      <c r="T1" s="29"/>
      <c r="U1" s="29"/>
      <c r="V1" s="29"/>
      <c r="W1" s="29"/>
      <c r="X1" s="29"/>
      <c r="Y1" s="29"/>
      <c r="Z1" s="29"/>
      <c r="AA1" s="29"/>
      <c r="AB1" s="29"/>
    </row>
    <row r="2" spans="1:34" x14ac:dyDescent="0.2">
      <c r="A2" s="19" t="s">
        <v>1</v>
      </c>
      <c r="B2" s="19" t="s">
        <v>1</v>
      </c>
    </row>
    <row r="3" spans="1:34" ht="12.75" customHeight="1" x14ac:dyDescent="0.2">
      <c r="A3" s="24" t="s">
        <v>7</v>
      </c>
      <c r="B3" s="22" t="s">
        <v>26</v>
      </c>
      <c r="C3" s="24">
        <f t="shared" ref="C3:C28" si="0">COUNTIF($F$4:$AC$9,A3)</f>
        <v>1</v>
      </c>
      <c r="D3" s="26" t="s">
        <v>34</v>
      </c>
      <c r="E3" s="26"/>
      <c r="G3" s="19"/>
      <c r="H3" s="19"/>
      <c r="I3" s="19"/>
      <c r="J3" s="19"/>
      <c r="K3" s="19"/>
      <c r="L3" s="19"/>
      <c r="M3" s="19"/>
      <c r="N3" s="19"/>
      <c r="O3" s="19"/>
      <c r="P3" s="19"/>
      <c r="Q3" s="19"/>
      <c r="R3" s="19"/>
      <c r="S3" s="19"/>
      <c r="T3" s="19"/>
      <c r="U3" s="19"/>
      <c r="V3" s="19"/>
      <c r="W3" s="19"/>
      <c r="X3" s="19"/>
      <c r="Y3" s="19"/>
      <c r="Z3" s="19"/>
      <c r="AA3" s="19"/>
      <c r="AB3" s="19"/>
    </row>
    <row r="4" spans="1:34" ht="13.5" customHeight="1" x14ac:dyDescent="0.2">
      <c r="A4" s="24" t="s">
        <v>5</v>
      </c>
      <c r="B4" s="22" t="s">
        <v>3</v>
      </c>
      <c r="C4" s="24">
        <f t="shared" si="0"/>
        <v>0</v>
      </c>
      <c r="F4" s="27" t="s">
        <v>28</v>
      </c>
      <c r="G4" s="27" t="s">
        <v>19</v>
      </c>
      <c r="H4" s="39" t="s">
        <v>36</v>
      </c>
      <c r="I4" s="27" t="s">
        <v>26</v>
      </c>
      <c r="J4" s="27" t="s">
        <v>1</v>
      </c>
      <c r="K4" s="27" t="s">
        <v>8</v>
      </c>
      <c r="L4" s="27" t="s">
        <v>22</v>
      </c>
      <c r="M4" s="27" t="s">
        <v>26</v>
      </c>
      <c r="N4" s="27" t="s">
        <v>19</v>
      </c>
      <c r="O4" s="27" t="s">
        <v>1</v>
      </c>
      <c r="P4" s="27" t="s">
        <v>27</v>
      </c>
      <c r="Q4" s="27" t="s">
        <v>1</v>
      </c>
      <c r="R4" s="27" t="s">
        <v>8</v>
      </c>
      <c r="S4" s="27" t="s">
        <v>24</v>
      </c>
      <c r="T4" s="27" t="s">
        <v>13</v>
      </c>
      <c r="U4" s="27" t="s">
        <v>2</v>
      </c>
      <c r="V4" s="27" t="s">
        <v>1</v>
      </c>
      <c r="W4" s="27" t="s">
        <v>6</v>
      </c>
      <c r="X4" s="27" t="s">
        <v>12</v>
      </c>
      <c r="Y4" s="27" t="s">
        <v>27</v>
      </c>
      <c r="Z4" s="27" t="s">
        <v>26</v>
      </c>
      <c r="AA4" s="27" t="s">
        <v>26</v>
      </c>
      <c r="AB4" s="27" t="s">
        <v>1</v>
      </c>
      <c r="AC4" s="27" t="s">
        <v>1</v>
      </c>
      <c r="AD4" s="21"/>
      <c r="AE4" s="21"/>
      <c r="AF4" s="21"/>
      <c r="AH4" s="1" t="s">
        <v>1</v>
      </c>
    </row>
    <row r="5" spans="1:34" ht="13.5" customHeight="1" x14ac:dyDescent="0.2">
      <c r="A5" s="24" t="s">
        <v>18</v>
      </c>
      <c r="B5" s="22" t="s">
        <v>4</v>
      </c>
      <c r="C5" s="24">
        <f t="shared" si="0"/>
        <v>5</v>
      </c>
      <c r="F5" s="27" t="s">
        <v>6</v>
      </c>
      <c r="G5" s="27" t="s">
        <v>12</v>
      </c>
      <c r="H5" s="27" t="s">
        <v>24</v>
      </c>
      <c r="I5" s="27" t="s">
        <v>21</v>
      </c>
      <c r="J5" s="27" t="s">
        <v>26</v>
      </c>
      <c r="K5" s="27" t="s">
        <v>0</v>
      </c>
      <c r="L5" s="27" t="s">
        <v>1</v>
      </c>
      <c r="M5" s="27" t="s">
        <v>13</v>
      </c>
      <c r="N5" s="27" t="s">
        <v>28</v>
      </c>
      <c r="O5" s="27" t="s">
        <v>12</v>
      </c>
      <c r="P5" s="27" t="s">
        <v>14</v>
      </c>
      <c r="Q5" s="27" t="s">
        <v>26</v>
      </c>
      <c r="R5" s="27" t="s">
        <v>1</v>
      </c>
      <c r="S5" s="27" t="s">
        <v>10</v>
      </c>
      <c r="T5" s="27" t="s">
        <v>23</v>
      </c>
      <c r="U5" s="27" t="s">
        <v>4</v>
      </c>
      <c r="V5" s="27" t="s">
        <v>0</v>
      </c>
      <c r="W5" s="27" t="s">
        <v>1</v>
      </c>
      <c r="X5" s="27" t="s">
        <v>21</v>
      </c>
      <c r="Y5" s="27" t="s">
        <v>27</v>
      </c>
      <c r="Z5" s="27" t="s">
        <v>7</v>
      </c>
      <c r="AA5" s="27" t="s">
        <v>18</v>
      </c>
      <c r="AB5" s="27" t="s">
        <v>26</v>
      </c>
      <c r="AC5" s="27" t="s">
        <v>1</v>
      </c>
      <c r="AD5" s="19" t="s">
        <v>1</v>
      </c>
      <c r="AE5" s="19"/>
      <c r="AF5" s="19"/>
    </row>
    <row r="6" spans="1:34" ht="13.5" customHeight="1" x14ac:dyDescent="0.2">
      <c r="A6" s="24" t="s">
        <v>8</v>
      </c>
      <c r="B6" s="22" t="s">
        <v>21</v>
      </c>
      <c r="C6" s="24">
        <f t="shared" si="0"/>
        <v>2</v>
      </c>
      <c r="F6" s="27" t="s">
        <v>11</v>
      </c>
      <c r="G6" s="27" t="s">
        <v>24</v>
      </c>
      <c r="H6" s="27" t="s">
        <v>22</v>
      </c>
      <c r="I6" s="27" t="s">
        <v>17</v>
      </c>
      <c r="J6" s="27" t="s">
        <v>14</v>
      </c>
      <c r="K6" s="27" t="s">
        <v>1</v>
      </c>
      <c r="L6" s="27" t="s">
        <v>19</v>
      </c>
      <c r="M6" s="27" t="s">
        <v>29</v>
      </c>
      <c r="N6" s="27" t="s">
        <v>18</v>
      </c>
      <c r="O6" s="27" t="s">
        <v>1</v>
      </c>
      <c r="P6" s="27" t="s">
        <v>26</v>
      </c>
      <c r="Q6" s="27" t="s">
        <v>27</v>
      </c>
      <c r="R6" s="27" t="s">
        <v>17</v>
      </c>
      <c r="S6" s="27" t="s">
        <v>14</v>
      </c>
      <c r="T6" s="27" t="s">
        <v>2</v>
      </c>
      <c r="U6" s="27" t="s">
        <v>1</v>
      </c>
      <c r="V6" s="27" t="s">
        <v>28</v>
      </c>
      <c r="W6" s="27" t="s">
        <v>1</v>
      </c>
      <c r="X6" s="27" t="s">
        <v>13</v>
      </c>
      <c r="Y6" s="27" t="s">
        <v>18</v>
      </c>
      <c r="Z6" s="27" t="s">
        <v>27</v>
      </c>
      <c r="AA6" s="27" t="s">
        <v>19</v>
      </c>
      <c r="AB6" s="27" t="s">
        <v>1</v>
      </c>
      <c r="AC6" s="27" t="s">
        <v>1</v>
      </c>
      <c r="AD6" s="19"/>
      <c r="AE6" s="19"/>
      <c r="AF6" s="19"/>
    </row>
    <row r="7" spans="1:34" ht="13.5" customHeight="1" x14ac:dyDescent="0.2">
      <c r="A7" s="24" t="s">
        <v>4</v>
      </c>
      <c r="B7" s="22" t="s">
        <v>11</v>
      </c>
      <c r="C7" s="24">
        <f t="shared" si="0"/>
        <v>1</v>
      </c>
      <c r="F7" s="27" t="s">
        <v>11</v>
      </c>
      <c r="G7" s="27" t="s">
        <v>18</v>
      </c>
      <c r="H7" s="27" t="s">
        <v>24</v>
      </c>
      <c r="I7" s="27" t="s">
        <v>11</v>
      </c>
      <c r="J7" s="27" t="s">
        <v>23</v>
      </c>
      <c r="K7" s="27" t="s">
        <v>18</v>
      </c>
      <c r="L7" s="27" t="s">
        <v>1</v>
      </c>
      <c r="M7" s="27" t="s">
        <v>22</v>
      </c>
      <c r="N7" s="27" t="s">
        <v>11</v>
      </c>
      <c r="O7" s="27" t="s">
        <v>2</v>
      </c>
      <c r="P7" s="27" t="s">
        <v>1</v>
      </c>
      <c r="Q7" s="27" t="s">
        <v>1</v>
      </c>
      <c r="R7" s="27" t="s">
        <v>1</v>
      </c>
      <c r="S7" s="27" t="s">
        <v>1</v>
      </c>
      <c r="T7" s="27" t="s">
        <v>1</v>
      </c>
      <c r="U7" s="27" t="s">
        <v>1</v>
      </c>
      <c r="V7" s="27" t="s">
        <v>1</v>
      </c>
      <c r="W7" s="27" t="s">
        <v>1</v>
      </c>
      <c r="X7" s="27" t="s">
        <v>1</v>
      </c>
      <c r="Y7" s="27" t="s">
        <v>1</v>
      </c>
      <c r="Z7" s="27" t="s">
        <v>1</v>
      </c>
      <c r="AA7" s="27" t="s">
        <v>1</v>
      </c>
      <c r="AB7" s="27" t="s">
        <v>1</v>
      </c>
      <c r="AC7" s="27" t="s">
        <v>1</v>
      </c>
      <c r="AD7" s="21"/>
      <c r="AE7" s="25"/>
      <c r="AF7" s="25"/>
    </row>
    <row r="8" spans="1:34" ht="13.5" customHeight="1" x14ac:dyDescent="0.2">
      <c r="A8" s="24" t="s">
        <v>13</v>
      </c>
      <c r="B8" s="22" t="s">
        <v>5</v>
      </c>
      <c r="C8" s="24">
        <f t="shared" si="0"/>
        <v>3</v>
      </c>
      <c r="F8" s="27" t="s">
        <v>1</v>
      </c>
      <c r="G8" s="27" t="s">
        <v>1</v>
      </c>
      <c r="H8" s="27" t="s">
        <v>1</v>
      </c>
      <c r="I8" s="27" t="s">
        <v>9</v>
      </c>
      <c r="J8" s="27" t="s">
        <v>22</v>
      </c>
      <c r="K8" s="27" t="s">
        <v>29</v>
      </c>
      <c r="L8" s="27" t="s">
        <v>27</v>
      </c>
      <c r="M8" s="27" t="s">
        <v>9</v>
      </c>
      <c r="N8" s="27" t="s">
        <v>9</v>
      </c>
      <c r="O8" s="27" t="s">
        <v>27</v>
      </c>
      <c r="P8" s="27" t="s">
        <v>14</v>
      </c>
      <c r="Q8" s="27" t="s">
        <v>1</v>
      </c>
      <c r="R8" s="27" t="s">
        <v>27</v>
      </c>
      <c r="S8" s="27" t="s">
        <v>23</v>
      </c>
      <c r="T8" s="27" t="s">
        <v>28</v>
      </c>
      <c r="U8" s="27" t="s">
        <v>1</v>
      </c>
      <c r="V8" s="27" t="s">
        <v>1</v>
      </c>
      <c r="W8" s="27" t="s">
        <v>1</v>
      </c>
      <c r="X8" s="27" t="s">
        <v>1</v>
      </c>
      <c r="Y8" s="27" t="s">
        <v>1</v>
      </c>
      <c r="Z8" s="27" t="s">
        <v>1</v>
      </c>
      <c r="AA8" s="27" t="s">
        <v>1</v>
      </c>
      <c r="AB8" s="27" t="s">
        <v>1</v>
      </c>
      <c r="AC8" s="27" t="s">
        <v>1</v>
      </c>
      <c r="AD8" s="19"/>
      <c r="AE8" s="25"/>
      <c r="AF8" s="25"/>
    </row>
    <row r="9" spans="1:34" ht="13.5" customHeight="1" x14ac:dyDescent="0.2">
      <c r="A9" s="24" t="s">
        <v>19</v>
      </c>
      <c r="B9" s="22" t="s">
        <v>15</v>
      </c>
      <c r="C9" s="24">
        <f t="shared" si="0"/>
        <v>4</v>
      </c>
      <c r="F9" s="27" t="s">
        <v>1</v>
      </c>
      <c r="G9" s="27" t="s">
        <v>1</v>
      </c>
      <c r="H9" s="27" t="s">
        <v>1</v>
      </c>
      <c r="I9" s="27" t="s">
        <v>1</v>
      </c>
      <c r="J9" s="27" t="s">
        <v>1</v>
      </c>
      <c r="K9" s="27" t="s">
        <v>1</v>
      </c>
      <c r="L9" s="27" t="s">
        <v>1</v>
      </c>
      <c r="M9" s="27" t="s">
        <v>1</v>
      </c>
      <c r="N9" s="27" t="s">
        <v>1</v>
      </c>
      <c r="O9" s="27" t="s">
        <v>1</v>
      </c>
      <c r="P9" s="27" t="s">
        <v>1</v>
      </c>
      <c r="Q9" s="27" t="s">
        <v>1</v>
      </c>
      <c r="R9" s="27" t="s">
        <v>1</v>
      </c>
      <c r="S9" s="27" t="s">
        <v>1</v>
      </c>
      <c r="T9" s="27" t="s">
        <v>1</v>
      </c>
      <c r="U9" s="27" t="s">
        <v>1</v>
      </c>
      <c r="V9" s="27" t="s">
        <v>1</v>
      </c>
      <c r="W9" s="27" t="s">
        <v>1</v>
      </c>
      <c r="X9" s="27" t="s">
        <v>1</v>
      </c>
      <c r="Y9" s="27" t="s">
        <v>1</v>
      </c>
      <c r="Z9" s="27" t="s">
        <v>1</v>
      </c>
      <c r="AA9" s="27" t="s">
        <v>1</v>
      </c>
      <c r="AB9" s="27" t="s">
        <v>1</v>
      </c>
      <c r="AC9" s="27" t="s">
        <v>1</v>
      </c>
      <c r="AE9" s="25"/>
      <c r="AF9" s="25"/>
    </row>
    <row r="10" spans="1:34" ht="13.5" customHeight="1" x14ac:dyDescent="0.2">
      <c r="A10" s="24" t="s">
        <v>20</v>
      </c>
      <c r="B10" s="22" t="s">
        <v>3</v>
      </c>
      <c r="C10" s="24">
        <f t="shared" si="0"/>
        <v>0</v>
      </c>
      <c r="F10" s="20"/>
      <c r="G10" s="19"/>
      <c r="H10" s="19"/>
      <c r="I10" s="19"/>
      <c r="J10" s="19"/>
      <c r="K10" s="19"/>
      <c r="L10" s="19"/>
      <c r="M10" s="19"/>
      <c r="N10" s="19"/>
      <c r="O10" s="19"/>
      <c r="P10" s="19"/>
      <c r="Q10" s="19"/>
      <c r="R10" s="19"/>
      <c r="S10" s="19"/>
      <c r="T10" s="19"/>
      <c r="U10" s="19"/>
      <c r="V10" s="19"/>
      <c r="W10" s="19"/>
      <c r="X10" s="19"/>
      <c r="Y10" s="19"/>
      <c r="Z10" s="19"/>
      <c r="AA10" s="19"/>
      <c r="AB10" s="19"/>
      <c r="AD10" s="21"/>
      <c r="AE10" s="25"/>
      <c r="AF10" s="25"/>
    </row>
    <row r="11" spans="1:34" ht="13.5" customHeight="1" thickBot="1" x14ac:dyDescent="0.25">
      <c r="A11" s="24" t="s">
        <v>16</v>
      </c>
      <c r="B11" s="22" t="s">
        <v>3</v>
      </c>
      <c r="C11" s="24">
        <f t="shared" si="0"/>
        <v>0</v>
      </c>
      <c r="D11" s="1" t="s">
        <v>1</v>
      </c>
      <c r="E11" s="26" t="s">
        <v>35</v>
      </c>
      <c r="G11" s="19"/>
      <c r="H11" s="19"/>
      <c r="I11" s="19"/>
      <c r="J11" s="19"/>
      <c r="K11" s="19"/>
      <c r="L11" s="19"/>
      <c r="M11" s="19"/>
      <c r="N11" s="19"/>
      <c r="O11" s="19"/>
      <c r="P11" s="19"/>
      <c r="Q11" s="19"/>
      <c r="R11" s="19"/>
      <c r="S11" s="19"/>
      <c r="T11" s="19"/>
      <c r="U11" s="19"/>
      <c r="V11" s="19"/>
      <c r="W11" s="19"/>
      <c r="X11" s="19"/>
      <c r="Y11" s="19"/>
      <c r="Z11" s="19"/>
      <c r="AA11" s="19"/>
      <c r="AB11" s="19"/>
      <c r="AD11" s="19"/>
      <c r="AE11" s="19"/>
      <c r="AF11" s="19"/>
    </row>
    <row r="12" spans="1:34" ht="13.5" customHeight="1" x14ac:dyDescent="0.25">
      <c r="A12" s="24" t="s">
        <v>21</v>
      </c>
      <c r="B12" s="22" t="s">
        <v>27</v>
      </c>
      <c r="C12" s="24">
        <f t="shared" si="0"/>
        <v>2</v>
      </c>
      <c r="F12" s="30" t="str">
        <f t="shared" ref="F12:AC12" si="1">IFERROR(LOOKUP(F13,$A$2:$B$28),"")</f>
        <v>I</v>
      </c>
      <c r="G12" s="31" t="str">
        <f t="shared" si="1"/>
        <v>T</v>
      </c>
      <c r="H12" s="31" t="str">
        <f t="shared" si="1"/>
        <v/>
      </c>
      <c r="I12" s="31" t="str">
        <f t="shared" si="1"/>
        <v>S</v>
      </c>
      <c r="J12" s="31" t="str">
        <f t="shared" si="1"/>
        <v xml:space="preserve"> </v>
      </c>
      <c r="K12" s="31" t="str">
        <f t="shared" si="1"/>
        <v>J</v>
      </c>
      <c r="L12" s="31" t="str">
        <f t="shared" si="1"/>
        <v>U</v>
      </c>
      <c r="M12" s="31" t="str">
        <f t="shared" si="1"/>
        <v>S</v>
      </c>
      <c r="N12" s="31" t="str">
        <f t="shared" si="1"/>
        <v>T</v>
      </c>
      <c r="O12" s="31" t="str">
        <f t="shared" si="1"/>
        <v xml:space="preserve"> </v>
      </c>
      <c r="P12" s="31" t="str">
        <f t="shared" si="1"/>
        <v>A</v>
      </c>
      <c r="Q12" s="31" t="str">
        <f t="shared" si="1"/>
        <v xml:space="preserve"> </v>
      </c>
      <c r="R12" s="31" t="str">
        <f t="shared" si="1"/>
        <v>J</v>
      </c>
      <c r="S12" s="31" t="str">
        <f t="shared" si="1"/>
        <v>O</v>
      </c>
      <c r="T12" s="31" t="str">
        <f t="shared" si="1"/>
        <v>B</v>
      </c>
      <c r="U12" s="31" t="str">
        <f t="shared" si="1"/>
        <v xml:space="preserve"> </v>
      </c>
      <c r="V12" s="31" t="str">
        <f t="shared" si="1"/>
        <v xml:space="preserve"> </v>
      </c>
      <c r="W12" s="31" t="str">
        <f t="shared" si="1"/>
        <v>G</v>
      </c>
      <c r="X12" s="31" t="str">
        <f t="shared" si="1"/>
        <v>R</v>
      </c>
      <c r="Y12" s="31" t="str">
        <f t="shared" si="1"/>
        <v>A</v>
      </c>
      <c r="Z12" s="31" t="str">
        <f t="shared" si="1"/>
        <v>S</v>
      </c>
      <c r="AA12" s="31" t="str">
        <f t="shared" si="1"/>
        <v>S</v>
      </c>
      <c r="AB12" s="31" t="str">
        <f t="shared" si="1"/>
        <v xml:space="preserve"> </v>
      </c>
      <c r="AC12" s="32" t="str">
        <f t="shared" si="1"/>
        <v xml:space="preserve"> </v>
      </c>
    </row>
    <row r="13" spans="1:34" ht="13.5" customHeight="1" x14ac:dyDescent="0.2">
      <c r="A13" s="24" t="s">
        <v>22</v>
      </c>
      <c r="B13" s="22" t="s">
        <v>6</v>
      </c>
      <c r="C13" s="24">
        <f t="shared" si="0"/>
        <v>4</v>
      </c>
      <c r="F13" s="40" t="str">
        <f t="shared" ref="F13:AC13" si="2">F4</f>
        <v>X</v>
      </c>
      <c r="G13" s="41" t="str">
        <f t="shared" si="2"/>
        <v>G</v>
      </c>
      <c r="H13" s="41" t="str">
        <f t="shared" si="2"/>
        <v/>
      </c>
      <c r="I13" s="41" t="str">
        <f t="shared" si="2"/>
        <v>V</v>
      </c>
      <c r="J13" s="41" t="str">
        <f t="shared" si="2"/>
        <v xml:space="preserve"> </v>
      </c>
      <c r="K13" s="41" t="str">
        <f t="shared" si="2"/>
        <v>D</v>
      </c>
      <c r="L13" s="41" t="str">
        <f t="shared" si="2"/>
        <v>K</v>
      </c>
      <c r="M13" s="41" t="str">
        <f t="shared" si="2"/>
        <v>V</v>
      </c>
      <c r="N13" s="41" t="str">
        <f t="shared" si="2"/>
        <v>G</v>
      </c>
      <c r="O13" s="41" t="str">
        <f t="shared" si="2"/>
        <v xml:space="preserve"> </v>
      </c>
      <c r="P13" s="41" t="str">
        <f t="shared" si="2"/>
        <v>W</v>
      </c>
      <c r="Q13" s="41" t="str">
        <f t="shared" si="2"/>
        <v xml:space="preserve"> </v>
      </c>
      <c r="R13" s="41" t="str">
        <f t="shared" si="2"/>
        <v>D</v>
      </c>
      <c r="S13" s="41" t="str">
        <f t="shared" si="2"/>
        <v>P</v>
      </c>
      <c r="T13" s="41" t="str">
        <f t="shared" si="2"/>
        <v>F</v>
      </c>
      <c r="U13" s="41" t="str">
        <f t="shared" si="2"/>
        <v>.</v>
      </c>
      <c r="V13" s="41" t="str">
        <f t="shared" si="2"/>
        <v xml:space="preserve"> </v>
      </c>
      <c r="W13" s="41" t="str">
        <f t="shared" si="2"/>
        <v>U</v>
      </c>
      <c r="X13" s="41" t="str">
        <f t="shared" si="2"/>
        <v>S</v>
      </c>
      <c r="Y13" s="41" t="str">
        <f t="shared" si="2"/>
        <v>W</v>
      </c>
      <c r="Z13" s="41" t="str">
        <f t="shared" si="2"/>
        <v>V</v>
      </c>
      <c r="AA13" s="41" t="str">
        <f t="shared" si="2"/>
        <v>V</v>
      </c>
      <c r="AB13" s="41" t="str">
        <f t="shared" si="2"/>
        <v xml:space="preserve"> </v>
      </c>
      <c r="AC13" s="42" t="str">
        <f t="shared" si="2"/>
        <v xml:space="preserve"> </v>
      </c>
    </row>
    <row r="14" spans="1:34" ht="13.5" customHeight="1" x14ac:dyDescent="0.2">
      <c r="A14" s="24" t="s">
        <v>9</v>
      </c>
      <c r="B14" s="22" t="s">
        <v>10</v>
      </c>
      <c r="C14" s="24">
        <f t="shared" si="0"/>
        <v>3</v>
      </c>
      <c r="F14" s="33"/>
      <c r="G14" s="34"/>
      <c r="H14" s="34"/>
      <c r="I14" s="34"/>
      <c r="J14" s="34"/>
      <c r="K14" s="34"/>
      <c r="L14" s="34"/>
      <c r="M14" s="34"/>
      <c r="N14" s="34"/>
      <c r="O14" s="34"/>
      <c r="P14" s="34"/>
      <c r="Q14" s="34"/>
      <c r="R14" s="34"/>
      <c r="S14" s="34"/>
      <c r="T14" s="34"/>
      <c r="U14" s="34"/>
      <c r="V14" s="34"/>
      <c r="W14" s="34"/>
      <c r="X14" s="34"/>
      <c r="Y14" s="34"/>
      <c r="Z14" s="34"/>
      <c r="AA14" s="34"/>
      <c r="AB14" s="34"/>
      <c r="AC14" s="35"/>
    </row>
    <row r="15" spans="1:34" ht="13.5" customHeight="1" x14ac:dyDescent="0.25">
      <c r="A15" s="24" t="s">
        <v>10</v>
      </c>
      <c r="B15" s="22" t="s">
        <v>13</v>
      </c>
      <c r="C15" s="24">
        <f t="shared" si="0"/>
        <v>1</v>
      </c>
      <c r="F15" s="36" t="str">
        <f t="shared" ref="F15:AC15" si="3">IFERROR(LOOKUP(F16,$A$2:$B$28),"")</f>
        <v>G</v>
      </c>
      <c r="G15" s="37" t="str">
        <f t="shared" si="3"/>
        <v>R</v>
      </c>
      <c r="H15" s="37" t="str">
        <f t="shared" si="3"/>
        <v>O</v>
      </c>
      <c r="I15" s="37" t="str">
        <f t="shared" si="3"/>
        <v>W</v>
      </c>
      <c r="J15" s="37" t="str">
        <f t="shared" si="3"/>
        <v>S</v>
      </c>
      <c r="K15" s="37" t="str">
        <f t="shared" si="3"/>
        <v xml:space="preserve"> </v>
      </c>
      <c r="L15" s="37" t="str">
        <f t="shared" si="3"/>
        <v xml:space="preserve"> </v>
      </c>
      <c r="M15" s="37" t="str">
        <f t="shared" si="3"/>
        <v>B</v>
      </c>
      <c r="N15" s="37" t="str">
        <f t="shared" si="3"/>
        <v>I</v>
      </c>
      <c r="O15" s="37" t="str">
        <f t="shared" si="3"/>
        <v>R</v>
      </c>
      <c r="P15" s="37" t="str">
        <f t="shared" si="3"/>
        <v>D</v>
      </c>
      <c r="Q15" s="37" t="str">
        <f t="shared" si="3"/>
        <v>S</v>
      </c>
      <c r="R15" s="37" t="str">
        <f t="shared" si="3"/>
        <v xml:space="preserve"> </v>
      </c>
      <c r="S15" s="37" t="str">
        <f t="shared" si="3"/>
        <v>F</v>
      </c>
      <c r="T15" s="37" t="str">
        <f t="shared" si="3"/>
        <v>L</v>
      </c>
      <c r="U15" s="37" t="str">
        <f t="shared" si="3"/>
        <v>Y</v>
      </c>
      <c r="V15" s="37" t="str">
        <f t="shared" si="3"/>
        <v xml:space="preserve"> </v>
      </c>
      <c r="W15" s="37" t="str">
        <f t="shared" si="3"/>
        <v xml:space="preserve"> </v>
      </c>
      <c r="X15" s="37" t="str">
        <f t="shared" si="3"/>
        <v>W</v>
      </c>
      <c r="Y15" s="37" t="str">
        <f t="shared" si="3"/>
        <v>A</v>
      </c>
      <c r="Z15" s="37" t="str">
        <f t="shared" si="3"/>
        <v>V</v>
      </c>
      <c r="AA15" s="37" t="str">
        <f t="shared" si="3"/>
        <v>E</v>
      </c>
      <c r="AB15" s="37" t="str">
        <f t="shared" si="3"/>
        <v>S</v>
      </c>
      <c r="AC15" s="38" t="str">
        <f t="shared" si="3"/>
        <v xml:space="preserve"> </v>
      </c>
    </row>
    <row r="16" spans="1:34" ht="13.5" customHeight="1" x14ac:dyDescent="0.2">
      <c r="A16" s="24" t="s">
        <v>23</v>
      </c>
      <c r="B16" s="22" t="s">
        <v>9</v>
      </c>
      <c r="C16" s="24">
        <f t="shared" si="0"/>
        <v>3</v>
      </c>
      <c r="F16" s="40" t="str">
        <f t="shared" ref="F16:AC16" si="4">F5</f>
        <v>U</v>
      </c>
      <c r="G16" s="41" t="str">
        <f t="shared" si="4"/>
        <v>S</v>
      </c>
      <c r="H16" s="41" t="str">
        <f t="shared" si="4"/>
        <v>P</v>
      </c>
      <c r="I16" s="41" t="str">
        <f t="shared" si="4"/>
        <v>J</v>
      </c>
      <c r="J16" s="41" t="str">
        <f t="shared" si="4"/>
        <v>V</v>
      </c>
      <c r="K16" s="41" t="str">
        <f t="shared" si="4"/>
        <v>,</v>
      </c>
      <c r="L16" s="41" t="str">
        <f t="shared" si="4"/>
        <v xml:space="preserve"> </v>
      </c>
      <c r="M16" s="41" t="str">
        <f t="shared" si="4"/>
        <v>F</v>
      </c>
      <c r="N16" s="41" t="str">
        <f t="shared" si="4"/>
        <v>X</v>
      </c>
      <c r="O16" s="41" t="str">
        <f t="shared" si="4"/>
        <v>S</v>
      </c>
      <c r="P16" s="41" t="str">
        <f t="shared" si="4"/>
        <v>R</v>
      </c>
      <c r="Q16" s="41" t="str">
        <f t="shared" si="4"/>
        <v>V</v>
      </c>
      <c r="R16" s="41" t="str">
        <f t="shared" si="4"/>
        <v xml:space="preserve"> </v>
      </c>
      <c r="S16" s="41" t="str">
        <f t="shared" si="4"/>
        <v>M</v>
      </c>
      <c r="T16" s="41" t="str">
        <f t="shared" si="4"/>
        <v>N</v>
      </c>
      <c r="U16" s="41" t="str">
        <f t="shared" si="4"/>
        <v>E</v>
      </c>
      <c r="V16" s="41" t="str">
        <f t="shared" si="4"/>
        <v>,</v>
      </c>
      <c r="W16" s="41" t="str">
        <f t="shared" si="4"/>
        <v xml:space="preserve"> </v>
      </c>
      <c r="X16" s="41" t="str">
        <f t="shared" si="4"/>
        <v>J</v>
      </c>
      <c r="Y16" s="41" t="str">
        <f t="shared" si="4"/>
        <v>W</v>
      </c>
      <c r="Z16" s="41" t="str">
        <f t="shared" si="4"/>
        <v>A</v>
      </c>
      <c r="AA16" s="41" t="str">
        <f t="shared" si="4"/>
        <v>C</v>
      </c>
      <c r="AB16" s="41" t="str">
        <f t="shared" si="4"/>
        <v>V</v>
      </c>
      <c r="AC16" s="42" t="str">
        <f t="shared" si="4"/>
        <v xml:space="preserve"> </v>
      </c>
    </row>
    <row r="17" spans="1:29" ht="13.5" customHeight="1" x14ac:dyDescent="0.2">
      <c r="A17" s="24" t="s">
        <v>17</v>
      </c>
      <c r="B17" s="22" t="s">
        <v>23</v>
      </c>
      <c r="C17" s="24">
        <f t="shared" si="0"/>
        <v>2</v>
      </c>
      <c r="F17" s="33"/>
      <c r="G17" s="34"/>
      <c r="H17" s="34"/>
      <c r="I17" s="34"/>
      <c r="J17" s="34"/>
      <c r="K17" s="34"/>
      <c r="L17" s="34"/>
      <c r="M17" s="34"/>
      <c r="N17" s="34"/>
      <c r="O17" s="34"/>
      <c r="P17" s="34"/>
      <c r="Q17" s="34"/>
      <c r="R17" s="34"/>
      <c r="S17" s="34"/>
      <c r="T17" s="34"/>
      <c r="U17" s="34"/>
      <c r="V17" s="34"/>
      <c r="W17" s="34"/>
      <c r="X17" s="34"/>
      <c r="Y17" s="34"/>
      <c r="Z17" s="34"/>
      <c r="AA17" s="34"/>
      <c r="AB17" s="34"/>
      <c r="AC17" s="35"/>
    </row>
    <row r="18" spans="1:29" ht="13.5" customHeight="1" x14ac:dyDescent="0.25">
      <c r="A18" s="24" t="s">
        <v>24</v>
      </c>
      <c r="B18" s="22" t="s">
        <v>17</v>
      </c>
      <c r="C18" s="24">
        <f t="shared" si="0"/>
        <v>4</v>
      </c>
      <c r="F18" s="36" t="str">
        <f t="shared" ref="F18:AC18" si="5">IFERROR(LOOKUP(F19,$A$2:$B$28),"")</f>
        <v>P</v>
      </c>
      <c r="G18" s="37" t="str">
        <f t="shared" si="5"/>
        <v>O</v>
      </c>
      <c r="H18" s="37" t="str">
        <f t="shared" si="5"/>
        <v>U</v>
      </c>
      <c r="I18" s="37" t="str">
        <f t="shared" si="5"/>
        <v>N</v>
      </c>
      <c r="J18" s="37" t="str">
        <f t="shared" si="5"/>
        <v>D</v>
      </c>
      <c r="K18" s="37" t="str">
        <f t="shared" si="5"/>
        <v xml:space="preserve"> </v>
      </c>
      <c r="L18" s="37" t="str">
        <f t="shared" si="5"/>
        <v>T</v>
      </c>
      <c r="M18" s="37" t="str">
        <f t="shared" si="5"/>
        <v>H</v>
      </c>
      <c r="N18" s="37" t="str">
        <f t="shared" si="5"/>
        <v>E</v>
      </c>
      <c r="O18" s="37" t="str">
        <f t="shared" si="5"/>
        <v xml:space="preserve"> </v>
      </c>
      <c r="P18" s="37" t="str">
        <f t="shared" si="5"/>
        <v>S</v>
      </c>
      <c r="Q18" s="37" t="str">
        <f t="shared" si="5"/>
        <v>A</v>
      </c>
      <c r="R18" s="37" t="str">
        <f t="shared" si="5"/>
        <v>N</v>
      </c>
      <c r="S18" s="37" t="str">
        <f t="shared" si="5"/>
        <v>D</v>
      </c>
      <c r="T18" s="37" t="str">
        <f t="shared" si="5"/>
        <v xml:space="preserve"> </v>
      </c>
      <c r="U18" s="37" t="str">
        <f t="shared" si="5"/>
        <v xml:space="preserve"> </v>
      </c>
      <c r="V18" s="37" t="str">
        <f t="shared" si="5"/>
        <v>I</v>
      </c>
      <c r="W18" s="37" t="str">
        <f t="shared" si="5"/>
        <v xml:space="preserve"> </v>
      </c>
      <c r="X18" s="37" t="str">
        <f t="shared" si="5"/>
        <v>B</v>
      </c>
      <c r="Y18" s="37" t="str">
        <f t="shared" si="5"/>
        <v>E</v>
      </c>
      <c r="Z18" s="37" t="str">
        <f t="shared" si="5"/>
        <v>A</v>
      </c>
      <c r="AA18" s="37" t="str">
        <f t="shared" si="5"/>
        <v>T</v>
      </c>
      <c r="AB18" s="37" t="str">
        <f t="shared" si="5"/>
        <v xml:space="preserve"> </v>
      </c>
      <c r="AC18" s="38" t="str">
        <f t="shared" si="5"/>
        <v xml:space="preserve"> </v>
      </c>
    </row>
    <row r="19" spans="1:29" ht="13.5" customHeight="1" x14ac:dyDescent="0.2">
      <c r="A19" s="24" t="s">
        <v>25</v>
      </c>
      <c r="B19" s="22" t="s">
        <v>3</v>
      </c>
      <c r="C19" s="24">
        <f t="shared" si="0"/>
        <v>0</v>
      </c>
      <c r="F19" s="40" t="str">
        <f t="shared" ref="F19:AC19" si="6">F6</f>
        <v>Y</v>
      </c>
      <c r="G19" s="41" t="str">
        <f t="shared" si="6"/>
        <v>P</v>
      </c>
      <c r="H19" s="41" t="str">
        <f t="shared" si="6"/>
        <v>K</v>
      </c>
      <c r="I19" s="41" t="str">
        <f t="shared" si="6"/>
        <v>O</v>
      </c>
      <c r="J19" s="41" t="str">
        <f t="shared" si="6"/>
        <v>R</v>
      </c>
      <c r="K19" s="41" t="str">
        <f t="shared" si="6"/>
        <v xml:space="preserve"> </v>
      </c>
      <c r="L19" s="41" t="str">
        <f t="shared" si="6"/>
        <v>G</v>
      </c>
      <c r="M19" s="41" t="str">
        <f t="shared" si="6"/>
        <v>Z</v>
      </c>
      <c r="N19" s="41" t="str">
        <f t="shared" si="6"/>
        <v>C</v>
      </c>
      <c r="O19" s="41" t="str">
        <f t="shared" si="6"/>
        <v xml:space="preserve"> </v>
      </c>
      <c r="P19" s="41" t="str">
        <f t="shared" si="6"/>
        <v>V</v>
      </c>
      <c r="Q19" s="41" t="str">
        <f t="shared" si="6"/>
        <v>W</v>
      </c>
      <c r="R19" s="41" t="str">
        <f t="shared" si="6"/>
        <v>O</v>
      </c>
      <c r="S19" s="41" t="str">
        <f t="shared" si="6"/>
        <v>R</v>
      </c>
      <c r="T19" s="41" t="str">
        <f t="shared" si="6"/>
        <v>.</v>
      </c>
      <c r="U19" s="41" t="str">
        <f t="shared" si="6"/>
        <v xml:space="preserve"> </v>
      </c>
      <c r="V19" s="41" t="str">
        <f t="shared" si="6"/>
        <v>X</v>
      </c>
      <c r="W19" s="41" t="str">
        <f t="shared" si="6"/>
        <v xml:space="preserve"> </v>
      </c>
      <c r="X19" s="41" t="str">
        <f t="shared" si="6"/>
        <v>F</v>
      </c>
      <c r="Y19" s="41" t="str">
        <f t="shared" si="6"/>
        <v>C</v>
      </c>
      <c r="Z19" s="41" t="str">
        <f t="shared" si="6"/>
        <v>W</v>
      </c>
      <c r="AA19" s="41" t="str">
        <f t="shared" si="6"/>
        <v>G</v>
      </c>
      <c r="AB19" s="41" t="str">
        <f t="shared" si="6"/>
        <v xml:space="preserve"> </v>
      </c>
      <c r="AC19" s="42" t="str">
        <f t="shared" si="6"/>
        <v xml:space="preserve"> </v>
      </c>
    </row>
    <row r="20" spans="1:29" ht="13.5" customHeight="1" x14ac:dyDescent="0.2">
      <c r="A20" s="24" t="s">
        <v>14</v>
      </c>
      <c r="B20" s="22" t="s">
        <v>8</v>
      </c>
      <c r="C20" s="24">
        <f t="shared" si="0"/>
        <v>4</v>
      </c>
      <c r="F20" s="33"/>
      <c r="G20" s="34"/>
      <c r="H20" s="34"/>
      <c r="I20" s="34"/>
      <c r="J20" s="34"/>
      <c r="K20" s="34"/>
      <c r="L20" s="34"/>
      <c r="M20" s="34"/>
      <c r="N20" s="34"/>
      <c r="O20" s="34"/>
      <c r="P20" s="34"/>
      <c r="Q20" s="34"/>
      <c r="R20" s="34"/>
      <c r="S20" s="34"/>
      <c r="T20" s="34"/>
      <c r="U20" s="34"/>
      <c r="V20" s="34"/>
      <c r="W20" s="34"/>
      <c r="X20" s="34"/>
      <c r="Y20" s="34"/>
      <c r="Z20" s="34"/>
      <c r="AA20" s="34"/>
      <c r="AB20" s="34"/>
      <c r="AC20" s="35"/>
    </row>
    <row r="21" spans="1:29" ht="13.5" customHeight="1" x14ac:dyDescent="0.25">
      <c r="A21" s="24" t="s">
        <v>12</v>
      </c>
      <c r="B21" s="22" t="s">
        <v>14</v>
      </c>
      <c r="C21" s="24">
        <f t="shared" si="0"/>
        <v>3</v>
      </c>
      <c r="F21" s="36" t="str">
        <f t="shared" ref="F21:AC21" si="7">IFERROR(LOOKUP(F22,$A$2:$B$28),"")</f>
        <v>P</v>
      </c>
      <c r="G21" s="37" t="str">
        <f t="shared" si="7"/>
        <v>E</v>
      </c>
      <c r="H21" s="37" t="str">
        <f t="shared" si="7"/>
        <v>O</v>
      </c>
      <c r="I21" s="37" t="str">
        <f t="shared" si="7"/>
        <v>P</v>
      </c>
      <c r="J21" s="37" t="str">
        <f t="shared" si="7"/>
        <v>L</v>
      </c>
      <c r="K21" s="37" t="str">
        <f t="shared" si="7"/>
        <v>E</v>
      </c>
      <c r="L21" s="37" t="str">
        <f t="shared" si="7"/>
        <v xml:space="preserve"> </v>
      </c>
      <c r="M21" s="37" t="str">
        <f t="shared" si="7"/>
        <v>U</v>
      </c>
      <c r="N21" s="37" t="str">
        <f t="shared" si="7"/>
        <v>P</v>
      </c>
      <c r="O21" s="37" t="str">
        <f t="shared" si="7"/>
        <v xml:space="preserve"> </v>
      </c>
      <c r="P21" s="37" t="str">
        <f t="shared" si="7"/>
        <v xml:space="preserve"> </v>
      </c>
      <c r="Q21" s="37" t="str">
        <f t="shared" si="7"/>
        <v xml:space="preserve"> </v>
      </c>
      <c r="R21" s="37" t="str">
        <f t="shared" si="7"/>
        <v xml:space="preserve"> </v>
      </c>
      <c r="S21" s="37" t="str">
        <f t="shared" si="7"/>
        <v xml:space="preserve"> </v>
      </c>
      <c r="T21" s="37" t="str">
        <f t="shared" si="7"/>
        <v xml:space="preserve"> </v>
      </c>
      <c r="U21" s="37" t="str">
        <f t="shared" si="7"/>
        <v xml:space="preserve"> </v>
      </c>
      <c r="V21" s="37" t="str">
        <f t="shared" si="7"/>
        <v xml:space="preserve"> </v>
      </c>
      <c r="W21" s="37" t="str">
        <f t="shared" si="7"/>
        <v xml:space="preserve"> </v>
      </c>
      <c r="X21" s="37" t="str">
        <f t="shared" si="7"/>
        <v xml:space="preserve"> </v>
      </c>
      <c r="Y21" s="37" t="str">
        <f t="shared" si="7"/>
        <v xml:space="preserve"> </v>
      </c>
      <c r="Z21" s="37" t="str">
        <f t="shared" si="7"/>
        <v xml:space="preserve"> </v>
      </c>
      <c r="AA21" s="37" t="str">
        <f t="shared" si="7"/>
        <v xml:space="preserve"> </v>
      </c>
      <c r="AB21" s="37" t="str">
        <f t="shared" si="7"/>
        <v xml:space="preserve"> </v>
      </c>
      <c r="AC21" s="38" t="str">
        <f t="shared" si="7"/>
        <v xml:space="preserve"> </v>
      </c>
    </row>
    <row r="22" spans="1:29" ht="13.5" customHeight="1" x14ac:dyDescent="0.2">
      <c r="A22" s="24" t="s">
        <v>15</v>
      </c>
      <c r="B22" s="22" t="s">
        <v>3</v>
      </c>
      <c r="C22" s="24">
        <f t="shared" si="0"/>
        <v>0</v>
      </c>
      <c r="F22" s="40" t="str">
        <f t="shared" ref="F22:AC22" si="8">F7</f>
        <v>Y</v>
      </c>
      <c r="G22" s="41" t="str">
        <f t="shared" si="8"/>
        <v>C</v>
      </c>
      <c r="H22" s="41" t="str">
        <f t="shared" si="8"/>
        <v>P</v>
      </c>
      <c r="I22" s="41" t="str">
        <f t="shared" si="8"/>
        <v>Y</v>
      </c>
      <c r="J22" s="41" t="str">
        <f t="shared" si="8"/>
        <v>N</v>
      </c>
      <c r="K22" s="41" t="str">
        <f t="shared" si="8"/>
        <v>C</v>
      </c>
      <c r="L22" s="41" t="str">
        <f t="shared" si="8"/>
        <v xml:space="preserve"> </v>
      </c>
      <c r="M22" s="41" t="str">
        <f t="shared" si="8"/>
        <v>K</v>
      </c>
      <c r="N22" s="41" t="str">
        <f t="shared" si="8"/>
        <v>Y</v>
      </c>
      <c r="O22" s="41" t="str">
        <f t="shared" si="8"/>
        <v>.</v>
      </c>
      <c r="P22" s="41" t="str">
        <f t="shared" si="8"/>
        <v xml:space="preserve"> </v>
      </c>
      <c r="Q22" s="41" t="str">
        <f t="shared" si="8"/>
        <v xml:space="preserve"> </v>
      </c>
      <c r="R22" s="41" t="str">
        <f t="shared" si="8"/>
        <v xml:space="preserve"> </v>
      </c>
      <c r="S22" s="41" t="str">
        <f t="shared" si="8"/>
        <v xml:space="preserve"> </v>
      </c>
      <c r="T22" s="41" t="str">
        <f t="shared" si="8"/>
        <v xml:space="preserve"> </v>
      </c>
      <c r="U22" s="41" t="str">
        <f t="shared" si="8"/>
        <v xml:space="preserve"> </v>
      </c>
      <c r="V22" s="41" t="str">
        <f t="shared" si="8"/>
        <v xml:space="preserve"> </v>
      </c>
      <c r="W22" s="41" t="str">
        <f t="shared" si="8"/>
        <v xml:space="preserve"> </v>
      </c>
      <c r="X22" s="41" t="str">
        <f t="shared" si="8"/>
        <v xml:space="preserve"> </v>
      </c>
      <c r="Y22" s="41" t="str">
        <f t="shared" si="8"/>
        <v xml:space="preserve"> </v>
      </c>
      <c r="Z22" s="41" t="str">
        <f t="shared" si="8"/>
        <v xml:space="preserve"> </v>
      </c>
      <c r="AA22" s="41" t="str">
        <f t="shared" si="8"/>
        <v xml:space="preserve"> </v>
      </c>
      <c r="AB22" s="41" t="str">
        <f t="shared" si="8"/>
        <v xml:space="preserve"> </v>
      </c>
      <c r="AC22" s="42" t="str">
        <f t="shared" si="8"/>
        <v xml:space="preserve"> </v>
      </c>
    </row>
    <row r="23" spans="1:29" ht="13.5" customHeight="1" x14ac:dyDescent="0.2">
      <c r="A23" s="24" t="s">
        <v>6</v>
      </c>
      <c r="B23" s="22" t="s">
        <v>19</v>
      </c>
      <c r="C23" s="24">
        <f t="shared" si="0"/>
        <v>2</v>
      </c>
      <c r="F23" s="33"/>
      <c r="G23" s="34"/>
      <c r="H23" s="34"/>
      <c r="I23" s="34"/>
      <c r="J23" s="34"/>
      <c r="K23" s="34"/>
      <c r="L23" s="34"/>
      <c r="M23" s="34"/>
      <c r="N23" s="34"/>
      <c r="O23" s="34"/>
      <c r="P23" s="34"/>
      <c r="Q23" s="34"/>
      <c r="R23" s="34"/>
      <c r="S23" s="34"/>
      <c r="T23" s="34"/>
      <c r="U23" s="34"/>
      <c r="V23" s="34"/>
      <c r="W23" s="34"/>
      <c r="X23" s="34"/>
      <c r="Y23" s="34"/>
      <c r="Z23" s="34"/>
      <c r="AA23" s="34"/>
      <c r="AB23" s="34"/>
      <c r="AC23" s="35"/>
    </row>
    <row r="24" spans="1:29" ht="13.5" customHeight="1" x14ac:dyDescent="0.25">
      <c r="A24" s="24" t="s">
        <v>26</v>
      </c>
      <c r="B24" s="22" t="s">
        <v>12</v>
      </c>
      <c r="C24" s="24">
        <f t="shared" si="0"/>
        <v>8</v>
      </c>
      <c r="F24" s="36" t="str">
        <f t="shared" ref="F24:AC24" si="9">IFERROR(LOOKUP(F25,$A$2:$B$28),"")</f>
        <v xml:space="preserve"> </v>
      </c>
      <c r="G24" s="37" t="str">
        <f t="shared" si="9"/>
        <v xml:space="preserve"> </v>
      </c>
      <c r="H24" s="37" t="str">
        <f t="shared" si="9"/>
        <v xml:space="preserve"> </v>
      </c>
      <c r="I24" s="37" t="str">
        <f t="shared" si="9"/>
        <v>M</v>
      </c>
      <c r="J24" s="37" t="str">
        <f t="shared" si="9"/>
        <v>U</v>
      </c>
      <c r="K24" s="37" t="str">
        <f t="shared" si="9"/>
        <v>H</v>
      </c>
      <c r="L24" s="37" t="str">
        <f t="shared" si="9"/>
        <v>A</v>
      </c>
      <c r="M24" s="37" t="str">
        <f t="shared" si="9"/>
        <v>M</v>
      </c>
      <c r="N24" s="37" t="str">
        <f t="shared" si="9"/>
        <v>M</v>
      </c>
      <c r="O24" s="37" t="str">
        <f t="shared" si="9"/>
        <v>A</v>
      </c>
      <c r="P24" s="37" t="str">
        <f t="shared" si="9"/>
        <v>D</v>
      </c>
      <c r="Q24" s="37" t="str">
        <f t="shared" si="9"/>
        <v xml:space="preserve"> </v>
      </c>
      <c r="R24" s="37" t="str">
        <f t="shared" si="9"/>
        <v>A</v>
      </c>
      <c r="S24" s="37" t="str">
        <f t="shared" si="9"/>
        <v>L</v>
      </c>
      <c r="T24" s="37" t="str">
        <f t="shared" si="9"/>
        <v>I</v>
      </c>
      <c r="U24" s="37" t="str">
        <f t="shared" si="9"/>
        <v xml:space="preserve"> </v>
      </c>
      <c r="V24" s="37" t="str">
        <f t="shared" si="9"/>
        <v xml:space="preserve"> </v>
      </c>
      <c r="W24" s="37" t="str">
        <f t="shared" si="9"/>
        <v xml:space="preserve"> </v>
      </c>
      <c r="X24" s="37" t="str">
        <f t="shared" si="9"/>
        <v xml:space="preserve"> </v>
      </c>
      <c r="Y24" s="37" t="str">
        <f t="shared" si="9"/>
        <v xml:space="preserve"> </v>
      </c>
      <c r="Z24" s="37" t="str">
        <f t="shared" si="9"/>
        <v xml:space="preserve"> </v>
      </c>
      <c r="AA24" s="37" t="str">
        <f t="shared" si="9"/>
        <v xml:space="preserve"> </v>
      </c>
      <c r="AB24" s="37" t="str">
        <f t="shared" si="9"/>
        <v xml:space="preserve"> </v>
      </c>
      <c r="AC24" s="38" t="str">
        <f t="shared" si="9"/>
        <v xml:space="preserve"> </v>
      </c>
    </row>
    <row r="25" spans="1:29" ht="13.5" customHeight="1" x14ac:dyDescent="0.2">
      <c r="A25" s="24" t="s">
        <v>27</v>
      </c>
      <c r="B25" s="22" t="s">
        <v>7</v>
      </c>
      <c r="C25" s="24">
        <f t="shared" si="0"/>
        <v>8</v>
      </c>
      <c r="F25" s="40" t="str">
        <f t="shared" ref="F25:AC25" si="10">F8</f>
        <v xml:space="preserve"> </v>
      </c>
      <c r="G25" s="41" t="str">
        <f t="shared" si="10"/>
        <v xml:space="preserve"> </v>
      </c>
      <c r="H25" s="41" t="str">
        <f t="shared" si="10"/>
        <v xml:space="preserve"> </v>
      </c>
      <c r="I25" s="41" t="str">
        <f t="shared" si="10"/>
        <v>L</v>
      </c>
      <c r="J25" s="41" t="str">
        <f t="shared" si="10"/>
        <v>K</v>
      </c>
      <c r="K25" s="41" t="str">
        <f t="shared" si="10"/>
        <v>Z</v>
      </c>
      <c r="L25" s="41" t="str">
        <f t="shared" si="10"/>
        <v>W</v>
      </c>
      <c r="M25" s="41" t="str">
        <f t="shared" si="10"/>
        <v>L</v>
      </c>
      <c r="N25" s="41" t="str">
        <f t="shared" si="10"/>
        <v>L</v>
      </c>
      <c r="O25" s="41" t="str">
        <f t="shared" si="10"/>
        <v>W</v>
      </c>
      <c r="P25" s="41" t="str">
        <f t="shared" si="10"/>
        <v>R</v>
      </c>
      <c r="Q25" s="41" t="str">
        <f t="shared" si="10"/>
        <v xml:space="preserve"> </v>
      </c>
      <c r="R25" s="41" t="str">
        <f t="shared" si="10"/>
        <v>W</v>
      </c>
      <c r="S25" s="41" t="str">
        <f t="shared" si="10"/>
        <v>N</v>
      </c>
      <c r="T25" s="41" t="str">
        <f t="shared" si="10"/>
        <v>X</v>
      </c>
      <c r="U25" s="41" t="str">
        <f t="shared" si="10"/>
        <v xml:space="preserve"> </v>
      </c>
      <c r="V25" s="41" t="str">
        <f t="shared" si="10"/>
        <v xml:space="preserve"> </v>
      </c>
      <c r="W25" s="41" t="str">
        <f t="shared" si="10"/>
        <v xml:space="preserve"> </v>
      </c>
      <c r="X25" s="41" t="str">
        <f t="shared" si="10"/>
        <v xml:space="preserve"> </v>
      </c>
      <c r="Y25" s="41" t="str">
        <f t="shared" si="10"/>
        <v xml:space="preserve"> </v>
      </c>
      <c r="Z25" s="41" t="str">
        <f t="shared" si="10"/>
        <v xml:space="preserve"> </v>
      </c>
      <c r="AA25" s="41" t="str">
        <f t="shared" si="10"/>
        <v xml:space="preserve"> </v>
      </c>
      <c r="AB25" s="41" t="str">
        <f t="shared" si="10"/>
        <v xml:space="preserve"> </v>
      </c>
      <c r="AC25" s="42" t="str">
        <f t="shared" si="10"/>
        <v xml:space="preserve"> </v>
      </c>
    </row>
    <row r="26" spans="1:29" ht="13.5" customHeight="1" x14ac:dyDescent="0.2">
      <c r="A26" s="24" t="s">
        <v>28</v>
      </c>
      <c r="B26" s="22" t="s">
        <v>16</v>
      </c>
      <c r="C26" s="24">
        <f t="shared" si="0"/>
        <v>4</v>
      </c>
      <c r="F26" s="33"/>
      <c r="G26" s="34"/>
      <c r="H26" s="34"/>
      <c r="I26" s="34"/>
      <c r="J26" s="34"/>
      <c r="K26" s="34"/>
      <c r="L26" s="34"/>
      <c r="M26" s="34"/>
      <c r="N26" s="34"/>
      <c r="O26" s="34"/>
      <c r="P26" s="34"/>
      <c r="Q26" s="34"/>
      <c r="R26" s="34"/>
      <c r="S26" s="34"/>
      <c r="T26" s="34"/>
      <c r="U26" s="34"/>
      <c r="V26" s="34"/>
      <c r="W26" s="34"/>
      <c r="X26" s="34"/>
      <c r="Y26" s="34"/>
      <c r="Z26" s="34"/>
      <c r="AA26" s="34"/>
      <c r="AB26" s="34"/>
      <c r="AC26" s="35"/>
    </row>
    <row r="27" spans="1:29" ht="13.5" customHeight="1" x14ac:dyDescent="0.25">
      <c r="A27" s="24" t="s">
        <v>11</v>
      </c>
      <c r="B27" s="22" t="s">
        <v>24</v>
      </c>
      <c r="C27" s="24">
        <f t="shared" si="0"/>
        <v>4</v>
      </c>
      <c r="F27" s="36" t="str">
        <f t="shared" ref="F27:AC27" si="11">IFERROR(LOOKUP(F28,$A$2:$B$28),"")</f>
        <v xml:space="preserve"> </v>
      </c>
      <c r="G27" s="37" t="str">
        <f t="shared" si="11"/>
        <v xml:space="preserve"> </v>
      </c>
      <c r="H27" s="37" t="str">
        <f t="shared" si="11"/>
        <v xml:space="preserve"> </v>
      </c>
      <c r="I27" s="37" t="str">
        <f t="shared" si="11"/>
        <v xml:space="preserve"> </v>
      </c>
      <c r="J27" s="37" t="str">
        <f t="shared" si="11"/>
        <v xml:space="preserve"> </v>
      </c>
      <c r="K27" s="37" t="str">
        <f t="shared" si="11"/>
        <v xml:space="preserve"> </v>
      </c>
      <c r="L27" s="37" t="str">
        <f t="shared" si="11"/>
        <v xml:space="preserve"> </v>
      </c>
      <c r="M27" s="37" t="str">
        <f t="shared" si="11"/>
        <v xml:space="preserve"> </v>
      </c>
      <c r="N27" s="37" t="str">
        <f t="shared" si="11"/>
        <v xml:space="preserve"> </v>
      </c>
      <c r="O27" s="37" t="str">
        <f t="shared" si="11"/>
        <v xml:space="preserve"> </v>
      </c>
      <c r="P27" s="37" t="str">
        <f t="shared" si="11"/>
        <v xml:space="preserve"> </v>
      </c>
      <c r="Q27" s="37" t="str">
        <f t="shared" si="11"/>
        <v xml:space="preserve"> </v>
      </c>
      <c r="R27" s="37" t="str">
        <f t="shared" si="11"/>
        <v xml:space="preserve"> </v>
      </c>
      <c r="S27" s="37" t="str">
        <f t="shared" si="11"/>
        <v xml:space="preserve"> </v>
      </c>
      <c r="T27" s="37" t="str">
        <f t="shared" si="11"/>
        <v xml:space="preserve"> </v>
      </c>
      <c r="U27" s="37" t="str">
        <f t="shared" si="11"/>
        <v xml:space="preserve"> </v>
      </c>
      <c r="V27" s="37" t="str">
        <f t="shared" si="11"/>
        <v xml:space="preserve"> </v>
      </c>
      <c r="W27" s="37" t="str">
        <f t="shared" si="11"/>
        <v xml:space="preserve"> </v>
      </c>
      <c r="X27" s="37" t="str">
        <f t="shared" si="11"/>
        <v xml:space="preserve"> </v>
      </c>
      <c r="Y27" s="37" t="str">
        <f t="shared" si="11"/>
        <v xml:space="preserve"> </v>
      </c>
      <c r="Z27" s="37" t="str">
        <f t="shared" si="11"/>
        <v xml:space="preserve"> </v>
      </c>
      <c r="AA27" s="37" t="str">
        <f t="shared" si="11"/>
        <v xml:space="preserve"> </v>
      </c>
      <c r="AB27" s="37" t="str">
        <f t="shared" si="11"/>
        <v xml:space="preserve"> </v>
      </c>
      <c r="AC27" s="38" t="str">
        <f t="shared" si="11"/>
        <v/>
      </c>
    </row>
    <row r="28" spans="1:29" ht="13.5" customHeight="1" thickBot="1" x14ac:dyDescent="0.25">
      <c r="A28" s="24" t="s">
        <v>29</v>
      </c>
      <c r="B28" s="22" t="s">
        <v>20</v>
      </c>
      <c r="C28" s="24">
        <f t="shared" si="0"/>
        <v>2</v>
      </c>
      <c r="F28" s="43" t="str">
        <f t="shared" ref="F28:AB28" si="12">F9</f>
        <v xml:space="preserve"> </v>
      </c>
      <c r="G28" s="44" t="str">
        <f t="shared" si="12"/>
        <v xml:space="preserve"> </v>
      </c>
      <c r="H28" s="44" t="str">
        <f t="shared" si="12"/>
        <v xml:space="preserve"> </v>
      </c>
      <c r="I28" s="44" t="str">
        <f t="shared" si="12"/>
        <v xml:space="preserve"> </v>
      </c>
      <c r="J28" s="44" t="str">
        <f t="shared" si="12"/>
        <v xml:space="preserve"> </v>
      </c>
      <c r="K28" s="44" t="str">
        <f t="shared" si="12"/>
        <v xml:space="preserve"> </v>
      </c>
      <c r="L28" s="44" t="str">
        <f t="shared" si="12"/>
        <v xml:space="preserve"> </v>
      </c>
      <c r="M28" s="44" t="str">
        <f t="shared" si="12"/>
        <v xml:space="preserve"> </v>
      </c>
      <c r="N28" s="44" t="str">
        <f t="shared" si="12"/>
        <v xml:space="preserve"> </v>
      </c>
      <c r="O28" s="44" t="str">
        <f t="shared" si="12"/>
        <v xml:space="preserve"> </v>
      </c>
      <c r="P28" s="44" t="str">
        <f t="shared" si="12"/>
        <v xml:space="preserve"> </v>
      </c>
      <c r="Q28" s="44" t="str">
        <f t="shared" si="12"/>
        <v xml:space="preserve"> </v>
      </c>
      <c r="R28" s="44" t="str">
        <f t="shared" si="12"/>
        <v xml:space="preserve"> </v>
      </c>
      <c r="S28" s="44" t="str">
        <f t="shared" si="12"/>
        <v xml:space="preserve"> </v>
      </c>
      <c r="T28" s="44" t="str">
        <f t="shared" si="12"/>
        <v xml:space="preserve"> </v>
      </c>
      <c r="U28" s="44" t="str">
        <f t="shared" si="12"/>
        <v xml:space="preserve"> </v>
      </c>
      <c r="V28" s="44" t="str">
        <f t="shared" si="12"/>
        <v xml:space="preserve"> </v>
      </c>
      <c r="W28" s="44" t="str">
        <f t="shared" si="12"/>
        <v xml:space="preserve"> </v>
      </c>
      <c r="X28" s="44" t="str">
        <f t="shared" si="12"/>
        <v xml:space="preserve"> </v>
      </c>
      <c r="Y28" s="44" t="str">
        <f t="shared" si="12"/>
        <v xml:space="preserve"> </v>
      </c>
      <c r="Z28" s="44" t="str">
        <f t="shared" si="12"/>
        <v xml:space="preserve"> </v>
      </c>
      <c r="AA28" s="44" t="str">
        <f t="shared" si="12"/>
        <v xml:space="preserve"> </v>
      </c>
      <c r="AB28" s="44" t="str">
        <f t="shared" si="12"/>
        <v xml:space="preserve"> </v>
      </c>
      <c r="AC28" s="45"/>
    </row>
    <row r="29" spans="1:29" ht="13.5" customHeight="1" x14ac:dyDescent="0.2">
      <c r="A29" s="19" t="s">
        <v>2</v>
      </c>
      <c r="B29" s="19" t="s">
        <v>2</v>
      </c>
    </row>
    <row r="30" spans="1:29" ht="13.5" customHeight="1" x14ac:dyDescent="0.2">
      <c r="A30" s="19" t="s">
        <v>0</v>
      </c>
      <c r="B30" s="19" t="s">
        <v>0</v>
      </c>
    </row>
    <row r="31" spans="1:29" ht="13.5" customHeight="1" x14ac:dyDescent="0.2">
      <c r="A31" s="23" t="s">
        <v>30</v>
      </c>
      <c r="B31" s="23" t="s">
        <v>30</v>
      </c>
    </row>
    <row r="32" spans="1:29" ht="13.5" customHeight="1" x14ac:dyDescent="0.2">
      <c r="A32" s="19" t="s">
        <v>32</v>
      </c>
      <c r="B32" s="19" t="s">
        <v>32</v>
      </c>
    </row>
    <row r="33" spans="1:2" ht="13.5" customHeight="1" x14ac:dyDescent="0.2">
      <c r="A33" s="19" t="s">
        <v>33</v>
      </c>
      <c r="B33" s="19" t="s">
        <v>33</v>
      </c>
    </row>
    <row r="34" spans="1:2" ht="13.5" customHeight="1" x14ac:dyDescent="0.2"/>
    <row r="35" spans="1:2" ht="13.5" customHeight="1" x14ac:dyDescent="0.2"/>
    <row r="36" spans="1:2" ht="13.5" customHeight="1" x14ac:dyDescent="0.2"/>
    <row r="37" spans="1:2" ht="13.5" customHeight="1" x14ac:dyDescent="0.2"/>
    <row r="38" spans="1:2" ht="13.5" customHeight="1" x14ac:dyDescent="0.2"/>
    <row r="39" spans="1:2" ht="13.5" customHeight="1" x14ac:dyDescent="0.2"/>
    <row r="40" spans="1:2" ht="13.5" customHeight="1" x14ac:dyDescent="0.2"/>
    <row r="41" spans="1:2" ht="13.5" customHeight="1" x14ac:dyDescent="0.2"/>
  </sheetData>
  <printOptions horizontalCentered="1" verticalCentered="1" headings="1" gridLines="1"/>
  <pageMargins left="0.75" right="0.75" top="1" bottom="1" header="0.5" footer="0.5"/>
  <pageSetup orientation="landscape" horizont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AF34"/>
  <sheetViews>
    <sheetView workbookViewId="0">
      <selection activeCell="E2" sqref="E2"/>
    </sheetView>
  </sheetViews>
  <sheetFormatPr defaultRowHeight="12.75" x14ac:dyDescent="0.2"/>
  <cols>
    <col min="1" max="2" width="2.42578125" bestFit="1" customWidth="1"/>
    <col min="3" max="3" width="1.85546875" bestFit="1" customWidth="1"/>
    <col min="5" max="5" width="2.85546875" bestFit="1" customWidth="1"/>
    <col min="6" max="6" width="2.42578125" bestFit="1" customWidth="1"/>
    <col min="7" max="7" width="2.28515625" bestFit="1" customWidth="1"/>
    <col min="8" max="8" width="2.42578125" bestFit="1" customWidth="1"/>
    <col min="9" max="9" width="2.28515625" bestFit="1" customWidth="1"/>
    <col min="10" max="10" width="2.5703125" bestFit="1" customWidth="1"/>
    <col min="11" max="11" width="2.42578125" bestFit="1" customWidth="1"/>
    <col min="12" max="12" width="2.5703125" bestFit="1" customWidth="1"/>
    <col min="13" max="13" width="2.42578125" bestFit="1" customWidth="1"/>
    <col min="14" max="14" width="2.28515625" bestFit="1" customWidth="1"/>
    <col min="15" max="15" width="2.5703125" bestFit="1" customWidth="1"/>
    <col min="16" max="16" width="2.85546875" bestFit="1" customWidth="1"/>
    <col min="17" max="17" width="2.42578125" bestFit="1" customWidth="1"/>
    <col min="18" max="18" width="2.28515625" bestFit="1" customWidth="1"/>
    <col min="19" max="19" width="2.42578125" bestFit="1" customWidth="1"/>
    <col min="20" max="20" width="2.140625" bestFit="1" customWidth="1"/>
    <col min="21" max="22" width="2.42578125" bestFit="1" customWidth="1"/>
    <col min="23" max="25" width="2.28515625" bestFit="1" customWidth="1"/>
    <col min="26" max="26" width="2.42578125" bestFit="1" customWidth="1"/>
    <col min="27" max="27" width="2.28515625" bestFit="1" customWidth="1"/>
    <col min="28" max="28" width="2" bestFit="1" customWidth="1"/>
  </cols>
  <sheetData>
    <row r="1" spans="1:32" x14ac:dyDescent="0.2">
      <c r="A1" s="85" t="s">
        <v>31</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row>
    <row r="2" spans="1:32" x14ac:dyDescent="0.2">
      <c r="A2" s="1" t="s">
        <v>7</v>
      </c>
      <c r="B2" s="2" t="str">
        <f>AE2</f>
        <v>N</v>
      </c>
      <c r="C2" s="1">
        <f>COUNTIF($E$9:$Z$14,A2)</f>
        <v>5</v>
      </c>
      <c r="D2" s="1"/>
      <c r="E2" s="16" t="str">
        <f t="shared" ref="E2:AB2" si="0">LOOKUP(E9,$A$1:$B$30)</f>
        <v>W</v>
      </c>
      <c r="F2" s="16" t="str">
        <f t="shared" si="0"/>
        <v>O</v>
      </c>
      <c r="G2" s="16" t="str">
        <f t="shared" si="0"/>
        <v>H</v>
      </c>
      <c r="H2" s="16" t="e">
        <f t="shared" si="0"/>
        <v>#N/A</v>
      </c>
      <c r="I2" s="16" t="str">
        <f t="shared" si="0"/>
        <v>R</v>
      </c>
      <c r="J2" s="16" t="str">
        <f t="shared" si="0"/>
        <v>T</v>
      </c>
      <c r="K2" s="16" t="e">
        <f t="shared" si="0"/>
        <v>#N/A</v>
      </c>
      <c r="L2" s="16" t="str">
        <f t="shared" si="0"/>
        <v>S</v>
      </c>
      <c r="M2" s="16" t="str">
        <f t="shared" si="0"/>
        <v>M</v>
      </c>
      <c r="N2" s="16" t="str">
        <f t="shared" si="0"/>
        <v>Z</v>
      </c>
      <c r="O2" s="16" t="e">
        <f t="shared" si="0"/>
        <v>#N/A</v>
      </c>
      <c r="P2" s="16" t="str">
        <f t="shared" si="0"/>
        <v>H</v>
      </c>
      <c r="Q2" s="16" t="str">
        <f t="shared" si="0"/>
        <v>R</v>
      </c>
      <c r="R2" s="16" t="str">
        <f t="shared" si="0"/>
        <v>W</v>
      </c>
      <c r="S2" s="16" t="str">
        <f t="shared" si="0"/>
        <v>S</v>
      </c>
      <c r="T2" s="16" t="str">
        <f t="shared" si="0"/>
        <v>Z</v>
      </c>
      <c r="U2" s="16" t="str">
        <f t="shared" si="0"/>
        <v>U</v>
      </c>
      <c r="V2" s="16" t="e">
        <f t="shared" si="0"/>
        <v>#N/A</v>
      </c>
      <c r="W2" s="16" t="str">
        <f t="shared" si="0"/>
        <v>O</v>
      </c>
      <c r="X2" s="16" t="str">
        <f t="shared" si="0"/>
        <v>X</v>
      </c>
      <c r="Y2" s="16" t="e">
        <f t="shared" si="0"/>
        <v>#N/A</v>
      </c>
      <c r="Z2" s="16" t="str">
        <f t="shared" si="0"/>
        <v>O</v>
      </c>
      <c r="AA2" s="16" t="str">
        <f t="shared" si="0"/>
        <v>K</v>
      </c>
      <c r="AB2" s="16" t="str">
        <f t="shared" si="0"/>
        <v>U</v>
      </c>
      <c r="AE2" s="1" t="s">
        <v>23</v>
      </c>
      <c r="AF2">
        <f t="shared" ref="AF2:AF27" ca="1" si="1">RAND()</f>
        <v>5.4315764083620044E-2</v>
      </c>
    </row>
    <row r="3" spans="1:32" x14ac:dyDescent="0.2">
      <c r="A3" s="1" t="s">
        <v>5</v>
      </c>
      <c r="B3" s="2" t="str">
        <f t="shared" ref="B3:B27" si="2">AE3</f>
        <v>G</v>
      </c>
      <c r="C3" s="1">
        <f t="shared" ref="C3:C27" si="3">COUNTIF($E$9:$Z$14,A3)</f>
        <v>1</v>
      </c>
      <c r="D3" s="1"/>
      <c r="E3" s="16" t="str">
        <f t="shared" ref="E3:T7" si="4">LOOKUP(E10,$A$1:$B$30)</f>
        <v>V</v>
      </c>
      <c r="F3" s="16" t="str">
        <f t="shared" si="4"/>
        <v>R</v>
      </c>
      <c r="G3" s="16" t="str">
        <f t="shared" si="4"/>
        <v>T</v>
      </c>
      <c r="H3" s="16" t="str">
        <f t="shared" si="4"/>
        <v>E</v>
      </c>
      <c r="I3" s="16" t="str">
        <f t="shared" si="4"/>
        <v>O</v>
      </c>
      <c r="J3" s="16" t="str">
        <f t="shared" si="4"/>
        <v>W</v>
      </c>
      <c r="K3" s="16" t="str">
        <f t="shared" si="4"/>
        <v>S</v>
      </c>
      <c r="L3" s="16" t="str">
        <f t="shared" si="4"/>
        <v>Z</v>
      </c>
      <c r="M3" s="16" t="str">
        <f t="shared" si="4"/>
        <v>W</v>
      </c>
      <c r="N3" s="16" t="str">
        <f t="shared" si="4"/>
        <v>S</v>
      </c>
      <c r="O3" s="16" t="e">
        <f t="shared" si="4"/>
        <v>#N/A</v>
      </c>
      <c r="P3" s="16" t="str">
        <f t="shared" si="4"/>
        <v>B</v>
      </c>
      <c r="Q3" s="16" t="e">
        <f t="shared" si="4"/>
        <v>#N/A</v>
      </c>
      <c r="R3" s="16" t="str">
        <f t="shared" si="4"/>
        <v>V</v>
      </c>
      <c r="S3" s="16" t="str">
        <f t="shared" si="4"/>
        <v>Z</v>
      </c>
      <c r="T3" s="16" t="e">
        <f t="shared" si="4"/>
        <v>#N/A</v>
      </c>
      <c r="U3" s="16" t="str">
        <f t="shared" ref="U3:AB7" si="5">LOOKUP(U10,$A$1:$B$30)</f>
        <v>I</v>
      </c>
      <c r="V3" s="16" t="str">
        <f t="shared" si="5"/>
        <v>C</v>
      </c>
      <c r="W3" s="16" t="str">
        <f t="shared" si="5"/>
        <v>O</v>
      </c>
      <c r="X3" s="16" t="str">
        <f t="shared" si="5"/>
        <v>U</v>
      </c>
      <c r="Y3" s="16" t="str">
        <f t="shared" si="5"/>
        <v>R</v>
      </c>
      <c r="Z3" s="16" t="str">
        <f t="shared" si="5"/>
        <v>O</v>
      </c>
      <c r="AA3" s="16" t="str">
        <f t="shared" si="5"/>
        <v>K</v>
      </c>
      <c r="AB3" s="16" t="str">
        <f t="shared" si="5"/>
        <v>T</v>
      </c>
      <c r="AE3" s="1" t="s">
        <v>19</v>
      </c>
      <c r="AF3">
        <f t="shared" ca="1" si="1"/>
        <v>0.72755211428480571</v>
      </c>
    </row>
    <row r="4" spans="1:32" x14ac:dyDescent="0.2">
      <c r="A4" s="1" t="s">
        <v>18</v>
      </c>
      <c r="B4" s="2" t="str">
        <f t="shared" si="2"/>
        <v>E</v>
      </c>
      <c r="C4" s="1">
        <f t="shared" si="3"/>
        <v>2</v>
      </c>
      <c r="D4" s="1"/>
      <c r="E4" s="16" t="str">
        <f t="shared" si="4"/>
        <v>T</v>
      </c>
      <c r="F4" s="16" t="str">
        <f t="shared" si="4"/>
        <v>K</v>
      </c>
      <c r="G4" s="16" t="str">
        <f t="shared" si="4"/>
        <v>B</v>
      </c>
      <c r="H4" s="16" t="str">
        <f t="shared" si="4"/>
        <v>B</v>
      </c>
      <c r="I4" s="16" t="str">
        <f t="shared" si="4"/>
        <v>Z</v>
      </c>
      <c r="J4" s="16" t="str">
        <f t="shared" si="4"/>
        <v>U</v>
      </c>
      <c r="K4" s="16" t="e">
        <f t="shared" si="4"/>
        <v>#N/A</v>
      </c>
      <c r="L4" s="16" t="str">
        <f t="shared" si="4"/>
        <v>G</v>
      </c>
      <c r="M4" s="16" t="str">
        <f t="shared" si="4"/>
        <v>D</v>
      </c>
      <c r="N4" s="16" t="e">
        <f t="shared" si="4"/>
        <v>#N/A</v>
      </c>
      <c r="O4" s="16" t="str">
        <f t="shared" si="4"/>
        <v>S</v>
      </c>
      <c r="P4" s="16" t="str">
        <f t="shared" si="4"/>
        <v>M</v>
      </c>
      <c r="Q4" s="16" t="str">
        <f t="shared" si="4"/>
        <v>R</v>
      </c>
      <c r="R4" s="16" t="str">
        <f t="shared" si="4"/>
        <v>T</v>
      </c>
      <c r="S4" s="16" t="e">
        <f t="shared" si="4"/>
        <v>#N/A</v>
      </c>
      <c r="T4" s="16" t="str">
        <f t="shared" si="4"/>
        <v>T</v>
      </c>
      <c r="U4" s="16" t="str">
        <f t="shared" si="5"/>
        <v>O</v>
      </c>
      <c r="V4" s="16" t="str">
        <f t="shared" si="5"/>
        <v>W</v>
      </c>
      <c r="W4" s="16" t="e">
        <f t="shared" si="5"/>
        <v>#N/A</v>
      </c>
      <c r="X4" s="16" t="str">
        <f t="shared" si="5"/>
        <v>O</v>
      </c>
      <c r="Y4" s="16" t="str">
        <f t="shared" si="5"/>
        <v>X</v>
      </c>
      <c r="Z4" s="16" t="e">
        <f t="shared" si="5"/>
        <v>#N/A</v>
      </c>
      <c r="AA4" s="16" t="e">
        <f t="shared" si="5"/>
        <v>#N/A</v>
      </c>
      <c r="AB4" s="16" t="e">
        <f t="shared" si="5"/>
        <v>#N/A</v>
      </c>
      <c r="AE4" s="1" t="s">
        <v>4</v>
      </c>
      <c r="AF4">
        <f t="shared" ca="1" si="1"/>
        <v>0.28634165417159407</v>
      </c>
    </row>
    <row r="5" spans="1:32" x14ac:dyDescent="0.2">
      <c r="A5" s="1" t="s">
        <v>8</v>
      </c>
      <c r="B5" s="2" t="str">
        <f t="shared" si="2"/>
        <v>V</v>
      </c>
      <c r="C5" s="1">
        <f t="shared" si="3"/>
        <v>3</v>
      </c>
      <c r="D5" s="1"/>
      <c r="E5" s="16" t="str">
        <f t="shared" si="4"/>
        <v>D</v>
      </c>
      <c r="F5" s="16" t="str">
        <f t="shared" si="4"/>
        <v>O</v>
      </c>
      <c r="G5" s="16" t="str">
        <f t="shared" si="4"/>
        <v>U</v>
      </c>
      <c r="H5" s="16" t="str">
        <f t="shared" si="4"/>
        <v>A</v>
      </c>
      <c r="I5" s="16" t="e">
        <f t="shared" si="4"/>
        <v>#N/A</v>
      </c>
      <c r="J5" s="16" t="e">
        <f t="shared" si="4"/>
        <v>#N/A</v>
      </c>
      <c r="K5" s="16" t="e">
        <f t="shared" si="4"/>
        <v>#N/A</v>
      </c>
      <c r="L5" s="16" t="str">
        <f t="shared" si="4"/>
        <v>U</v>
      </c>
      <c r="M5" s="16" t="str">
        <f t="shared" si="4"/>
        <v>R</v>
      </c>
      <c r="N5" s="16" t="str">
        <f t="shared" si="4"/>
        <v>E</v>
      </c>
      <c r="O5" s="16" t="str">
        <f t="shared" si="4"/>
        <v>M</v>
      </c>
      <c r="P5" s="16" t="e">
        <f t="shared" si="4"/>
        <v>#N/A</v>
      </c>
      <c r="Q5" s="16" t="str">
        <f t="shared" si="4"/>
        <v>U</v>
      </c>
      <c r="R5" s="16" t="str">
        <f t="shared" si="4"/>
        <v>V</v>
      </c>
      <c r="S5" s="16" t="e">
        <f t="shared" si="4"/>
        <v>#N/A</v>
      </c>
      <c r="T5" s="16" t="str">
        <f t="shared" si="4"/>
        <v>S</v>
      </c>
      <c r="U5" s="16" t="str">
        <f t="shared" si="5"/>
        <v>M</v>
      </c>
      <c r="V5" s="16" t="str">
        <f t="shared" si="5"/>
        <v>Z</v>
      </c>
      <c r="W5" s="16" t="e">
        <f t="shared" si="5"/>
        <v>#N/A</v>
      </c>
      <c r="X5" s="16" t="str">
        <f t="shared" si="5"/>
        <v>S</v>
      </c>
      <c r="Y5" s="16" t="str">
        <f t="shared" si="5"/>
        <v>M</v>
      </c>
      <c r="Z5" s="16" t="str">
        <f t="shared" si="5"/>
        <v>R</v>
      </c>
      <c r="AA5" s="16" t="str">
        <f t="shared" si="5"/>
        <v>U</v>
      </c>
      <c r="AB5" s="16" t="str">
        <f t="shared" si="5"/>
        <v>V</v>
      </c>
      <c r="AE5" s="1" t="s">
        <v>26</v>
      </c>
      <c r="AF5">
        <f t="shared" ca="1" si="1"/>
        <v>0.50149127967674556</v>
      </c>
    </row>
    <row r="6" spans="1:32" x14ac:dyDescent="0.2">
      <c r="A6" s="1" t="s">
        <v>4</v>
      </c>
      <c r="B6" s="2" t="str">
        <f t="shared" si="2"/>
        <v>Z</v>
      </c>
      <c r="C6" s="1">
        <f t="shared" si="3"/>
        <v>8</v>
      </c>
      <c r="D6" s="1"/>
      <c r="E6" s="16" t="e">
        <f t="shared" si="4"/>
        <v>#N/A</v>
      </c>
      <c r="F6" s="16" t="e">
        <f t="shared" si="4"/>
        <v>#N/A</v>
      </c>
      <c r="G6" s="16" t="e">
        <f t="shared" si="4"/>
        <v>#N/A</v>
      </c>
      <c r="H6" s="16" t="e">
        <f t="shared" si="4"/>
        <v>#N/A</v>
      </c>
      <c r="I6" s="16" t="e">
        <f t="shared" si="4"/>
        <v>#N/A</v>
      </c>
      <c r="J6" s="16" t="e">
        <f t="shared" si="4"/>
        <v>#N/A</v>
      </c>
      <c r="K6" s="16" t="e">
        <f t="shared" si="4"/>
        <v>#N/A</v>
      </c>
      <c r="L6" s="16" t="e">
        <f t="shared" si="4"/>
        <v>#N/A</v>
      </c>
      <c r="M6" s="16" t="e">
        <f t="shared" si="4"/>
        <v>#N/A</v>
      </c>
      <c r="N6" s="16" t="e">
        <f t="shared" si="4"/>
        <v>#N/A</v>
      </c>
      <c r="O6" s="16" t="e">
        <f t="shared" si="4"/>
        <v>#N/A</v>
      </c>
      <c r="P6" s="16" t="e">
        <f t="shared" si="4"/>
        <v>#N/A</v>
      </c>
      <c r="Q6" s="16" t="e">
        <f t="shared" si="4"/>
        <v>#N/A</v>
      </c>
      <c r="R6" s="16" t="e">
        <f t="shared" si="4"/>
        <v>#N/A</v>
      </c>
      <c r="S6" s="16" t="e">
        <f t="shared" si="4"/>
        <v>#N/A</v>
      </c>
      <c r="T6" s="16" t="e">
        <f t="shared" si="4"/>
        <v>#N/A</v>
      </c>
      <c r="U6" s="16" t="e">
        <f t="shared" si="5"/>
        <v>#N/A</v>
      </c>
      <c r="V6" s="16" t="e">
        <f t="shared" si="5"/>
        <v>#N/A</v>
      </c>
      <c r="W6" s="16" t="e">
        <f t="shared" si="5"/>
        <v>#N/A</v>
      </c>
      <c r="X6" s="16" t="e">
        <f t="shared" si="5"/>
        <v>#N/A</v>
      </c>
      <c r="Y6" s="16" t="e">
        <f t="shared" si="5"/>
        <v>#N/A</v>
      </c>
      <c r="Z6" s="16" t="e">
        <f t="shared" si="5"/>
        <v>#N/A</v>
      </c>
      <c r="AA6" s="16" t="e">
        <f t="shared" si="5"/>
        <v>#N/A</v>
      </c>
      <c r="AB6" s="16" t="e">
        <f t="shared" si="5"/>
        <v>#N/A</v>
      </c>
      <c r="AE6" s="1" t="s">
        <v>29</v>
      </c>
      <c r="AF6">
        <f t="shared" ca="1" si="1"/>
        <v>0.28848529129792067</v>
      </c>
    </row>
    <row r="7" spans="1:32" x14ac:dyDescent="0.2">
      <c r="A7" s="1" t="s">
        <v>13</v>
      </c>
      <c r="B7" s="2" t="str">
        <f t="shared" si="2"/>
        <v>X</v>
      </c>
      <c r="C7" s="1">
        <f t="shared" si="3"/>
        <v>2</v>
      </c>
      <c r="D7" s="1"/>
      <c r="E7" s="16" t="e">
        <f t="shared" si="4"/>
        <v>#N/A</v>
      </c>
      <c r="F7" s="16" t="e">
        <f t="shared" si="4"/>
        <v>#N/A</v>
      </c>
      <c r="G7" s="16" t="e">
        <f t="shared" si="4"/>
        <v>#N/A</v>
      </c>
      <c r="H7" s="16" t="e">
        <f t="shared" si="4"/>
        <v>#N/A</v>
      </c>
      <c r="I7" s="16" t="str">
        <f t="shared" si="4"/>
        <v>H</v>
      </c>
      <c r="J7" s="16" t="str">
        <f t="shared" si="4"/>
        <v>R</v>
      </c>
      <c r="K7" s="16" t="str">
        <f t="shared" si="4"/>
        <v>C</v>
      </c>
      <c r="L7" s="16" t="str">
        <f t="shared" si="4"/>
        <v>C</v>
      </c>
      <c r="M7" s="16" t="str">
        <f t="shared" si="4"/>
        <v>R</v>
      </c>
      <c r="N7" s="16" t="e">
        <f t="shared" si="4"/>
        <v>#N/A</v>
      </c>
      <c r="O7" s="16" t="str">
        <f t="shared" si="4"/>
        <v>B</v>
      </c>
      <c r="P7" s="16" t="e">
        <f t="shared" si="4"/>
        <v>#N/A</v>
      </c>
      <c r="Q7" s="16" t="str">
        <f t="shared" si="4"/>
        <v>T</v>
      </c>
      <c r="R7" s="16" t="str">
        <f t="shared" si="4"/>
        <v>M</v>
      </c>
      <c r="S7" s="16" t="e">
        <f t="shared" si="4"/>
        <v>#N/A</v>
      </c>
      <c r="T7" s="16" t="str">
        <f t="shared" si="4"/>
        <v>A</v>
      </c>
      <c r="U7" s="16" t="str">
        <f t="shared" si="5"/>
        <v>Z</v>
      </c>
      <c r="V7" s="16" t="str">
        <f t="shared" si="5"/>
        <v>T</v>
      </c>
      <c r="W7" s="16" t="str">
        <f t="shared" si="5"/>
        <v>L</v>
      </c>
      <c r="X7" s="16" t="str">
        <f t="shared" si="5"/>
        <v>Z</v>
      </c>
      <c r="Y7" s="16" t="e">
        <f t="shared" si="5"/>
        <v>#N/A</v>
      </c>
      <c r="Z7" s="16" t="str">
        <f t="shared" si="5"/>
        <v>U</v>
      </c>
      <c r="AA7" s="16" t="str">
        <f t="shared" si="5"/>
        <v>Z</v>
      </c>
      <c r="AB7" s="16" t="e">
        <f t="shared" si="5"/>
        <v>#N/A</v>
      </c>
      <c r="AE7" s="1" t="s">
        <v>28</v>
      </c>
      <c r="AF7">
        <f t="shared" ca="1" si="1"/>
        <v>8.9256956828857814E-2</v>
      </c>
    </row>
    <row r="8" spans="1:32" ht="13.5" thickBot="1" x14ac:dyDescent="0.25">
      <c r="A8" s="1" t="s">
        <v>19</v>
      </c>
      <c r="B8" s="2" t="str">
        <f t="shared" si="2"/>
        <v>I</v>
      </c>
      <c r="C8" s="1">
        <f t="shared" si="3"/>
        <v>1</v>
      </c>
      <c r="D8" s="1"/>
      <c r="E8" s="1"/>
      <c r="F8" s="1"/>
      <c r="G8" s="1"/>
      <c r="H8" s="1"/>
      <c r="I8" s="1"/>
      <c r="J8" s="1"/>
      <c r="K8" s="1"/>
      <c r="L8" s="1"/>
      <c r="M8" s="1"/>
      <c r="N8" s="1"/>
      <c r="O8" s="1"/>
      <c r="P8" s="1"/>
      <c r="Q8" s="1"/>
      <c r="R8" s="1"/>
      <c r="S8" s="1"/>
      <c r="T8" s="1"/>
      <c r="U8" s="1"/>
      <c r="V8" s="1"/>
      <c r="W8" s="1"/>
      <c r="X8" s="1"/>
      <c r="Y8" s="1"/>
      <c r="Z8" s="1"/>
      <c r="AA8" s="1"/>
      <c r="AB8" s="1"/>
      <c r="AE8" s="1" t="s">
        <v>16</v>
      </c>
      <c r="AF8">
        <f t="shared" ca="1" si="1"/>
        <v>0.3570869392500704</v>
      </c>
    </row>
    <row r="9" spans="1:32" x14ac:dyDescent="0.2">
      <c r="A9" s="1" t="s">
        <v>20</v>
      </c>
      <c r="B9" s="2" t="str">
        <f t="shared" si="2"/>
        <v>M</v>
      </c>
      <c r="C9" s="1">
        <f t="shared" si="3"/>
        <v>6</v>
      </c>
      <c r="D9" s="1"/>
      <c r="E9" s="4" t="s">
        <v>23</v>
      </c>
      <c r="F9" s="5" t="s">
        <v>17</v>
      </c>
      <c r="G9" s="5" t="s">
        <v>27</v>
      </c>
      <c r="H9" s="5" t="s">
        <v>1</v>
      </c>
      <c r="I9" s="5" t="s">
        <v>16</v>
      </c>
      <c r="J9" s="5" t="s">
        <v>12</v>
      </c>
      <c r="K9" s="5" t="s">
        <v>1</v>
      </c>
      <c r="L9" s="5" t="s">
        <v>15</v>
      </c>
      <c r="M9" s="5" t="s">
        <v>20</v>
      </c>
      <c r="N9" s="5" t="s">
        <v>4</v>
      </c>
      <c r="O9" s="5" t="s">
        <v>1</v>
      </c>
      <c r="P9" s="5" t="s">
        <v>27</v>
      </c>
      <c r="Q9" s="5" t="s">
        <v>16</v>
      </c>
      <c r="R9" s="5" t="s">
        <v>23</v>
      </c>
      <c r="S9" s="5" t="s">
        <v>15</v>
      </c>
      <c r="T9" s="5" t="s">
        <v>4</v>
      </c>
      <c r="U9" s="5" t="s">
        <v>14</v>
      </c>
      <c r="V9" s="5" t="s">
        <v>1</v>
      </c>
      <c r="W9" s="5" t="s">
        <v>17</v>
      </c>
      <c r="X9" s="5" t="s">
        <v>13</v>
      </c>
      <c r="Y9" s="5" t="s">
        <v>1</v>
      </c>
      <c r="Z9" s="5" t="s">
        <v>17</v>
      </c>
      <c r="AA9" s="17" t="s">
        <v>6</v>
      </c>
      <c r="AB9" s="6" t="s">
        <v>14</v>
      </c>
      <c r="AE9" s="1" t="s">
        <v>10</v>
      </c>
      <c r="AF9">
        <f t="shared" ca="1" si="1"/>
        <v>0.91453903730796038</v>
      </c>
    </row>
    <row r="10" spans="1:32" x14ac:dyDescent="0.2">
      <c r="A10" s="1" t="s">
        <v>16</v>
      </c>
      <c r="B10" s="2" t="str">
        <f t="shared" si="2"/>
        <v>R</v>
      </c>
      <c r="C10" s="1">
        <f t="shared" si="3"/>
        <v>9</v>
      </c>
      <c r="D10" s="1"/>
      <c r="E10" s="7" t="s">
        <v>8</v>
      </c>
      <c r="F10" s="13" t="s">
        <v>16</v>
      </c>
      <c r="G10" s="13" t="s">
        <v>12</v>
      </c>
      <c r="H10" s="13" t="s">
        <v>18</v>
      </c>
      <c r="I10" s="13" t="s">
        <v>17</v>
      </c>
      <c r="J10" s="13" t="s">
        <v>23</v>
      </c>
      <c r="K10" s="13" t="s">
        <v>15</v>
      </c>
      <c r="L10" s="13" t="s">
        <v>4</v>
      </c>
      <c r="M10" s="13" t="s">
        <v>23</v>
      </c>
      <c r="N10" s="13" t="s">
        <v>15</v>
      </c>
      <c r="O10" s="13" t="s">
        <v>1</v>
      </c>
      <c r="P10" s="13" t="s">
        <v>10</v>
      </c>
      <c r="Q10" s="13" t="s">
        <v>7</v>
      </c>
      <c r="R10" s="13" t="s">
        <v>8</v>
      </c>
      <c r="S10" s="13" t="s">
        <v>4</v>
      </c>
      <c r="T10" s="13" t="s">
        <v>1</v>
      </c>
      <c r="U10" s="13" t="s">
        <v>19</v>
      </c>
      <c r="V10" s="13" t="s">
        <v>9</v>
      </c>
      <c r="W10" s="13" t="s">
        <v>17</v>
      </c>
      <c r="X10" s="13" t="s">
        <v>14</v>
      </c>
      <c r="Y10" s="13" t="s">
        <v>16</v>
      </c>
      <c r="Z10" s="13" t="s">
        <v>17</v>
      </c>
      <c r="AA10" s="12" t="s">
        <v>6</v>
      </c>
      <c r="AB10" s="14" t="s">
        <v>12</v>
      </c>
      <c r="AE10" s="1" t="s">
        <v>14</v>
      </c>
      <c r="AF10">
        <f t="shared" ca="1" si="1"/>
        <v>0.13149450950932973</v>
      </c>
    </row>
    <row r="11" spans="1:32" x14ac:dyDescent="0.2">
      <c r="A11" s="1" t="s">
        <v>21</v>
      </c>
      <c r="B11" s="2" t="str">
        <f t="shared" si="2"/>
        <v>J</v>
      </c>
      <c r="C11" s="1">
        <f t="shared" si="3"/>
        <v>0</v>
      </c>
      <c r="D11" s="1"/>
      <c r="E11" s="7" t="s">
        <v>12</v>
      </c>
      <c r="F11" s="13" t="s">
        <v>6</v>
      </c>
      <c r="G11" s="13" t="s">
        <v>10</v>
      </c>
      <c r="H11" s="13" t="s">
        <v>10</v>
      </c>
      <c r="I11" s="13" t="s">
        <v>4</v>
      </c>
      <c r="J11" s="13" t="s">
        <v>14</v>
      </c>
      <c r="K11" s="13" t="s">
        <v>1</v>
      </c>
      <c r="L11" s="13" t="s">
        <v>5</v>
      </c>
      <c r="M11" s="13" t="s">
        <v>11</v>
      </c>
      <c r="N11" s="13" t="s">
        <v>1</v>
      </c>
      <c r="O11" s="13" t="s">
        <v>15</v>
      </c>
      <c r="P11" s="13" t="s">
        <v>20</v>
      </c>
      <c r="Q11" s="13" t="s">
        <v>16</v>
      </c>
      <c r="R11" s="13" t="s">
        <v>12</v>
      </c>
      <c r="S11" s="13" t="s">
        <v>1</v>
      </c>
      <c r="T11" s="13" t="s">
        <v>12</v>
      </c>
      <c r="U11" s="13" t="s">
        <v>17</v>
      </c>
      <c r="V11" s="13" t="s">
        <v>23</v>
      </c>
      <c r="W11" s="13" t="s">
        <v>1</v>
      </c>
      <c r="X11" s="13" t="s">
        <v>17</v>
      </c>
      <c r="Y11" s="13" t="s">
        <v>13</v>
      </c>
      <c r="Z11" s="13" t="s">
        <v>1</v>
      </c>
      <c r="AA11" s="12" t="s">
        <v>1</v>
      </c>
      <c r="AB11" s="14" t="s">
        <v>1</v>
      </c>
      <c r="AE11" s="1" t="s">
        <v>21</v>
      </c>
      <c r="AF11">
        <f t="shared" ca="1" si="1"/>
        <v>0.77297154352618769</v>
      </c>
    </row>
    <row r="12" spans="1:32" x14ac:dyDescent="0.2">
      <c r="A12" s="1" t="s">
        <v>22</v>
      </c>
      <c r="B12" s="2" t="str">
        <f t="shared" si="2"/>
        <v>A</v>
      </c>
      <c r="C12" s="1">
        <f t="shared" si="3"/>
        <v>2</v>
      </c>
      <c r="D12" s="1"/>
      <c r="E12" s="7" t="s">
        <v>11</v>
      </c>
      <c r="F12" s="13" t="s">
        <v>17</v>
      </c>
      <c r="G12" s="13" t="s">
        <v>14</v>
      </c>
      <c r="H12" s="13" t="s">
        <v>22</v>
      </c>
      <c r="I12" s="13" t="s">
        <v>1</v>
      </c>
      <c r="J12" s="13" t="s">
        <v>3</v>
      </c>
      <c r="K12" s="13" t="s">
        <v>1</v>
      </c>
      <c r="L12" s="13" t="s">
        <v>14</v>
      </c>
      <c r="M12" s="13" t="s">
        <v>16</v>
      </c>
      <c r="N12" s="13" t="s">
        <v>18</v>
      </c>
      <c r="O12" s="13" t="s">
        <v>20</v>
      </c>
      <c r="P12" s="13" t="s">
        <v>7</v>
      </c>
      <c r="Q12" s="13" t="s">
        <v>14</v>
      </c>
      <c r="R12" s="13" t="s">
        <v>8</v>
      </c>
      <c r="S12" s="13" t="s">
        <v>1</v>
      </c>
      <c r="T12" s="13" t="s">
        <v>15</v>
      </c>
      <c r="U12" s="13" t="s">
        <v>20</v>
      </c>
      <c r="V12" s="13" t="s">
        <v>4</v>
      </c>
      <c r="W12" s="13" t="s">
        <v>1</v>
      </c>
      <c r="X12" s="13" t="s">
        <v>15</v>
      </c>
      <c r="Y12" s="13" t="s">
        <v>20</v>
      </c>
      <c r="Z12" s="13" t="s">
        <v>16</v>
      </c>
      <c r="AA12" s="12" t="s">
        <v>14</v>
      </c>
      <c r="AB12" s="14" t="s">
        <v>8</v>
      </c>
      <c r="AE12" s="1" t="s">
        <v>7</v>
      </c>
      <c r="AF12">
        <f t="shared" ca="1" si="1"/>
        <v>0.70404015638225892</v>
      </c>
    </row>
    <row r="13" spans="1:32" x14ac:dyDescent="0.2">
      <c r="A13" s="1" t="s">
        <v>9</v>
      </c>
      <c r="B13" s="2" t="str">
        <f t="shared" si="2"/>
        <v>C</v>
      </c>
      <c r="C13" s="1">
        <f t="shared" si="3"/>
        <v>3</v>
      </c>
      <c r="D13" s="1"/>
      <c r="E13" s="7" t="s">
        <v>1</v>
      </c>
      <c r="F13" s="13" t="s">
        <v>1</v>
      </c>
      <c r="G13" s="13" t="s">
        <v>1</v>
      </c>
      <c r="H13" s="13" t="s">
        <v>1</v>
      </c>
      <c r="I13" s="13" t="s">
        <v>1</v>
      </c>
      <c r="J13" s="13" t="s">
        <v>1</v>
      </c>
      <c r="K13" s="13" t="s">
        <v>1</v>
      </c>
      <c r="L13" s="13" t="s">
        <v>1</v>
      </c>
      <c r="M13" s="13" t="s">
        <v>1</v>
      </c>
      <c r="N13" s="13" t="s">
        <v>1</v>
      </c>
      <c r="O13" s="13" t="s">
        <v>1</v>
      </c>
      <c r="P13" s="13" t="s">
        <v>1</v>
      </c>
      <c r="Q13" s="13" t="s">
        <v>1</v>
      </c>
      <c r="R13" s="13" t="s">
        <v>1</v>
      </c>
      <c r="S13" s="13" t="s">
        <v>1</v>
      </c>
      <c r="T13" s="13" t="s">
        <v>1</v>
      </c>
      <c r="U13" s="13" t="s">
        <v>1</v>
      </c>
      <c r="V13" s="13" t="s">
        <v>1</v>
      </c>
      <c r="W13" s="13" t="s">
        <v>1</v>
      </c>
      <c r="X13" s="13" t="s">
        <v>1</v>
      </c>
      <c r="Y13" s="13" t="s">
        <v>1</v>
      </c>
      <c r="Z13" s="13" t="s">
        <v>1</v>
      </c>
      <c r="AA13" s="12" t="s">
        <v>1</v>
      </c>
      <c r="AB13" s="14" t="s">
        <v>1</v>
      </c>
      <c r="AE13" s="1" t="s">
        <v>18</v>
      </c>
      <c r="AF13">
        <f t="shared" ca="1" si="1"/>
        <v>0.48378242933515492</v>
      </c>
    </row>
    <row r="14" spans="1:32" ht="13.5" thickBot="1" x14ac:dyDescent="0.25">
      <c r="A14" s="1" t="s">
        <v>10</v>
      </c>
      <c r="B14" s="2" t="str">
        <f t="shared" si="2"/>
        <v>B</v>
      </c>
      <c r="C14" s="1">
        <f t="shared" si="3"/>
        <v>4</v>
      </c>
      <c r="D14" s="1"/>
      <c r="E14" s="8" t="s">
        <v>1</v>
      </c>
      <c r="F14" s="9" t="s">
        <v>1</v>
      </c>
      <c r="G14" s="9" t="s">
        <v>1</v>
      </c>
      <c r="H14" s="9" t="s">
        <v>1</v>
      </c>
      <c r="I14" s="9" t="s">
        <v>27</v>
      </c>
      <c r="J14" s="9" t="s">
        <v>16</v>
      </c>
      <c r="K14" s="9" t="s">
        <v>9</v>
      </c>
      <c r="L14" s="9" t="s">
        <v>9</v>
      </c>
      <c r="M14" s="9" t="s">
        <v>16</v>
      </c>
      <c r="N14" s="9" t="s">
        <v>7</v>
      </c>
      <c r="O14" s="9" t="s">
        <v>10</v>
      </c>
      <c r="P14" s="9" t="s">
        <v>1</v>
      </c>
      <c r="Q14" s="9" t="s">
        <v>12</v>
      </c>
      <c r="R14" s="9" t="s">
        <v>20</v>
      </c>
      <c r="S14" s="9" t="s">
        <v>7</v>
      </c>
      <c r="T14" s="9" t="s">
        <v>22</v>
      </c>
      <c r="U14" s="9" t="s">
        <v>4</v>
      </c>
      <c r="V14" s="9" t="s">
        <v>12</v>
      </c>
      <c r="W14" s="9" t="s">
        <v>24</v>
      </c>
      <c r="X14" s="9" t="s">
        <v>4</v>
      </c>
      <c r="Y14" s="9" t="s">
        <v>7</v>
      </c>
      <c r="Z14" s="9" t="s">
        <v>14</v>
      </c>
      <c r="AA14" s="18" t="s">
        <v>4</v>
      </c>
      <c r="AB14" s="15" t="s">
        <v>1</v>
      </c>
      <c r="AE14" s="1" t="s">
        <v>5</v>
      </c>
      <c r="AF14">
        <f t="shared" ca="1" si="1"/>
        <v>0.20715918083983376</v>
      </c>
    </row>
    <row r="15" spans="1:32" x14ac:dyDescent="0.2">
      <c r="A15" s="1" t="s">
        <v>23</v>
      </c>
      <c r="B15" s="2" t="str">
        <f t="shared" si="2"/>
        <v>W</v>
      </c>
      <c r="C15" s="1">
        <f t="shared" si="3"/>
        <v>5</v>
      </c>
      <c r="D15" s="1"/>
      <c r="E15" s="10"/>
      <c r="F15" s="1"/>
      <c r="G15" s="1"/>
      <c r="H15" s="1"/>
      <c r="I15" s="1"/>
      <c r="J15" s="1"/>
      <c r="K15" s="1"/>
      <c r="L15" s="1"/>
      <c r="M15" s="1"/>
      <c r="N15" s="1"/>
      <c r="O15" s="1"/>
      <c r="P15" s="1"/>
      <c r="Q15" s="1"/>
      <c r="R15" s="1"/>
      <c r="S15" s="1"/>
      <c r="T15" s="1"/>
      <c r="U15" s="1"/>
      <c r="V15" s="1"/>
      <c r="W15" s="1"/>
      <c r="X15" s="1"/>
      <c r="Y15" s="1"/>
      <c r="Z15" s="1"/>
      <c r="AA15" s="1"/>
      <c r="AB15" s="1"/>
      <c r="AE15" s="1" t="s">
        <v>27</v>
      </c>
      <c r="AF15">
        <f t="shared" ca="1" si="1"/>
        <v>0.88155321450402258</v>
      </c>
    </row>
    <row r="16" spans="1:32" x14ac:dyDescent="0.2">
      <c r="A16" s="1" t="s">
        <v>17</v>
      </c>
      <c r="B16" s="2" t="str">
        <f t="shared" si="2"/>
        <v>O</v>
      </c>
      <c r="C16" s="1">
        <f t="shared" si="3"/>
        <v>9</v>
      </c>
      <c r="D16" s="1"/>
      <c r="E16" s="1"/>
      <c r="F16" s="1"/>
      <c r="G16" s="1"/>
      <c r="H16" s="1"/>
      <c r="I16" s="1"/>
      <c r="J16" s="1"/>
      <c r="K16" s="1"/>
      <c r="L16" s="1"/>
      <c r="M16" s="1"/>
      <c r="N16" s="1"/>
      <c r="O16" s="1"/>
      <c r="P16" s="1"/>
      <c r="Q16" s="1"/>
      <c r="R16" s="1"/>
      <c r="S16" s="1"/>
      <c r="T16" s="1"/>
      <c r="U16" s="1"/>
      <c r="V16" s="1"/>
      <c r="W16" s="1"/>
      <c r="X16" s="1"/>
      <c r="Y16" s="1"/>
      <c r="Z16" s="1"/>
      <c r="AA16" s="1"/>
      <c r="AB16" s="1"/>
      <c r="AE16" s="1" t="s">
        <v>17</v>
      </c>
      <c r="AF16">
        <f t="shared" ca="1" si="1"/>
        <v>0.81573510933308768</v>
      </c>
    </row>
    <row r="17" spans="1:32" x14ac:dyDescent="0.2">
      <c r="A17" s="1" t="s">
        <v>24</v>
      </c>
      <c r="B17" s="2" t="str">
        <f t="shared" si="2"/>
        <v>L</v>
      </c>
      <c r="C17" s="1">
        <f t="shared" si="3"/>
        <v>1</v>
      </c>
      <c r="D17" s="1"/>
      <c r="E17" s="3" t="str">
        <f>LOOKUP(E18,$A$1:$B$30)</f>
        <v>W</v>
      </c>
      <c r="F17" s="3" t="str">
        <f t="shared" ref="F17:AB17" si="6">LOOKUP(F18,$A$1:$B$30)</f>
        <v>O</v>
      </c>
      <c r="G17" s="3" t="str">
        <f t="shared" si="6"/>
        <v>H</v>
      </c>
      <c r="H17" s="3" t="e">
        <f t="shared" si="6"/>
        <v>#N/A</v>
      </c>
      <c r="I17" s="3" t="str">
        <f t="shared" si="6"/>
        <v>R</v>
      </c>
      <c r="J17" s="3" t="str">
        <f t="shared" si="6"/>
        <v>T</v>
      </c>
      <c r="K17" s="3" t="e">
        <f t="shared" si="6"/>
        <v>#N/A</v>
      </c>
      <c r="L17" s="3" t="str">
        <f t="shared" si="6"/>
        <v>S</v>
      </c>
      <c r="M17" s="3" t="str">
        <f t="shared" si="6"/>
        <v>M</v>
      </c>
      <c r="N17" s="3" t="str">
        <f t="shared" si="6"/>
        <v>Z</v>
      </c>
      <c r="O17" s="3" t="e">
        <f t="shared" si="6"/>
        <v>#N/A</v>
      </c>
      <c r="P17" s="3" t="str">
        <f t="shared" si="6"/>
        <v>H</v>
      </c>
      <c r="Q17" s="3" t="str">
        <f t="shared" si="6"/>
        <v>R</v>
      </c>
      <c r="R17" s="3" t="str">
        <f t="shared" si="6"/>
        <v>W</v>
      </c>
      <c r="S17" s="3" t="str">
        <f t="shared" si="6"/>
        <v>S</v>
      </c>
      <c r="T17" s="3" t="str">
        <f t="shared" si="6"/>
        <v>Z</v>
      </c>
      <c r="U17" s="3" t="str">
        <f t="shared" si="6"/>
        <v>U</v>
      </c>
      <c r="V17" s="3" t="e">
        <f t="shared" si="6"/>
        <v>#N/A</v>
      </c>
      <c r="W17" s="3" t="str">
        <f t="shared" si="6"/>
        <v>O</v>
      </c>
      <c r="X17" s="3" t="str">
        <f t="shared" si="6"/>
        <v>X</v>
      </c>
      <c r="Y17" s="3" t="e">
        <f t="shared" si="6"/>
        <v>#N/A</v>
      </c>
      <c r="Z17" s="3" t="str">
        <f t="shared" si="6"/>
        <v>O</v>
      </c>
      <c r="AA17" s="3" t="str">
        <f t="shared" si="6"/>
        <v>K</v>
      </c>
      <c r="AB17" s="3" t="str">
        <f t="shared" si="6"/>
        <v>U</v>
      </c>
      <c r="AE17" s="1" t="s">
        <v>9</v>
      </c>
      <c r="AF17">
        <f t="shared" ca="1" si="1"/>
        <v>0.7211375532051677</v>
      </c>
    </row>
    <row r="18" spans="1:32" x14ac:dyDescent="0.2">
      <c r="A18" s="1" t="s">
        <v>25</v>
      </c>
      <c r="B18" s="2" t="str">
        <f t="shared" si="2"/>
        <v>P</v>
      </c>
      <c r="C18" s="1">
        <f t="shared" si="3"/>
        <v>0</v>
      </c>
      <c r="D18" s="1"/>
      <c r="E18" s="1" t="str">
        <f t="shared" ref="E18:AA18" si="7">E9</f>
        <v>N</v>
      </c>
      <c r="F18" s="1" t="str">
        <f t="shared" si="7"/>
        <v>O</v>
      </c>
      <c r="G18" s="1" t="str">
        <f t="shared" si="7"/>
        <v>W</v>
      </c>
      <c r="H18" s="1" t="str">
        <f t="shared" si="7"/>
        <v xml:space="preserve"> </v>
      </c>
      <c r="I18" s="1" t="str">
        <f t="shared" si="7"/>
        <v>I</v>
      </c>
      <c r="J18" s="1" t="str">
        <f t="shared" si="7"/>
        <v>S</v>
      </c>
      <c r="K18" s="1" t="str">
        <f t="shared" si="7"/>
        <v xml:space="preserve"> </v>
      </c>
      <c r="L18" s="1" t="str">
        <f t="shared" si="7"/>
        <v>T</v>
      </c>
      <c r="M18" s="1" t="str">
        <f t="shared" si="7"/>
        <v>H</v>
      </c>
      <c r="N18" s="1" t="str">
        <f t="shared" si="7"/>
        <v>E</v>
      </c>
      <c r="O18" s="1" t="str">
        <f t="shared" si="7"/>
        <v xml:space="preserve"> </v>
      </c>
      <c r="P18" s="1" t="str">
        <f t="shared" si="7"/>
        <v>W</v>
      </c>
      <c r="Q18" s="1" t="str">
        <f t="shared" si="7"/>
        <v>I</v>
      </c>
      <c r="R18" s="1" t="str">
        <f t="shared" si="7"/>
        <v>N</v>
      </c>
      <c r="S18" s="1" t="str">
        <f t="shared" si="7"/>
        <v>T</v>
      </c>
      <c r="T18" s="1" t="str">
        <f t="shared" si="7"/>
        <v>E</v>
      </c>
      <c r="U18" s="1" t="str">
        <f t="shared" si="7"/>
        <v>R</v>
      </c>
      <c r="V18" s="1" t="str">
        <f t="shared" si="7"/>
        <v xml:space="preserve"> </v>
      </c>
      <c r="W18" s="1" t="str">
        <f t="shared" si="7"/>
        <v>O</v>
      </c>
      <c r="X18" s="1" t="str">
        <f t="shared" si="7"/>
        <v>F</v>
      </c>
      <c r="Y18" s="1" t="str">
        <f t="shared" si="7"/>
        <v xml:space="preserve"> </v>
      </c>
      <c r="Z18" s="1" t="str">
        <f t="shared" si="7"/>
        <v>O</v>
      </c>
      <c r="AA18" s="1" t="str">
        <f t="shared" si="7"/>
        <v>U</v>
      </c>
      <c r="AB18" s="1" t="str">
        <f>AB9</f>
        <v>R</v>
      </c>
      <c r="AE18" s="1" t="s">
        <v>24</v>
      </c>
      <c r="AF18">
        <f t="shared" ca="1" si="1"/>
        <v>0.40786818160341853</v>
      </c>
    </row>
    <row r="19" spans="1:32" x14ac:dyDescent="0.2">
      <c r="A19" s="1" t="s">
        <v>14</v>
      </c>
      <c r="B19" s="2" t="str">
        <f t="shared" si="2"/>
        <v>U</v>
      </c>
      <c r="C19" s="1">
        <f t="shared" si="3"/>
        <v>7</v>
      </c>
      <c r="D19" s="1"/>
      <c r="E19" s="1"/>
      <c r="F19" s="1"/>
      <c r="G19" s="1"/>
      <c r="H19" s="1"/>
      <c r="I19" s="1"/>
      <c r="J19" s="1"/>
      <c r="K19" s="1"/>
      <c r="L19" s="1"/>
      <c r="M19" s="1"/>
      <c r="N19" s="1"/>
      <c r="O19" s="1"/>
      <c r="P19" s="1"/>
      <c r="Q19" s="1"/>
      <c r="R19" s="1"/>
      <c r="S19" s="1"/>
      <c r="T19" s="1"/>
      <c r="U19" s="1"/>
      <c r="V19" s="1"/>
      <c r="W19" s="1"/>
      <c r="X19" s="1"/>
      <c r="Y19" s="1"/>
      <c r="Z19" s="1"/>
      <c r="AA19" s="1"/>
      <c r="AB19" s="1"/>
      <c r="AE19" s="1" t="s">
        <v>6</v>
      </c>
      <c r="AF19">
        <f t="shared" ca="1" si="1"/>
        <v>0.96416277073516155</v>
      </c>
    </row>
    <row r="20" spans="1:32" x14ac:dyDescent="0.2">
      <c r="A20" s="1" t="s">
        <v>12</v>
      </c>
      <c r="B20" s="2" t="str">
        <f t="shared" si="2"/>
        <v>T</v>
      </c>
      <c r="C20" s="1">
        <f t="shared" si="3"/>
        <v>7</v>
      </c>
      <c r="D20" s="1"/>
      <c r="E20" s="3" t="str">
        <f t="shared" ref="E20:AB20" si="8">LOOKUP(E21,$A$1:$B$30)</f>
        <v>V</v>
      </c>
      <c r="F20" s="3" t="str">
        <f t="shared" si="8"/>
        <v>R</v>
      </c>
      <c r="G20" s="3" t="str">
        <f t="shared" si="8"/>
        <v>T</v>
      </c>
      <c r="H20" s="3" t="str">
        <f t="shared" si="8"/>
        <v>E</v>
      </c>
      <c r="I20" s="3" t="str">
        <f t="shared" si="8"/>
        <v>O</v>
      </c>
      <c r="J20" s="3" t="str">
        <f t="shared" si="8"/>
        <v>W</v>
      </c>
      <c r="K20" s="3" t="str">
        <f t="shared" si="8"/>
        <v>S</v>
      </c>
      <c r="L20" s="3" t="str">
        <f t="shared" si="8"/>
        <v>Z</v>
      </c>
      <c r="M20" s="3" t="str">
        <f t="shared" si="8"/>
        <v>W</v>
      </c>
      <c r="N20" s="3" t="str">
        <f t="shared" si="8"/>
        <v>S</v>
      </c>
      <c r="O20" s="3" t="e">
        <f t="shared" si="8"/>
        <v>#N/A</v>
      </c>
      <c r="P20" s="3" t="str">
        <f t="shared" si="8"/>
        <v>B</v>
      </c>
      <c r="Q20" s="3" t="e">
        <f t="shared" si="8"/>
        <v>#N/A</v>
      </c>
      <c r="R20" s="3" t="str">
        <f t="shared" si="8"/>
        <v>V</v>
      </c>
      <c r="S20" s="3" t="str">
        <f t="shared" si="8"/>
        <v>Z</v>
      </c>
      <c r="T20" s="3" t="e">
        <f t="shared" si="8"/>
        <v>#N/A</v>
      </c>
      <c r="U20" s="3" t="str">
        <f t="shared" si="8"/>
        <v>I</v>
      </c>
      <c r="V20" s="3" t="str">
        <f t="shared" si="8"/>
        <v>C</v>
      </c>
      <c r="W20" s="3" t="str">
        <f t="shared" si="8"/>
        <v>O</v>
      </c>
      <c r="X20" s="3" t="str">
        <f t="shared" si="8"/>
        <v>U</v>
      </c>
      <c r="Y20" s="3" t="str">
        <f t="shared" si="8"/>
        <v>R</v>
      </c>
      <c r="Z20" s="3" t="str">
        <f t="shared" si="8"/>
        <v>O</v>
      </c>
      <c r="AA20" s="3" t="str">
        <f t="shared" si="8"/>
        <v>K</v>
      </c>
      <c r="AB20" s="3" t="str">
        <f t="shared" si="8"/>
        <v>T</v>
      </c>
      <c r="AE20" s="1" t="s">
        <v>15</v>
      </c>
      <c r="AF20">
        <f t="shared" ca="1" si="1"/>
        <v>0.52163235577941025</v>
      </c>
    </row>
    <row r="21" spans="1:32" x14ac:dyDescent="0.2">
      <c r="A21" s="1" t="s">
        <v>15</v>
      </c>
      <c r="B21" s="2" t="str">
        <f t="shared" si="2"/>
        <v>S</v>
      </c>
      <c r="C21" s="1">
        <f t="shared" si="3"/>
        <v>7</v>
      </c>
      <c r="D21" s="1"/>
      <c r="E21" s="1" t="str">
        <f t="shared" ref="E21:AA21" si="9">E10</f>
        <v>D</v>
      </c>
      <c r="F21" s="1" t="str">
        <f t="shared" si="9"/>
        <v>I</v>
      </c>
      <c r="G21" s="1" t="str">
        <f t="shared" si="9"/>
        <v>S</v>
      </c>
      <c r="H21" s="1" t="str">
        <f t="shared" si="9"/>
        <v>C</v>
      </c>
      <c r="I21" s="1" t="str">
        <f t="shared" si="9"/>
        <v>O</v>
      </c>
      <c r="J21" s="1" t="str">
        <f t="shared" si="9"/>
        <v>N</v>
      </c>
      <c r="K21" s="1" t="str">
        <f t="shared" si="9"/>
        <v>T</v>
      </c>
      <c r="L21" s="1" t="str">
        <f t="shared" si="9"/>
        <v>E</v>
      </c>
      <c r="M21" s="1" t="str">
        <f t="shared" si="9"/>
        <v>N</v>
      </c>
      <c r="N21" s="1" t="str">
        <f t="shared" si="9"/>
        <v>T</v>
      </c>
      <c r="O21" s="1" t="str">
        <f t="shared" si="9"/>
        <v xml:space="preserve"> </v>
      </c>
      <c r="P21" s="1" t="str">
        <f t="shared" si="9"/>
        <v>M</v>
      </c>
      <c r="Q21" s="1" t="str">
        <f t="shared" si="9"/>
        <v>A</v>
      </c>
      <c r="R21" s="1" t="str">
        <f t="shared" si="9"/>
        <v>D</v>
      </c>
      <c r="S21" s="1" t="str">
        <f t="shared" si="9"/>
        <v>E</v>
      </c>
      <c r="T21" s="1" t="str">
        <f t="shared" si="9"/>
        <v xml:space="preserve"> </v>
      </c>
      <c r="U21" s="1" t="str">
        <f t="shared" si="9"/>
        <v>G</v>
      </c>
      <c r="V21" s="1" t="str">
        <f t="shared" si="9"/>
        <v>L</v>
      </c>
      <c r="W21" s="1" t="str">
        <f t="shared" si="9"/>
        <v>O</v>
      </c>
      <c r="X21" s="1" t="str">
        <f t="shared" si="9"/>
        <v>R</v>
      </c>
      <c r="Y21" s="1" t="str">
        <f t="shared" si="9"/>
        <v>I</v>
      </c>
      <c r="Z21" s="1" t="str">
        <f t="shared" si="9"/>
        <v>O</v>
      </c>
      <c r="AA21" s="1" t="str">
        <f t="shared" si="9"/>
        <v>U</v>
      </c>
      <c r="AB21" s="1" t="str">
        <f>AB10</f>
        <v>S</v>
      </c>
      <c r="AE21" s="1" t="s">
        <v>12</v>
      </c>
      <c r="AF21">
        <f t="shared" ca="1" si="1"/>
        <v>0.83525671824296199</v>
      </c>
    </row>
    <row r="22" spans="1:32" x14ac:dyDescent="0.2">
      <c r="A22" s="1" t="s">
        <v>6</v>
      </c>
      <c r="B22" s="2" t="str">
        <f t="shared" si="2"/>
        <v>K</v>
      </c>
      <c r="C22" s="1">
        <f t="shared" si="3"/>
        <v>1</v>
      </c>
      <c r="D22" s="1"/>
      <c r="E22" s="1"/>
      <c r="F22" s="1"/>
      <c r="G22" s="1"/>
      <c r="H22" s="1"/>
      <c r="I22" s="1"/>
      <c r="J22" s="1"/>
      <c r="K22" s="1"/>
      <c r="L22" s="1"/>
      <c r="M22" s="1"/>
      <c r="N22" s="1"/>
      <c r="O22" s="1"/>
      <c r="P22" s="1"/>
      <c r="Q22" s="1"/>
      <c r="R22" s="1"/>
      <c r="S22" s="1"/>
      <c r="T22" s="1"/>
      <c r="U22" s="1"/>
      <c r="V22" s="1"/>
      <c r="W22" s="1"/>
      <c r="X22" s="1"/>
      <c r="Y22" s="1"/>
      <c r="Z22" s="1"/>
      <c r="AA22" s="1"/>
      <c r="AB22" s="1"/>
      <c r="AE22" s="1" t="s">
        <v>22</v>
      </c>
      <c r="AF22">
        <f t="shared" ca="1" si="1"/>
        <v>0.53500536992172076</v>
      </c>
    </row>
    <row r="23" spans="1:32" x14ac:dyDescent="0.2">
      <c r="A23" s="1" t="s">
        <v>26</v>
      </c>
      <c r="B23" s="2" t="str">
        <f t="shared" si="2"/>
        <v>Y</v>
      </c>
      <c r="C23" s="1">
        <f t="shared" si="3"/>
        <v>0</v>
      </c>
      <c r="D23" s="1"/>
      <c r="E23" s="3" t="str">
        <f t="shared" ref="E23:AB23" si="10">LOOKUP(E24,$A$1:$B$30)</f>
        <v>T</v>
      </c>
      <c r="F23" s="3" t="str">
        <f t="shared" si="10"/>
        <v>K</v>
      </c>
      <c r="G23" s="3" t="str">
        <f t="shared" si="10"/>
        <v>B</v>
      </c>
      <c r="H23" s="3" t="str">
        <f t="shared" si="10"/>
        <v>B</v>
      </c>
      <c r="I23" s="3" t="str">
        <f t="shared" si="10"/>
        <v>Z</v>
      </c>
      <c r="J23" s="3" t="str">
        <f t="shared" si="10"/>
        <v>U</v>
      </c>
      <c r="K23" s="3" t="e">
        <f t="shared" si="10"/>
        <v>#N/A</v>
      </c>
      <c r="L23" s="3" t="str">
        <f t="shared" si="10"/>
        <v>G</v>
      </c>
      <c r="M23" s="3" t="str">
        <f t="shared" si="10"/>
        <v>D</v>
      </c>
      <c r="N23" s="3" t="e">
        <f t="shared" si="10"/>
        <v>#N/A</v>
      </c>
      <c r="O23" s="3" t="str">
        <f t="shared" si="10"/>
        <v>S</v>
      </c>
      <c r="P23" s="3" t="str">
        <f t="shared" si="10"/>
        <v>M</v>
      </c>
      <c r="Q23" s="3" t="str">
        <f t="shared" si="10"/>
        <v>R</v>
      </c>
      <c r="R23" s="3" t="str">
        <f t="shared" si="10"/>
        <v>T</v>
      </c>
      <c r="S23" s="3" t="e">
        <f t="shared" si="10"/>
        <v>#N/A</v>
      </c>
      <c r="T23" s="3" t="str">
        <f t="shared" si="10"/>
        <v>T</v>
      </c>
      <c r="U23" s="3" t="str">
        <f t="shared" si="10"/>
        <v>O</v>
      </c>
      <c r="V23" s="3" t="str">
        <f t="shared" si="10"/>
        <v>W</v>
      </c>
      <c r="W23" s="3" t="e">
        <f t="shared" si="10"/>
        <v>#N/A</v>
      </c>
      <c r="X23" s="3" t="str">
        <f t="shared" si="10"/>
        <v>O</v>
      </c>
      <c r="Y23" s="3" t="str">
        <f t="shared" si="10"/>
        <v>X</v>
      </c>
      <c r="Z23" s="3" t="e">
        <f t="shared" si="10"/>
        <v>#N/A</v>
      </c>
      <c r="AA23" s="3" t="e">
        <f t="shared" si="10"/>
        <v>#N/A</v>
      </c>
      <c r="AB23" s="3" t="e">
        <f t="shared" si="10"/>
        <v>#N/A</v>
      </c>
      <c r="AE23" s="1" t="s">
        <v>11</v>
      </c>
      <c r="AF23">
        <f t="shared" ca="1" si="1"/>
        <v>0.12661457635217166</v>
      </c>
    </row>
    <row r="24" spans="1:32" x14ac:dyDescent="0.2">
      <c r="A24" s="1" t="s">
        <v>27</v>
      </c>
      <c r="B24" s="2" t="str">
        <f t="shared" si="2"/>
        <v>H</v>
      </c>
      <c r="C24" s="1">
        <f t="shared" si="3"/>
        <v>3</v>
      </c>
      <c r="D24" s="1"/>
      <c r="E24" s="1" t="str">
        <f t="shared" ref="E24:AA24" si="11">E11</f>
        <v>S</v>
      </c>
      <c r="F24" s="1" t="str">
        <f t="shared" si="11"/>
        <v>U</v>
      </c>
      <c r="G24" s="1" t="str">
        <f t="shared" si="11"/>
        <v>M</v>
      </c>
      <c r="H24" s="1" t="str">
        <f t="shared" si="11"/>
        <v>M</v>
      </c>
      <c r="I24" s="1" t="str">
        <f t="shared" si="11"/>
        <v>E</v>
      </c>
      <c r="J24" s="1" t="str">
        <f t="shared" si="11"/>
        <v>R</v>
      </c>
      <c r="K24" s="1" t="str">
        <f t="shared" si="11"/>
        <v xml:space="preserve"> </v>
      </c>
      <c r="L24" s="1" t="str">
        <f t="shared" si="11"/>
        <v>B</v>
      </c>
      <c r="M24" s="1" t="str">
        <f t="shared" si="11"/>
        <v>Y</v>
      </c>
      <c r="N24" s="1" t="str">
        <f t="shared" si="11"/>
        <v xml:space="preserve"> </v>
      </c>
      <c r="O24" s="1" t="str">
        <f t="shared" si="11"/>
        <v>T</v>
      </c>
      <c r="P24" s="1" t="str">
        <f t="shared" si="11"/>
        <v>H</v>
      </c>
      <c r="Q24" s="1" t="str">
        <f t="shared" si="11"/>
        <v>I</v>
      </c>
      <c r="R24" s="1" t="str">
        <f t="shared" si="11"/>
        <v>S</v>
      </c>
      <c r="S24" s="1" t="str">
        <f t="shared" si="11"/>
        <v xml:space="preserve"> </v>
      </c>
      <c r="T24" s="1" t="str">
        <f t="shared" si="11"/>
        <v>S</v>
      </c>
      <c r="U24" s="1" t="str">
        <f t="shared" si="11"/>
        <v>O</v>
      </c>
      <c r="V24" s="1" t="str">
        <f t="shared" si="11"/>
        <v>N</v>
      </c>
      <c r="W24" s="1" t="str">
        <f t="shared" si="11"/>
        <v xml:space="preserve"> </v>
      </c>
      <c r="X24" s="1" t="str">
        <f t="shared" si="11"/>
        <v>O</v>
      </c>
      <c r="Y24" s="1" t="str">
        <f t="shared" si="11"/>
        <v>F</v>
      </c>
      <c r="Z24" s="1" t="str">
        <f t="shared" si="11"/>
        <v xml:space="preserve"> </v>
      </c>
      <c r="AA24" s="1" t="str">
        <f t="shared" si="11"/>
        <v xml:space="preserve"> </v>
      </c>
      <c r="AB24" s="1" t="str">
        <f>AB11</f>
        <v xml:space="preserve"> </v>
      </c>
      <c r="AE24" s="1" t="s">
        <v>20</v>
      </c>
      <c r="AF24">
        <f t="shared" ca="1" si="1"/>
        <v>3.4474517225334123E-2</v>
      </c>
    </row>
    <row r="25" spans="1:32" x14ac:dyDescent="0.2">
      <c r="A25" s="1" t="s">
        <v>28</v>
      </c>
      <c r="B25" s="2" t="str">
        <f t="shared" si="2"/>
        <v>F</v>
      </c>
      <c r="C25" s="1">
        <f t="shared" si="3"/>
        <v>0</v>
      </c>
      <c r="D25" s="1"/>
      <c r="E25" s="1"/>
      <c r="F25" s="1"/>
      <c r="G25" s="1"/>
      <c r="H25" s="1"/>
      <c r="I25" s="1"/>
      <c r="J25" s="1"/>
      <c r="K25" s="1"/>
      <c r="L25" s="1"/>
      <c r="M25" s="1"/>
      <c r="N25" s="1"/>
      <c r="O25" s="1"/>
      <c r="P25" s="1"/>
      <c r="Q25" s="1"/>
      <c r="R25" s="1"/>
      <c r="S25" s="1"/>
      <c r="T25" s="1"/>
      <c r="U25" s="1"/>
      <c r="V25" s="1"/>
      <c r="W25" s="1"/>
      <c r="X25" s="1"/>
      <c r="Y25" s="1"/>
      <c r="Z25" s="1"/>
      <c r="AA25" s="1"/>
      <c r="AB25" s="1"/>
      <c r="AE25" s="1" t="s">
        <v>13</v>
      </c>
      <c r="AF25">
        <f t="shared" ca="1" si="1"/>
        <v>0.11916082383327053</v>
      </c>
    </row>
    <row r="26" spans="1:32" x14ac:dyDescent="0.2">
      <c r="A26" s="1" t="s">
        <v>11</v>
      </c>
      <c r="B26" s="2" t="str">
        <f t="shared" si="2"/>
        <v>D</v>
      </c>
      <c r="C26" s="1">
        <f t="shared" si="3"/>
        <v>2</v>
      </c>
      <c r="D26" s="1"/>
      <c r="E26" s="3" t="str">
        <f t="shared" ref="E26:AB26" si="12">LOOKUP(E27,$A$1:$B$30)</f>
        <v>D</v>
      </c>
      <c r="F26" s="3" t="str">
        <f t="shared" si="12"/>
        <v>O</v>
      </c>
      <c r="G26" s="3" t="str">
        <f t="shared" si="12"/>
        <v>U</v>
      </c>
      <c r="H26" s="3" t="str">
        <f t="shared" si="12"/>
        <v>A</v>
      </c>
      <c r="I26" s="3" t="e">
        <f t="shared" si="12"/>
        <v>#N/A</v>
      </c>
      <c r="J26" s="3" t="e">
        <f t="shared" si="12"/>
        <v>#N/A</v>
      </c>
      <c r="K26" s="3" t="e">
        <f t="shared" si="12"/>
        <v>#N/A</v>
      </c>
      <c r="L26" s="3" t="str">
        <f t="shared" si="12"/>
        <v>U</v>
      </c>
      <c r="M26" s="3" t="str">
        <f t="shared" si="12"/>
        <v>R</v>
      </c>
      <c r="N26" s="3" t="str">
        <f t="shared" si="12"/>
        <v>E</v>
      </c>
      <c r="O26" s="3" t="str">
        <f t="shared" si="12"/>
        <v>M</v>
      </c>
      <c r="P26" s="3" t="e">
        <f t="shared" si="12"/>
        <v>#N/A</v>
      </c>
      <c r="Q26" s="3" t="str">
        <f t="shared" si="12"/>
        <v>U</v>
      </c>
      <c r="R26" s="3" t="str">
        <f t="shared" si="12"/>
        <v>V</v>
      </c>
      <c r="S26" s="3" t="e">
        <f t="shared" si="12"/>
        <v>#N/A</v>
      </c>
      <c r="T26" s="3" t="str">
        <f t="shared" si="12"/>
        <v>S</v>
      </c>
      <c r="U26" s="3" t="str">
        <f t="shared" si="12"/>
        <v>M</v>
      </c>
      <c r="V26" s="3" t="str">
        <f t="shared" si="12"/>
        <v>Z</v>
      </c>
      <c r="W26" s="3" t="e">
        <f t="shared" si="12"/>
        <v>#N/A</v>
      </c>
      <c r="X26" s="3" t="str">
        <f t="shared" si="12"/>
        <v>S</v>
      </c>
      <c r="Y26" s="3" t="str">
        <f t="shared" si="12"/>
        <v>M</v>
      </c>
      <c r="Z26" s="3" t="str">
        <f t="shared" si="12"/>
        <v>R</v>
      </c>
      <c r="AA26" s="3" t="str">
        <f t="shared" si="12"/>
        <v>U</v>
      </c>
      <c r="AB26" s="3" t="str">
        <f t="shared" si="12"/>
        <v>V</v>
      </c>
      <c r="AE26" s="1" t="s">
        <v>8</v>
      </c>
      <c r="AF26">
        <f t="shared" ca="1" si="1"/>
        <v>0.87227073112320441</v>
      </c>
    </row>
    <row r="27" spans="1:32" x14ac:dyDescent="0.2">
      <c r="A27" s="1" t="s">
        <v>29</v>
      </c>
      <c r="B27" s="2" t="str">
        <f t="shared" si="2"/>
        <v>Q</v>
      </c>
      <c r="C27" s="1">
        <f t="shared" si="3"/>
        <v>0</v>
      </c>
      <c r="D27" s="1"/>
      <c r="E27" s="1" t="str">
        <f t="shared" ref="E27:AA27" si="13">E12</f>
        <v>Y</v>
      </c>
      <c r="F27" s="1" t="str">
        <f t="shared" si="13"/>
        <v>O</v>
      </c>
      <c r="G27" s="1" t="str">
        <f t="shared" si="13"/>
        <v>R</v>
      </c>
      <c r="H27" s="1" t="str">
        <f t="shared" si="13"/>
        <v>K</v>
      </c>
      <c r="I27" s="1" t="str">
        <f t="shared" si="13"/>
        <v xml:space="preserve"> </v>
      </c>
      <c r="J27" s="1" t="str">
        <f t="shared" si="13"/>
        <v>-</v>
      </c>
      <c r="K27" s="1" t="str">
        <f t="shared" si="13"/>
        <v xml:space="preserve"> </v>
      </c>
      <c r="L27" s="1" t="str">
        <f t="shared" si="13"/>
        <v>R</v>
      </c>
      <c r="M27" s="1" t="str">
        <f t="shared" si="13"/>
        <v>I</v>
      </c>
      <c r="N27" s="1" t="str">
        <f t="shared" si="13"/>
        <v>C</v>
      </c>
      <c r="O27" s="1" t="str">
        <f t="shared" si="13"/>
        <v>H</v>
      </c>
      <c r="P27" s="1" t="str">
        <f t="shared" si="13"/>
        <v>A</v>
      </c>
      <c r="Q27" s="1" t="str">
        <f t="shared" si="13"/>
        <v>R</v>
      </c>
      <c r="R27" s="1" t="str">
        <f t="shared" si="13"/>
        <v>D</v>
      </c>
      <c r="S27" s="1" t="str">
        <f t="shared" si="13"/>
        <v xml:space="preserve"> </v>
      </c>
      <c r="T27" s="1" t="str">
        <f t="shared" si="13"/>
        <v>T</v>
      </c>
      <c r="U27" s="1" t="str">
        <f t="shared" si="13"/>
        <v>H</v>
      </c>
      <c r="V27" s="1" t="str">
        <f t="shared" si="13"/>
        <v>E</v>
      </c>
      <c r="W27" s="1" t="str">
        <f t="shared" si="13"/>
        <v xml:space="preserve"> </v>
      </c>
      <c r="X27" s="1" t="str">
        <f t="shared" si="13"/>
        <v>T</v>
      </c>
      <c r="Y27" s="1" t="str">
        <f t="shared" si="13"/>
        <v>H</v>
      </c>
      <c r="Z27" s="1" t="str">
        <f t="shared" si="13"/>
        <v>I</v>
      </c>
      <c r="AA27" s="1" t="str">
        <f t="shared" si="13"/>
        <v>R</v>
      </c>
      <c r="AB27" s="1" t="str">
        <f>AB12</f>
        <v>D</v>
      </c>
      <c r="AE27" s="1" t="s">
        <v>25</v>
      </c>
      <c r="AF27">
        <f t="shared" ca="1" si="1"/>
        <v>0.37975378151098171</v>
      </c>
    </row>
    <row r="28" spans="1:32" x14ac:dyDescent="0.2">
      <c r="A28" s="1" t="s">
        <v>2</v>
      </c>
      <c r="B28" s="1" t="s">
        <v>2</v>
      </c>
      <c r="C28" s="1"/>
      <c r="D28" s="1"/>
      <c r="E28" s="1"/>
      <c r="F28" s="1"/>
      <c r="G28" s="1"/>
      <c r="H28" s="1"/>
      <c r="I28" s="1"/>
      <c r="J28" s="1"/>
      <c r="K28" s="1"/>
      <c r="L28" s="1"/>
      <c r="M28" s="1"/>
      <c r="N28" s="1"/>
      <c r="O28" s="1"/>
      <c r="P28" s="1"/>
      <c r="Q28" s="1"/>
      <c r="R28" s="1"/>
      <c r="S28" s="1"/>
      <c r="T28" s="1"/>
      <c r="U28" s="1"/>
      <c r="V28" s="1"/>
      <c r="W28" s="1"/>
      <c r="X28" s="1"/>
      <c r="Y28" s="1"/>
      <c r="Z28" s="1"/>
      <c r="AA28" s="1"/>
      <c r="AB28" s="1"/>
    </row>
    <row r="29" spans="1:32" x14ac:dyDescent="0.2">
      <c r="A29" s="1" t="s">
        <v>0</v>
      </c>
      <c r="B29" s="1" t="s">
        <v>0</v>
      </c>
      <c r="C29" s="1"/>
      <c r="D29" s="1"/>
      <c r="E29" s="3" t="e">
        <f t="shared" ref="E29:AA29" si="14">LOOKUP(E30,$A$1:$B$30)</f>
        <v>#N/A</v>
      </c>
      <c r="F29" s="3" t="e">
        <f t="shared" si="14"/>
        <v>#N/A</v>
      </c>
      <c r="G29" s="3" t="e">
        <f t="shared" si="14"/>
        <v>#N/A</v>
      </c>
      <c r="H29" s="3" t="e">
        <f t="shared" si="14"/>
        <v>#N/A</v>
      </c>
      <c r="I29" s="3" t="e">
        <f t="shared" si="14"/>
        <v>#N/A</v>
      </c>
      <c r="J29" s="3" t="e">
        <f t="shared" si="14"/>
        <v>#N/A</v>
      </c>
      <c r="K29" s="3" t="e">
        <f t="shared" si="14"/>
        <v>#N/A</v>
      </c>
      <c r="L29" s="3" t="e">
        <f t="shared" si="14"/>
        <v>#N/A</v>
      </c>
      <c r="M29" s="3" t="e">
        <f t="shared" si="14"/>
        <v>#N/A</v>
      </c>
      <c r="N29" s="3" t="e">
        <f t="shared" si="14"/>
        <v>#N/A</v>
      </c>
      <c r="O29" s="3" t="e">
        <f t="shared" si="14"/>
        <v>#N/A</v>
      </c>
      <c r="P29" s="3" t="e">
        <f t="shared" si="14"/>
        <v>#N/A</v>
      </c>
      <c r="Q29" s="3" t="e">
        <f t="shared" si="14"/>
        <v>#N/A</v>
      </c>
      <c r="R29" s="3" t="e">
        <f t="shared" si="14"/>
        <v>#N/A</v>
      </c>
      <c r="S29" s="3" t="e">
        <f t="shared" si="14"/>
        <v>#N/A</v>
      </c>
      <c r="T29" s="3" t="e">
        <f t="shared" si="14"/>
        <v>#N/A</v>
      </c>
      <c r="U29" s="3" t="e">
        <f t="shared" si="14"/>
        <v>#N/A</v>
      </c>
      <c r="V29" s="3" t="e">
        <f t="shared" si="14"/>
        <v>#N/A</v>
      </c>
      <c r="W29" s="3" t="e">
        <f t="shared" si="14"/>
        <v>#N/A</v>
      </c>
      <c r="X29" s="3" t="e">
        <f t="shared" si="14"/>
        <v>#N/A</v>
      </c>
      <c r="Y29" s="3" t="e">
        <f t="shared" si="14"/>
        <v>#N/A</v>
      </c>
      <c r="Z29" s="3" t="e">
        <f t="shared" si="14"/>
        <v>#N/A</v>
      </c>
      <c r="AA29" s="3" t="e">
        <f t="shared" si="14"/>
        <v>#N/A</v>
      </c>
      <c r="AB29" s="1"/>
    </row>
    <row r="30" spans="1:32" x14ac:dyDescent="0.2">
      <c r="A30" s="11" t="s">
        <v>1</v>
      </c>
      <c r="B30" s="11" t="s">
        <v>1</v>
      </c>
      <c r="C30" s="1"/>
      <c r="D30" s="1"/>
      <c r="E30" s="1" t="str">
        <f t="shared" ref="E30:AA30" si="15">E13</f>
        <v xml:space="preserve"> </v>
      </c>
      <c r="F30" s="1" t="str">
        <f t="shared" si="15"/>
        <v xml:space="preserve"> </v>
      </c>
      <c r="G30" s="1" t="str">
        <f t="shared" si="15"/>
        <v xml:space="preserve"> </v>
      </c>
      <c r="H30" s="1" t="str">
        <f t="shared" si="15"/>
        <v xml:space="preserve"> </v>
      </c>
      <c r="I30" s="1" t="str">
        <f t="shared" si="15"/>
        <v xml:space="preserve"> </v>
      </c>
      <c r="J30" s="1" t="str">
        <f t="shared" si="15"/>
        <v xml:space="preserve"> </v>
      </c>
      <c r="K30" s="1" t="str">
        <f t="shared" si="15"/>
        <v xml:space="preserve"> </v>
      </c>
      <c r="L30" s="1" t="str">
        <f t="shared" si="15"/>
        <v xml:space="preserve"> </v>
      </c>
      <c r="M30" s="1" t="str">
        <f t="shared" si="15"/>
        <v xml:space="preserve"> </v>
      </c>
      <c r="N30" s="1" t="str">
        <f t="shared" si="15"/>
        <v xml:space="preserve"> </v>
      </c>
      <c r="O30" s="1" t="str">
        <f t="shared" si="15"/>
        <v xml:space="preserve"> </v>
      </c>
      <c r="P30" s="1" t="str">
        <f t="shared" si="15"/>
        <v xml:space="preserve"> </v>
      </c>
      <c r="Q30" s="1" t="str">
        <f t="shared" si="15"/>
        <v xml:space="preserve"> </v>
      </c>
      <c r="R30" s="1" t="str">
        <f t="shared" si="15"/>
        <v xml:space="preserve"> </v>
      </c>
      <c r="S30" s="1" t="str">
        <f t="shared" si="15"/>
        <v xml:space="preserve"> </v>
      </c>
      <c r="T30" s="1" t="str">
        <f t="shared" si="15"/>
        <v xml:space="preserve"> </v>
      </c>
      <c r="U30" s="1" t="str">
        <f t="shared" si="15"/>
        <v xml:space="preserve"> </v>
      </c>
      <c r="V30" s="1" t="str">
        <f t="shared" si="15"/>
        <v xml:space="preserve"> </v>
      </c>
      <c r="W30" s="1" t="str">
        <f t="shared" si="15"/>
        <v xml:space="preserve"> </v>
      </c>
      <c r="X30" s="1" t="str">
        <f t="shared" si="15"/>
        <v xml:space="preserve"> </v>
      </c>
      <c r="Y30" s="1" t="str">
        <f t="shared" si="15"/>
        <v xml:space="preserve"> </v>
      </c>
      <c r="Z30" s="1" t="str">
        <f t="shared" si="15"/>
        <v xml:space="preserve"> </v>
      </c>
      <c r="AA30" s="1" t="str">
        <f t="shared" si="15"/>
        <v xml:space="preserve"> </v>
      </c>
      <c r="AB30" s="1"/>
    </row>
    <row r="31" spans="1:32" x14ac:dyDescent="0.2">
      <c r="A31" s="11" t="s">
        <v>1</v>
      </c>
      <c r="B31" s="11" t="s">
        <v>1</v>
      </c>
      <c r="C31" s="1"/>
      <c r="D31" s="1"/>
      <c r="E31" s="1"/>
      <c r="F31" s="1"/>
      <c r="G31" s="1"/>
      <c r="H31" s="1"/>
      <c r="I31" s="1"/>
      <c r="J31" s="1"/>
      <c r="K31" s="1"/>
      <c r="L31" s="1"/>
      <c r="M31" s="1"/>
      <c r="N31" s="1"/>
      <c r="O31" s="1"/>
      <c r="P31" s="1"/>
      <c r="Q31" s="1"/>
      <c r="R31" s="1"/>
      <c r="S31" s="1"/>
      <c r="T31" s="1"/>
      <c r="U31" s="1"/>
      <c r="V31" s="1"/>
      <c r="W31" s="1"/>
      <c r="X31" s="1"/>
      <c r="Y31" s="1"/>
      <c r="Z31" s="1"/>
      <c r="AA31" s="1"/>
      <c r="AB31" s="1"/>
    </row>
    <row r="32" spans="1:32" x14ac:dyDescent="0.2">
      <c r="A32" s="1"/>
      <c r="B32" s="1"/>
      <c r="C32" s="1"/>
      <c r="D32" s="1"/>
      <c r="E32" s="3" t="e">
        <f t="shared" ref="E32:AA32" si="16">LOOKUP(E33,$A$1:$B$30)</f>
        <v>#N/A</v>
      </c>
      <c r="F32" s="3" t="e">
        <f t="shared" si="16"/>
        <v>#N/A</v>
      </c>
      <c r="G32" s="3" t="e">
        <f t="shared" si="16"/>
        <v>#N/A</v>
      </c>
      <c r="H32" s="3" t="e">
        <f t="shared" si="16"/>
        <v>#N/A</v>
      </c>
      <c r="I32" s="3" t="str">
        <f t="shared" si="16"/>
        <v>H</v>
      </c>
      <c r="J32" s="3" t="str">
        <f t="shared" si="16"/>
        <v>R</v>
      </c>
      <c r="K32" s="3" t="str">
        <f t="shared" si="16"/>
        <v>C</v>
      </c>
      <c r="L32" s="3" t="str">
        <f t="shared" si="16"/>
        <v>C</v>
      </c>
      <c r="M32" s="3" t="str">
        <f t="shared" si="16"/>
        <v>R</v>
      </c>
      <c r="N32" s="3" t="e">
        <f t="shared" si="16"/>
        <v>#N/A</v>
      </c>
      <c r="O32" s="3" t="str">
        <f t="shared" si="16"/>
        <v>B</v>
      </c>
      <c r="P32" s="3" t="e">
        <f t="shared" si="16"/>
        <v>#N/A</v>
      </c>
      <c r="Q32" s="3" t="str">
        <f t="shared" si="16"/>
        <v>T</v>
      </c>
      <c r="R32" s="3" t="str">
        <f t="shared" si="16"/>
        <v>M</v>
      </c>
      <c r="S32" s="3" t="e">
        <f t="shared" si="16"/>
        <v>#N/A</v>
      </c>
      <c r="T32" s="3" t="str">
        <f t="shared" si="16"/>
        <v>A</v>
      </c>
      <c r="U32" s="3" t="str">
        <f t="shared" si="16"/>
        <v>Z</v>
      </c>
      <c r="V32" s="3" t="str">
        <f t="shared" si="16"/>
        <v>T</v>
      </c>
      <c r="W32" s="3" t="str">
        <f t="shared" si="16"/>
        <v>L</v>
      </c>
      <c r="X32" s="3" t="str">
        <f t="shared" si="16"/>
        <v>Z</v>
      </c>
      <c r="Y32" s="3" t="e">
        <f t="shared" si="16"/>
        <v>#N/A</v>
      </c>
      <c r="Z32" s="3" t="str">
        <f t="shared" si="16"/>
        <v>U</v>
      </c>
      <c r="AA32" s="3" t="str">
        <f t="shared" si="16"/>
        <v>Z</v>
      </c>
      <c r="AB32" s="1"/>
    </row>
    <row r="33" spans="1:28" x14ac:dyDescent="0.2">
      <c r="A33" s="1"/>
      <c r="B33" s="1"/>
      <c r="C33" s="1"/>
      <c r="D33" s="1"/>
      <c r="E33" s="1" t="str">
        <f>E14</f>
        <v xml:space="preserve"> </v>
      </c>
      <c r="F33" s="1" t="str">
        <f t="shared" ref="F33:AA33" si="17">F14</f>
        <v xml:space="preserve"> </v>
      </c>
      <c r="G33" s="1" t="str">
        <f t="shared" si="17"/>
        <v xml:space="preserve"> </v>
      </c>
      <c r="H33" s="1" t="str">
        <f t="shared" si="17"/>
        <v xml:space="preserve"> </v>
      </c>
      <c r="I33" s="1" t="str">
        <f t="shared" si="17"/>
        <v>W</v>
      </c>
      <c r="J33" s="1" t="str">
        <f t="shared" si="17"/>
        <v>I</v>
      </c>
      <c r="K33" s="1" t="str">
        <f t="shared" si="17"/>
        <v>L</v>
      </c>
      <c r="L33" s="1" t="str">
        <f t="shared" si="17"/>
        <v>L</v>
      </c>
      <c r="M33" s="1" t="str">
        <f t="shared" si="17"/>
        <v>I</v>
      </c>
      <c r="N33" s="1" t="str">
        <f t="shared" si="17"/>
        <v>A</v>
      </c>
      <c r="O33" s="1" t="str">
        <f t="shared" si="17"/>
        <v>M</v>
      </c>
      <c r="P33" s="1" t="str">
        <f t="shared" si="17"/>
        <v xml:space="preserve"> </v>
      </c>
      <c r="Q33" s="1" t="str">
        <f t="shared" si="17"/>
        <v>S</v>
      </c>
      <c r="R33" s="1" t="str">
        <f t="shared" si="17"/>
        <v>H</v>
      </c>
      <c r="S33" s="1" t="str">
        <f t="shared" si="17"/>
        <v>A</v>
      </c>
      <c r="T33" s="1" t="str">
        <f t="shared" si="17"/>
        <v>K</v>
      </c>
      <c r="U33" s="1" t="str">
        <f t="shared" si="17"/>
        <v>E</v>
      </c>
      <c r="V33" s="1" t="str">
        <f t="shared" si="17"/>
        <v>S</v>
      </c>
      <c r="W33" s="1" t="str">
        <f t="shared" si="17"/>
        <v>P</v>
      </c>
      <c r="X33" s="1" t="str">
        <f t="shared" si="17"/>
        <v>E</v>
      </c>
      <c r="Y33" s="1" t="str">
        <f t="shared" si="17"/>
        <v>A</v>
      </c>
      <c r="Z33" s="1" t="str">
        <f t="shared" si="17"/>
        <v>R</v>
      </c>
      <c r="AA33" s="1" t="str">
        <f t="shared" si="17"/>
        <v>E</v>
      </c>
      <c r="AB33" s="1"/>
    </row>
    <row r="34" spans="1:28" x14ac:dyDescent="0.2">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sheetData>
  <mergeCells count="1">
    <mergeCell ref="A1:AC1"/>
  </mergeCells>
  <phoneticPr fontId="1" type="noConversion"/>
  <conditionalFormatting sqref="E2:AB7">
    <cfRule type="cellIs" dxfId="13" priority="1" stopIfTrue="1" operator="equal">
      <formula>"""##"""</formula>
    </cfRule>
  </conditionalFormatting>
  <conditionalFormatting sqref="B2 B15:B19">
    <cfRule type="cellIs" dxfId="12" priority="2" stopIfTrue="1" operator="equal">
      <formula>$A$2</formula>
    </cfRule>
  </conditionalFormatting>
  <conditionalFormatting sqref="B3">
    <cfRule type="cellIs" dxfId="11" priority="3" stopIfTrue="1" operator="equal">
      <formula>$A3</formula>
    </cfRule>
  </conditionalFormatting>
  <conditionalFormatting sqref="B4">
    <cfRule type="cellIs" dxfId="10" priority="4" stopIfTrue="1" operator="equal">
      <formula>$A3</formula>
    </cfRule>
  </conditionalFormatting>
  <conditionalFormatting sqref="B5">
    <cfRule type="cellIs" dxfId="9" priority="5" stopIfTrue="1" operator="equal">
      <formula>$A3</formula>
    </cfRule>
  </conditionalFormatting>
  <conditionalFormatting sqref="B6">
    <cfRule type="cellIs" dxfId="8" priority="6" stopIfTrue="1" operator="equal">
      <formula>$A3</formula>
    </cfRule>
  </conditionalFormatting>
  <conditionalFormatting sqref="B7">
    <cfRule type="cellIs" dxfId="7" priority="7" stopIfTrue="1" operator="equal">
      <formula>$A3</formula>
    </cfRule>
  </conditionalFormatting>
  <conditionalFormatting sqref="B8">
    <cfRule type="cellIs" dxfId="6" priority="8" stopIfTrue="1" operator="equal">
      <formula>$A3</formula>
    </cfRule>
  </conditionalFormatting>
  <conditionalFormatting sqref="B9">
    <cfRule type="cellIs" dxfId="5" priority="9" stopIfTrue="1" operator="equal">
      <formula>$A3</formula>
    </cfRule>
  </conditionalFormatting>
  <conditionalFormatting sqref="B10">
    <cfRule type="cellIs" dxfId="4" priority="10" stopIfTrue="1" operator="equal">
      <formula>$A3</formula>
    </cfRule>
  </conditionalFormatting>
  <conditionalFormatting sqref="B11">
    <cfRule type="cellIs" dxfId="3" priority="11" stopIfTrue="1" operator="equal">
      <formula>$A3</formula>
    </cfRule>
  </conditionalFormatting>
  <conditionalFormatting sqref="B12">
    <cfRule type="cellIs" dxfId="2" priority="12" stopIfTrue="1" operator="equal">
      <formula>$A3</formula>
    </cfRule>
  </conditionalFormatting>
  <conditionalFormatting sqref="B13">
    <cfRule type="cellIs" dxfId="1" priority="13" stopIfTrue="1" operator="equal">
      <formula>$A3</formula>
    </cfRule>
  </conditionalFormatting>
  <conditionalFormatting sqref="B14">
    <cfRule type="cellIs" dxfId="0" priority="14" stopIfTrue="1" operator="equal">
      <formula>$A3</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GENERATOR</vt:lpstr>
      <vt:lpstr>SOLVER</vt:lpstr>
      <vt:lpstr>SUBSTITUTION KEY</vt:lpstr>
      <vt:lpstr>PUZZLE BANK</vt:lpstr>
      <vt:lpstr>Solver from Generator</vt:lpstr>
      <vt:lpstr>old puzzle creator</vt:lpstr>
      <vt:lpstr>SOLVER!Print_Area</vt:lpstr>
      <vt:lpstr>'Solver from Generator'!Print_Area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Miles MacFarlane</dc:creator>
  <cp:lastModifiedBy>Miles MacFarlane</cp:lastModifiedBy>
  <cp:lastPrinted>2008-12-02T14:12:16Z</cp:lastPrinted>
  <dcterms:created xsi:type="dcterms:W3CDTF">2008-01-28T17:40:39Z</dcterms:created>
  <dcterms:modified xsi:type="dcterms:W3CDTF">2018-01-30T15:11:44Z</dcterms:modified>
</cp:coreProperties>
</file>